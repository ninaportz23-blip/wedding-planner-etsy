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3.xml.rels" ContentType="application/vnd.openxmlformats-package.relationships+xml"/>
  <Override PartName="/xl/worksheets/_rels/sheet18.xml.rels" ContentType="application/vnd.openxmlformats-package.relationships+xml"/>
  <Override PartName="/xl/worksheets/_rels/sheet27.xml.rels" ContentType="application/vnd.openxmlformats-package.relationships+xml"/>
  <Override PartName="/xl/worksheets/_rels/sheet9.xml.rels" ContentType="application/vnd.openxmlformats-package.relationships+xml"/>
  <Override PartName="/xl/worksheets/_rels/sheet3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22.xml.rels" ContentType="application/vnd.openxmlformats-package.relationships+xml"/>
  <Override PartName="/xl/worksheets/_rels/sheet2.xml.rels" ContentType="application/vnd.openxmlformats-package.relationships+xml"/>
  <Override PartName="/xl/worksheets/_rels/sheet29.xml.rels" ContentType="application/vnd.openxmlformats-package.relationships+xml"/>
  <Override PartName="/xl/worksheets/_rels/sheet31.xml.rels" ContentType="application/vnd.openxmlformats-package.relationships+xml"/>
  <Override PartName="/xl/worksheets/_rels/sheet14.xml.rels" ContentType="application/vnd.openxmlformats-package.relationships+xml"/>
  <Override PartName="/xl/worksheets/_rels/sheet1.xml.rels" ContentType="application/vnd.openxmlformats-package.relationships+xml"/>
  <Override PartName="/xl/worksheets/_rels/sheet30.xml.rels" ContentType="application/vnd.openxmlformats-package.relationships+xml"/>
  <Override PartName="/xl/worksheets/_rels/sheet1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4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26.xml" ContentType="application/vnd.openxmlformats-officedocument.drawingml.chart+xml"/>
  <Override PartName="/xl/charts/chart14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t Started" sheetId="1" state="visible" r:id="rId3"/>
    <sheet name="Dashboard" sheetId="2" state="visible" r:id="rId4"/>
    <sheet name="Smart Calendar" sheetId="3" state="visible" r:id="rId5"/>
    <sheet name="Wedding Checklist" sheetId="4" state="visible" r:id="rId6"/>
    <sheet name="Wedding Itinerary" sheetId="5" state="visible" r:id="rId7"/>
    <sheet name="Wedding Activities" sheetId="6" state="visible" r:id="rId8"/>
    <sheet name="Music Planner" sheetId="7" state="visible" r:id="rId9"/>
    <sheet name="Packing List" sheetId="8" state="visible" r:id="rId10"/>
    <sheet name="Wedding Budget" sheetId="9" state="visible" r:id="rId11"/>
    <sheet name="Vendor Selection" sheetId="10" state="visible" r:id="rId12"/>
    <sheet name="Venue Comparison" sheetId="11" state="visible" r:id="rId13"/>
    <sheet name="Food and Drinks" sheetId="12" state="visible" r:id="rId14"/>
    <sheet name="Photo and Video Shot List" sheetId="13" state="visible" r:id="rId15"/>
    <sheet name="Guest List" sheetId="14" state="visible" r:id="rId16"/>
    <sheet name="Reception Seating Plan" sheetId="15" state="visible" r:id="rId17"/>
    <sheet name="Rehearsal Dinner Seating" sheetId="16" state="visible" r:id="rId18"/>
    <sheet name="Wedding Registry" sheetId="17" state="visible" r:id="rId19"/>
    <sheet name="Wedding Party" sheetId="18" state="visible" r:id="rId20"/>
    <sheet name="Aisle Order" sheetId="19" state="visible" r:id="rId21"/>
    <sheet name="Wedding Party Gifts" sheetId="20" state="visible" r:id="rId22"/>
    <sheet name="Moodboard" sheetId="21" state="visible" r:id="rId23"/>
    <sheet name="Decor Inventory" sheetId="22" state="visible" r:id="rId24"/>
    <sheet name="Flower Arrangements" sheetId="23" state="visible" r:id="rId25"/>
    <sheet name="Attire and Makeup" sheetId="24" state="visible" r:id="rId26"/>
    <sheet name="Accommodation" sheetId="25" state="visible" r:id="rId27"/>
    <sheet name="Transportation" sheetId="26" state="visible" r:id="rId28"/>
    <sheet name="Stationery Checklist" sheetId="27" state="visible" r:id="rId29"/>
    <sheet name="Save the Date" sheetId="28" state="visible" r:id="rId30"/>
    <sheet name="Engagement Party" sheetId="29" state="visible" r:id="rId31"/>
    <sheet name="Bridal Shower" sheetId="30" state="visible" r:id="rId32"/>
    <sheet name="Bachelor(ette) Planner" sheetId="31" state="visible" r:id="rId33"/>
    <sheet name="Honeymoon Planner" sheetId="32" state="visible" r:id="rId34"/>
    <sheet name="Gifts and Thank You" sheetId="33" state="visible" r:id="rId35"/>
    <sheet name="Lists" sheetId="34" state="hidden" r:id="rId36"/>
  </sheets>
  <definedNames>
    <definedName function="false" hidden="false" name="AccommodationList" vbProcedure="false">Lists!$Q$2:$Q$6</definedName>
    <definedName function="false" hidden="false" name="AssignedTo" vbProcedure="false">Lists!$A$2:$A$9</definedName>
    <definedName function="false" hidden="false" name="AttireCategory" vbProcedure="false">Lists!$P$2:$P$6</definedName>
    <definedName function="false" hidden="false" name="AttireStatus" vbProcedure="false">Lists!$I$2:$I$7</definedName>
    <definedName function="false" hidden="false" name="BachelorType" vbProcedure="false">Lists!$X$2:$X$3</definedName>
    <definedName function="false" hidden="false" name="BookingStatus" vbProcedure="false">Lists!$Z$2:$Z$6</definedName>
    <definedName function="false" hidden="false" name="BuyRent" vbProcedure="false">Lists!$N$2:$N$3</definedName>
    <definedName function="false" hidden="false" name="ChecklistSections" vbProcedure="false">Lists!$AB$2:$AB$13</definedName>
    <definedName function="false" hidden="false" name="CurrencyList" vbProcedure="false">Lists!$Y$2:$Y$8</definedName>
    <definedName function="false" hidden="false" name="DecorLocation" vbProcedure="false">Lists!$L$2:$L$10</definedName>
    <definedName function="false" hidden="false" name="DecorStatus" vbProcedure="false">Lists!$M$2:$M$4</definedName>
    <definedName function="false" hidden="false" name="DesignStatus" vbProcedure="false">Lists!$S$2:$S$4</definedName>
    <definedName function="false" hidden="false" name="FloralStatus" vbProcedure="false">Lists!$O$2:$O$5</definedName>
    <definedName function="false" hidden="false" name="GiftStatus" vbProcedure="false">Lists!$K$2:$K$3</definedName>
    <definedName function="false" hidden="false" name="GuestTag" vbProcedure="false">Lists!$E$2:$E$4</definedName>
    <definedName function="false" hidden="false" name="GuestType" vbProcedure="false">Lists!$F$2:$F$6</definedName>
    <definedName function="false" hidden="false" name="MealPref" vbProcedure="false">Lists!$G$2:$G$8</definedName>
    <definedName function="false" hidden="false" name="MonthNames" vbProcedure="false">Lists!$AA$2:$AA$13</definedName>
    <definedName function="false" hidden="false" name="PaymentStatus" vbProcedure="false">Lists!$U$2:$U$5</definedName>
    <definedName function="false" hidden="false" name="PaymentType" vbProcedure="false">Lists!$V$2:$V$5</definedName>
    <definedName function="false" hidden="false" name="PrintStatus" vbProcedure="false">Lists!$T$2:$T$5</definedName>
    <definedName function="false" hidden="false" name="Priority" vbProcedure="false">Lists!$B$2:$B$5</definedName>
    <definedName function="false" hidden="false" name="StationeryCategory" vbProcedure="false">Lists!$R$2:$R$4</definedName>
    <definedName function="false" hidden="false" name="TrueFalse" vbProcedure="false">Lists!$W$2:$W$3</definedName>
    <definedName function="false" hidden="false" name="VendorCategory" vbProcedure="false">Lists!$H$2:$H$16</definedName>
    <definedName function="false" hidden="false" name="WeddingPartyRole" vbProcedure="false">Lists!$J$2:$J$12</definedName>
    <definedName function="false" hidden="false" name="YesNo" vbProcedure="false">Lists!$C$2:$C$3</definedName>
    <definedName function="false" hidden="false" name="YesNoAwaited" vbProcedure="false">Lists!$D$2:$D$4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<sst xmlns="http://schemas.openxmlformats.org/spreadsheetml/2006/main" count="5271" uniqueCount="1669">
  <si>
    <t xml:space="preserve">WELCOME TO YOUR WEDDING PLANNER</t>
  </si>
  <si>
    <t xml:space="preserve">Partner 1 Name</t>
  </si>
  <si>
    <t xml:space="preserve">Partner 2 Name</t>
  </si>
  <si>
    <t xml:space="preserve">Wedding Date</t>
  </si>
  <si>
    <t xml:space="preserve">Wedding Hashtag</t>
  </si>
  <si>
    <t xml:space="preserve">Taylor</t>
  </si>
  <si>
    <t xml:space="preserve">Jordan</t>
  </si>
  <si>
    <t xml:space="preserve">#TaylorAndJordan2026</t>
  </si>
  <si>
    <t xml:space="preserve">Wedding Photo Placeholder</t>
  </si>
  <si>
    <t xml:space="preserve">HOW TO USE THIS PLANNER</t>
  </si>
  <si>
    <t xml:space="preserve">[ Insert your favorite photo here: Insert &gt; Image &gt; Cell ]</t>
  </si>
  <si>
    <t xml:space="preserve">1. Fill in your names, wedding date, and hashtag above.</t>
  </si>
  <si>
    <t xml:space="preserve">2. Start on the Dashboard tab to see your planning snapshot.</t>
  </si>
  <si>
    <t xml:space="preserve">3. Work through the Wedding Checklist tab by timeframe.</t>
  </si>
  <si>
    <t xml:space="preserve">4. Add vendors on the Vendor Selection tab. Mark Final Yes and enter the Amount to auto fill your Budget.</t>
  </si>
  <si>
    <t xml:space="preserve">5. Add guests on the Guest List tab. RSVPs sync automatically to your Seating Plan.</t>
  </si>
  <si>
    <t xml:space="preserve">6. Every dropdown list can be edited on the hidden Lists tab.</t>
  </si>
  <si>
    <t xml:space="preserve">7. Tabs with colored banners are organized by wedding planning category. Use the table of contents below to jump to any tab.</t>
  </si>
  <si>
    <t xml:space="preserve">8. Video tutorial: [insert your tutorial link here]</t>
  </si>
  <si>
    <t xml:space="preserve">TABLE OF CONTENTS</t>
  </si>
  <si>
    <t xml:space="preserve">1. Dashboard</t>
  </si>
  <si>
    <t xml:space="preserve">18. Aisle Order</t>
  </si>
  <si>
    <t xml:space="preserve">2. Smart Calendar</t>
  </si>
  <si>
    <t xml:space="preserve">19. Wedding Party Gifts</t>
  </si>
  <si>
    <t xml:space="preserve">3. Wedding Checklist</t>
  </si>
  <si>
    <t xml:space="preserve">20. Moodboard</t>
  </si>
  <si>
    <t xml:space="preserve">4. Wedding Itinerary</t>
  </si>
  <si>
    <t xml:space="preserve">21. Decor Inventory</t>
  </si>
  <si>
    <t xml:space="preserve">5. Wedding Activities</t>
  </si>
  <si>
    <t xml:space="preserve">22. Flower Arrangements</t>
  </si>
  <si>
    <t xml:space="preserve">6. Music Planner</t>
  </si>
  <si>
    <t xml:space="preserve">23. Attire and Makeup</t>
  </si>
  <si>
    <t xml:space="preserve">7. Packing List</t>
  </si>
  <si>
    <t xml:space="preserve">24. Accommodation</t>
  </si>
  <si>
    <t xml:space="preserve">8. Wedding Budget</t>
  </si>
  <si>
    <t xml:space="preserve">25. Transportation</t>
  </si>
  <si>
    <t xml:space="preserve">9. Vendor Selection</t>
  </si>
  <si>
    <t xml:space="preserve">26. Stationery Checklist</t>
  </si>
  <si>
    <t xml:space="preserve">10. Venue Comparison</t>
  </si>
  <si>
    <t xml:space="preserve">27. Save the Date</t>
  </si>
  <si>
    <t xml:space="preserve">11. Food and Drinks</t>
  </si>
  <si>
    <t xml:space="preserve">28. Engagement Party</t>
  </si>
  <si>
    <t xml:space="preserve">12. Photo and Video Shot List</t>
  </si>
  <si>
    <t xml:space="preserve">29. Bridal Shower</t>
  </si>
  <si>
    <t xml:space="preserve">13. Guest List</t>
  </si>
  <si>
    <t xml:space="preserve">30. Bachelor(ette) Planner</t>
  </si>
  <si>
    <t xml:space="preserve">14. Reception Seating Plan</t>
  </si>
  <si>
    <t xml:space="preserve">31. Honeymoon Planner</t>
  </si>
  <si>
    <t xml:space="preserve">15. Rehearsal Dinner Seating</t>
  </si>
  <si>
    <t xml:space="preserve">32. Gifts and Thank You</t>
  </si>
  <si>
    <t xml:space="preserve">16. Wedding Registry</t>
  </si>
  <si>
    <t xml:space="preserve">17. Wedding Party</t>
  </si>
  <si>
    <t xml:space="preserve">WEDDING DASHBOARD</t>
  </si>
  <si>
    <t xml:space="preserve">DAYS UNTIL THE WEDDING</t>
  </si>
  <si>
    <t xml:space="preserve">WEDDING DATE</t>
  </si>
  <si>
    <t xml:space="preserve">[ Wedding photo placeholder ]</t>
  </si>
  <si>
    <t xml:space="preserve">Checklist</t>
  </si>
  <si>
    <t xml:space="preserve">Value</t>
  </si>
  <si>
    <t xml:space="preserve">Done</t>
  </si>
  <si>
    <t xml:space="preserve">Remaining</t>
  </si>
  <si>
    <t xml:space="preserve">WEDDING BUDGET</t>
  </si>
  <si>
    <t xml:space="preserve">TOTAL SPENT</t>
  </si>
  <si>
    <t xml:space="preserve">LEFT TO SPEND</t>
  </si>
  <si>
    <t xml:space="preserve">VENDOR PAYMENTS LEFT</t>
  </si>
  <si>
    <t xml:space="preserve">Bride</t>
  </si>
  <si>
    <t xml:space="preserve">Groom</t>
  </si>
  <si>
    <t xml:space="preserve">Both</t>
  </si>
  <si>
    <t xml:space="preserve">CONFIRMED GUESTS</t>
  </si>
  <si>
    <t xml:space="preserve">CONFIRMED AND SEATED</t>
  </si>
  <si>
    <t xml:space="preserve">TENTATIVE SEATS</t>
  </si>
  <si>
    <t xml:space="preserve">REMAINING SEATS</t>
  </si>
  <si>
    <t xml:space="preserve">STD Sent</t>
  </si>
  <si>
    <t xml:space="preserve">STD Not Sent</t>
  </si>
  <si>
    <t xml:space="preserve">CHECKLIST PROGRESS</t>
  </si>
  <si>
    <t xml:space="preserve">Invites Sent</t>
  </si>
  <si>
    <t xml:space="preserve">Invites Not Sent</t>
  </si>
  <si>
    <t xml:space="preserve">Attire Status</t>
  </si>
  <si>
    <t xml:space="preserve">Count</t>
  </si>
  <si>
    <t xml:space="preserve">Not Started</t>
  </si>
  <si>
    <t xml:space="preserve">Ordered</t>
  </si>
  <si>
    <t xml:space="preserve">Received</t>
  </si>
  <si>
    <t xml:space="preserve">Fitting Scheduled</t>
  </si>
  <si>
    <t xml:space="preserve">Alterations Needed</t>
  </si>
  <si>
    <t xml:space="preserve">Ready</t>
  </si>
  <si>
    <t xml:space="preserve">TODAY</t>
  </si>
  <si>
    <t xml:space="preserve">PROGRESS RATIOS</t>
  </si>
  <si>
    <t xml:space="preserve">Checklist items due today</t>
  </si>
  <si>
    <t xml:space="preserve">Vendor Selection Progress</t>
  </si>
  <si>
    <t xml:space="preserve">Deadlines due today</t>
  </si>
  <si>
    <t xml:space="preserve">Wedding Party Confirmation</t>
  </si>
  <si>
    <t xml:space="preserve">Thank You Sent Ratio</t>
  </si>
  <si>
    <t xml:space="preserve">SMART CALENDAR</t>
  </si>
  <si>
    <t xml:space="preserve">Month</t>
  </si>
  <si>
    <t xml:space="preserve">August</t>
  </si>
  <si>
    <t xml:space="preserve">Year</t>
  </si>
  <si>
    <t xml:space="preserve">Budget</t>
  </si>
  <si>
    <t xml:space="preserve">Important Dates</t>
  </si>
  <si>
    <t xml:space="preserve">Stationery</t>
  </si>
  <si>
    <t xml:space="preserve">Dance Lessons</t>
  </si>
  <si>
    <t xml:space="preserve">SHOW ON CALENDAR:</t>
  </si>
  <si>
    <t xml:space="preserve">LEGEND:</t>
  </si>
  <si>
    <t xml:space="preserve">Due Today</t>
  </si>
  <si>
    <t xml:space="preserve">Overdue</t>
  </si>
  <si>
    <t xml:space="preserve">Due Later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</si>
  <si>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</si>
  <si>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</si>
  <si>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</si>
  <si>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</si>
  <si>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</si>
  <si>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</si>
  <si>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</si>
  <si>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IMPORTANT DATES</t>
  </si>
  <si>
    <t xml:space="preserve">Task Description</t>
  </si>
  <si>
    <t xml:space="preserve">Due Date</t>
  </si>
  <si>
    <t xml:space="preserve">Book officiant meeting</t>
  </si>
  <si>
    <t xml:space="preserve">Order wedding invitations</t>
  </si>
  <si>
    <t xml:space="preserve">Final dress fitting</t>
  </si>
  <si>
    <t xml:space="preserve">Marriage license appointment</t>
  </si>
  <si>
    <t xml:space="preserve">Rehearsal dinner</t>
  </si>
  <si>
    <t xml:space="preserve">WEDDING CHECKLIST</t>
  </si>
  <si>
    <t xml:space="preserve">Check off each task as you complete it. Due dates are examples, set to guide pacing before the wedding date on the Get Started tab.</t>
  </si>
  <si>
    <t xml:space="preserve">Task</t>
  </si>
  <si>
    <t xml:space="preserve">Assigned To</t>
  </si>
  <si>
    <t xml:space="preserve">Priority</t>
  </si>
  <si>
    <t xml:space="preserve">Section</t>
  </si>
  <si>
    <t xml:space="preserve">PROGRESS BY SECTION</t>
  </si>
  <si>
    <t xml:space="preserve">Announce your engagement to family and close friends</t>
  </si>
  <si>
    <t xml:space="preserve">Medium</t>
  </si>
  <si>
    <t xml:space="preserve">12+ Months Before</t>
  </si>
  <si>
    <t xml:space="preserve">% Done</t>
  </si>
  <si>
    <t xml:space="preserve">Set a realistic wedding budget with your partner</t>
  </si>
  <si>
    <t xml:space="preserve">Decide who is contributing to the budget and how much</t>
  </si>
  <si>
    <t xml:space="preserve">10-12 Months Before</t>
  </si>
  <si>
    <t xml:space="preserve">Choose your wedding date (or a short list of dates)</t>
  </si>
  <si>
    <t xml:space="preserve">8-10 Months Before</t>
  </si>
  <si>
    <t xml:space="preserve">Decide on wedding size (intimate, medium, large)</t>
  </si>
  <si>
    <t xml:space="preserve">6-8 Months Before</t>
  </si>
  <si>
    <t xml:space="preserve">Create a rough guest list headcount estimate</t>
  </si>
  <si>
    <t xml:space="preserve">4-6 Months Before</t>
  </si>
  <si>
    <t xml:space="preserve">Discuss and choose a wedding vision, theme, and color palette</t>
  </si>
  <si>
    <t xml:space="preserve">2-4 Months Before</t>
  </si>
  <si>
    <t xml:space="preserve">Choose the season and general location for the wedding</t>
  </si>
  <si>
    <t xml:space="preserve">1 Month Before</t>
  </si>
  <si>
    <t xml:space="preserve">Decide whether to hire a wedding planner</t>
  </si>
  <si>
    <t xml:space="preserve">2 Weeks Before</t>
  </si>
  <si>
    <t xml:space="preserve">Interview and hire a wedding planner if desired</t>
  </si>
  <si>
    <t xml:space="preserve">1 Week Before</t>
  </si>
  <si>
    <t xml:space="preserve">Start a shared wedding planning binder or spreadsheet</t>
  </si>
  <si>
    <t xml:space="preserve">2 Days Before</t>
  </si>
  <si>
    <t xml:space="preserve">Create a private wedding email address for vendor communication</t>
  </si>
  <si>
    <t xml:space="preserve">1 Day Before</t>
  </si>
  <si>
    <t xml:space="preserve">Set up a wedding website</t>
  </si>
  <si>
    <t xml:space="preserve">Legal Items</t>
  </si>
  <si>
    <t xml:space="preserve">Choose a wedding hashtag</t>
  </si>
  <si>
    <t xml:space="preserve">Draft the full guest list with addresses</t>
  </si>
  <si>
    <t xml:space="preserve">TASKS REMAINING BY PERSON</t>
  </si>
  <si>
    <t xml:space="preserve">Consider a guest list cap and stick to it</t>
  </si>
  <si>
    <t xml:space="preserve">Research ceremony and reception venue options</t>
  </si>
  <si>
    <t xml:space="preserve">Tour at least 5 potential venues</t>
  </si>
  <si>
    <t xml:space="preserve">Ask venues about capacity, availability, and included services</t>
  </si>
  <si>
    <t xml:space="preserve">Wedding Planner</t>
  </si>
  <si>
    <t xml:space="preserve">Compare venue costs and what's included in each package</t>
  </si>
  <si>
    <t xml:space="preserve">Maid of Honor</t>
  </si>
  <si>
    <t xml:space="preserve">Book ceremony venue and sign contract</t>
  </si>
  <si>
    <t xml:space="preserve">Best Man</t>
  </si>
  <si>
    <t xml:space="preserve">Book reception venue and sign contract</t>
  </si>
  <si>
    <t xml:space="preserve">Parent</t>
  </si>
  <si>
    <t xml:space="preserve">Pay venue deposit</t>
  </si>
  <si>
    <t xml:space="preserve">Other</t>
  </si>
  <si>
    <t xml:space="preserve">Consider hiring an officiant or asking a friend to get ordained</t>
  </si>
  <si>
    <t xml:space="preserve">Start researching photographers and browsing portfolios</t>
  </si>
  <si>
    <t xml:space="preserve">Start researching videographers and browsing reels</t>
  </si>
  <si>
    <t xml:space="preserve">Start researching wedding planners or day-of coordinators</t>
  </si>
  <si>
    <t xml:space="preserve">Start a Pinterest or moodboard for overall wedding style</t>
  </si>
  <si>
    <t xml:space="preserve">Decide on a rough guest count range for catering purposes</t>
  </si>
  <si>
    <t xml:space="preserve">Research average wedding costs in your area for budgeting</t>
  </si>
  <si>
    <t xml:space="preserve">Open a dedicated wedding savings account</t>
  </si>
  <si>
    <t xml:space="preserve">Discuss honeymoon budget separately from wedding budget</t>
  </si>
  <si>
    <t xml:space="preserve">Ask parents or family about their wishes to be involved</t>
  </si>
  <si>
    <t xml:space="preserve">Decide on wedding party size and who to ask</t>
  </si>
  <si>
    <t xml:space="preserve">Draft a wedding party wish list (who you want to ask)</t>
  </si>
  <si>
    <t xml:space="preserve">Research marriage license requirements in your state</t>
  </si>
  <si>
    <t xml:space="preserve">Check passport expiration dates if honeymooning abroad</t>
  </si>
  <si>
    <t xml:space="preserve">Purchase wedding insurance if desired</t>
  </si>
  <si>
    <t xml:space="preserve">Create a Pinterest board for dress and suit inspiration</t>
  </si>
  <si>
    <t xml:space="preserve">Research caterers and schedule tastings</t>
  </si>
  <si>
    <t xml:space="preserve">Book caterer and sign contract</t>
  </si>
  <si>
    <t xml:space="preserve">Research florists and their portfolios</t>
  </si>
  <si>
    <t xml:space="preserve">Research DJ and live band options</t>
  </si>
  <si>
    <t xml:space="preserve">Attend a bridal show for vendor inspiration</t>
  </si>
  <si>
    <t xml:space="preserve">Discuss and decide on wedding style: formal, casual, destination</t>
  </si>
  <si>
    <t xml:space="preserve">Decide on ceremony type: religious, civil, or symbolic</t>
  </si>
  <si>
    <t xml:space="preserve">Research legal requirements for a destination wedding, if applicable</t>
  </si>
  <si>
    <t xml:space="preserve">Start a wedding day timeline outline</t>
  </si>
  <si>
    <t xml:space="preserve">Choose a wedding party gift budget</t>
  </si>
  <si>
    <t xml:space="preserve">Set up a wedding budget spreadsheet by category</t>
  </si>
  <si>
    <t xml:space="preserve">Research average vendor deposit amounts to plan cash flow</t>
  </si>
  <si>
    <t xml:space="preserve">Research Venue options in your area and read reviews</t>
  </si>
  <si>
    <t xml:space="preserve">Research Caterer options in your area and read reviews</t>
  </si>
  <si>
    <t xml:space="preserve">Research Photographer options in your area and read reviews</t>
  </si>
  <si>
    <t xml:space="preserve">Research Videographer options in your area and read reviews</t>
  </si>
  <si>
    <t xml:space="preserve">Research Florist options in your area and read reviews</t>
  </si>
  <si>
    <t xml:space="preserve">Research DJ or Band options in your area and read reviews</t>
  </si>
  <si>
    <t xml:space="preserve">Research Officiant options in your area and read reviews</t>
  </si>
  <si>
    <t xml:space="preserve">Research Rental Company options in your area and read reviews</t>
  </si>
  <si>
    <t xml:space="preserve">Research Decor Stylist options in your area and read reviews</t>
  </si>
  <si>
    <t xml:space="preserve">Research Hair Stylist options in your area and read reviews</t>
  </si>
  <si>
    <t xml:space="preserve">Research Makeup Artist options in your area and read reviews</t>
  </si>
  <si>
    <t xml:space="preserve">Research Transportation Company options in your area and read reviews</t>
  </si>
  <si>
    <t xml:space="preserve">Research Cake Baker options in your area and read reviews</t>
  </si>
  <si>
    <t xml:space="preserve">Research Stationer options in your area and read reviews</t>
  </si>
  <si>
    <t xml:space="preserve">Research Favor Supplier options in your area and read reviews</t>
  </si>
  <si>
    <t xml:space="preserve">Research Lighting Company options in your area and read reviews</t>
  </si>
  <si>
    <t xml:space="preserve">Research Wedding Planner options in your area and read reviews</t>
  </si>
  <si>
    <t xml:space="preserve">Research Photo Booth Company options in your area and read reviews</t>
  </si>
  <si>
    <t xml:space="preserve">Discuss blended family or step-parent involvement, if applicable</t>
  </si>
  <si>
    <t xml:space="preserve">Decide on a guest list policy for plus-ones</t>
  </si>
  <si>
    <t xml:space="preserve">Decide on a policy for children at the wedding</t>
  </si>
  <si>
    <t xml:space="preserve">Research whether your venue requires liability insurance</t>
  </si>
  <si>
    <t xml:space="preserve">Set up a wedding planning shared calendar for both partners</t>
  </si>
  <si>
    <t xml:space="preserve">Discuss and agree on non-negotiable wedding priorities</t>
  </si>
  <si>
    <t xml:space="preserve">Discuss and agree on where to cut costs if needed</t>
  </si>
  <si>
    <t xml:space="preserve">Research off-season or weekday dates for potential savings</t>
  </si>
  <si>
    <t xml:space="preserve">Ask trusted friends for vendor recommendations</t>
  </si>
  <si>
    <t xml:space="preserve">Join online wedding planning communities for advice</t>
  </si>
  <si>
    <t xml:space="preserve">Research local wedding rules and permits for outdoor venues</t>
  </si>
  <si>
    <t xml:space="preserve">Discuss blended religious or cultural ceremony traditions to include</t>
  </si>
  <si>
    <t xml:space="preserve">Create a shared document of must-have wedding traditions</t>
  </si>
  <si>
    <t xml:space="preserve">Research live-streaming options for guests who cannot attend</t>
  </si>
  <si>
    <t xml:space="preserve">Discuss accessibility needs for guests with mobility limitations</t>
  </si>
  <si>
    <t xml:space="preserve">Take engagement photos for save the dates and the wedding website</t>
  </si>
  <si>
    <t xml:space="preserve">Discuss whether to have a unity ceremony element</t>
  </si>
  <si>
    <t xml:space="preserve">Decide on wedding party attire budget responsibility</t>
  </si>
  <si>
    <t xml:space="preserve">Finalize the guest list headcount for venue and catering</t>
  </si>
  <si>
    <t xml:space="preserve">Book photographer and sign contract</t>
  </si>
  <si>
    <t xml:space="preserve">Pay photographer deposit</t>
  </si>
  <si>
    <t xml:space="preserve">Book videographer and sign contract</t>
  </si>
  <si>
    <t xml:space="preserve">Pay videographer deposit</t>
  </si>
  <si>
    <t xml:space="preserve">Book florist and sign contract</t>
  </si>
  <si>
    <t xml:space="preserve">Book DJ or band and sign contract</t>
  </si>
  <si>
    <t xml:space="preserve">Book officiant and confirm ceremony requirements</t>
  </si>
  <si>
    <t xml:space="preserve">Start wedding dress shopping</t>
  </si>
  <si>
    <t xml:space="preserve">Order the wedding dress</t>
  </si>
  <si>
    <t xml:space="preserve">Start suit or tuxedo shopping</t>
  </si>
  <si>
    <t xml:space="preserve">Order the groom's attire</t>
  </si>
  <si>
    <t xml:space="preserve">Choose bridesmaid dress style and color</t>
  </si>
  <si>
    <t xml:space="preserve">Order bridesmaid dresses</t>
  </si>
  <si>
    <t xml:space="preserve">Choose groomsmen attire style</t>
  </si>
  <si>
    <t xml:space="preserve">Order groomsmen attire</t>
  </si>
  <si>
    <t xml:space="preserve">Create your wedding gift registry</t>
  </si>
  <si>
    <t xml:space="preserve">Register at 2 to 3 stores for variety</t>
  </si>
  <si>
    <t xml:space="preserve">Book a room block for out of town guests</t>
  </si>
  <si>
    <t xml:space="preserve">Research and book wedding rentals (tables, chairs, linens)</t>
  </si>
  <si>
    <t xml:space="preserve">Book transportation for the wedding day</t>
  </si>
  <si>
    <t xml:space="preserve">Book hair stylist and makeup artist</t>
  </si>
  <si>
    <t xml:space="preserve">Schedule a hair and makeup trial</t>
  </si>
  <si>
    <t xml:space="preserve">Research and book a cake baker</t>
  </si>
  <si>
    <t xml:space="preserve">Schedule a cake tasting</t>
  </si>
  <si>
    <t xml:space="preserve">Research honeymoon destinations and options</t>
  </si>
  <si>
    <t xml:space="preserve">Set honeymoon budget and start saving</t>
  </si>
  <si>
    <t xml:space="preserve">Book honeymoon flights if pricing is favorable</t>
  </si>
  <si>
    <t xml:space="preserve">Start planning the engagement party, if hosting one</t>
  </si>
  <si>
    <t xml:space="preserve">Choose save the date design</t>
  </si>
  <si>
    <t xml:space="preserve">Order or design save the dates</t>
  </si>
  <si>
    <t xml:space="preserve">Collect mailing addresses for save the dates</t>
  </si>
  <si>
    <t xml:space="preserve">Mail save the dates to guests</t>
  </si>
  <si>
    <t xml:space="preserve">Book rehearsal dinner venue</t>
  </si>
  <si>
    <t xml:space="preserve">Research and book stationery designer</t>
  </si>
  <si>
    <t xml:space="preserve">Discuss and finalize the guest list with both families</t>
  </si>
  <si>
    <t xml:space="preserve">Create a wedding party group chat</t>
  </si>
  <si>
    <t xml:space="preserve">Officially ask wedding party members to participate</t>
  </si>
  <si>
    <t xml:space="preserve">Discuss wedding party responsibilities and expectations</t>
  </si>
  <si>
    <t xml:space="preserve">Choose bridesmaid proposal gifts, if planned</t>
  </si>
  <si>
    <t xml:space="preserve">Book a wedding insurance policy if not done already</t>
  </si>
  <si>
    <t xml:space="preserve">Reserve any specialty lighting or decor rental company</t>
  </si>
  <si>
    <t xml:space="preserve">Research and shortlist favor suppliers</t>
  </si>
  <si>
    <t xml:space="preserve">Research and shortlist photo booth companies</t>
  </si>
  <si>
    <t xml:space="preserve">Start researching ceremony musicians if separate from DJ</t>
  </si>
  <si>
    <t xml:space="preserve">Confirm venue includes tables, chairs, and linens or plan rentals</t>
  </si>
  <si>
    <t xml:space="preserve">Discuss seating chart approach with partner</t>
  </si>
  <si>
    <t xml:space="preserve">Draft a first version of the day-of timeline</t>
  </si>
  <si>
    <t xml:space="preserve">Confirm officiant meeting schedule for pre-marital counseling</t>
  </si>
  <si>
    <t xml:space="preserve">Research local marriage license office hours and requirements</t>
  </si>
  <si>
    <t xml:space="preserve">Request quotes from at least 3 Venue candidates</t>
  </si>
  <si>
    <t xml:space="preserve">Schedule consultations or tastings with shortlisted Venue options</t>
  </si>
  <si>
    <t xml:space="preserve">Request quotes from at least 3 Caterer candidates</t>
  </si>
  <si>
    <t xml:space="preserve">Schedule consultations or tastings with shortlisted Caterer options</t>
  </si>
  <si>
    <t xml:space="preserve">Request quotes from at least 3 Photographer candidates</t>
  </si>
  <si>
    <t xml:space="preserve">Schedule consultations or tastings with shortlisted Photographer options</t>
  </si>
  <si>
    <t xml:space="preserve">Request quotes from at least 3 Videographer candidates</t>
  </si>
  <si>
    <t xml:space="preserve">Schedule consultations or tastings with shortlisted Videographer options</t>
  </si>
  <si>
    <t xml:space="preserve">Request quotes from at least 3 Florist candidates</t>
  </si>
  <si>
    <t xml:space="preserve">Schedule consultations or tastings with shortlisted Florist options</t>
  </si>
  <si>
    <t xml:space="preserve">Request quotes from at least 3 DJ or Band candidates</t>
  </si>
  <si>
    <t xml:space="preserve">Schedule consultations or tastings with shortlisted DJ or Band options</t>
  </si>
  <si>
    <t xml:space="preserve">Request quotes from at least 3 Officiant candidates</t>
  </si>
  <si>
    <t xml:space="preserve">Schedule consultations or tastings with shortlisted Officiant options</t>
  </si>
  <si>
    <t xml:space="preserve">Request quotes from at least 3 Rental Company candidates</t>
  </si>
  <si>
    <t xml:space="preserve">Schedule consultations or tastings with shortlisted Rental Company options</t>
  </si>
  <si>
    <t xml:space="preserve">Request quotes from at least 3 Decor Stylist candidates</t>
  </si>
  <si>
    <t xml:space="preserve">Schedule consultations or tastings with shortlisted Decor Stylist options</t>
  </si>
  <si>
    <t xml:space="preserve">Request quotes from at least 3 Hair Stylist candidates</t>
  </si>
  <si>
    <t xml:space="preserve">Schedule consultations or tastings with shortlisted Hair Stylist options</t>
  </si>
  <si>
    <t xml:space="preserve">Request quotes from at least 3 Makeup Artist candidates</t>
  </si>
  <si>
    <t xml:space="preserve">Schedule consultations or tastings with shortlisted Makeup Artist options</t>
  </si>
  <si>
    <t xml:space="preserve">Request quotes from at least 3 Transportation Company candidates</t>
  </si>
  <si>
    <t xml:space="preserve">Schedule consultations or tastings with shortlisted Transportation Company options</t>
  </si>
  <si>
    <t xml:space="preserve">Request quotes from at least 3 Cake Baker candidates</t>
  </si>
  <si>
    <t xml:space="preserve">Schedule consultations or tastings with shortlisted Cake Baker options</t>
  </si>
  <si>
    <t xml:space="preserve">Request quotes from at least 3 Stationer candidates</t>
  </si>
  <si>
    <t xml:space="preserve">Schedule consultations or tastings with shortlisted Stationer options</t>
  </si>
  <si>
    <t xml:space="preserve">Request quotes from at least 3 Favor Supplier candidates</t>
  </si>
  <si>
    <t xml:space="preserve">Schedule consultations or tastings with shortlisted Favor Supplier options</t>
  </si>
  <si>
    <t xml:space="preserve">Request quotes from at least 3 Lighting Company candidates</t>
  </si>
  <si>
    <t xml:space="preserve">Schedule consultations or tastings with shortlisted Lighting Company options</t>
  </si>
  <si>
    <t xml:space="preserve">Request quotes from at least 3 Wedding Planner candidates</t>
  </si>
  <si>
    <t xml:space="preserve">Schedule consultations or tastings with shortlisted Wedding Planner options</t>
  </si>
  <si>
    <t xml:space="preserve">Request quotes from at least 3 Photo Booth Company candidates</t>
  </si>
  <si>
    <t xml:space="preserve">Schedule consultations or tastings with shortlisted Photo Booth Company options</t>
  </si>
  <si>
    <t xml:space="preserve">Confirm venue's rain plan and tent options, if outdoors</t>
  </si>
  <si>
    <t xml:space="preserve">Ask venue about noise curfews and vendor load-in times</t>
  </si>
  <si>
    <t xml:space="preserve">Confirm parking availability and valet options with venue</t>
  </si>
  <si>
    <t xml:space="preserve">Discuss wedding day insurance coverage details</t>
  </si>
  <si>
    <t xml:space="preserve">Choose a bridal salon and schedule an appointment</t>
  </si>
  <si>
    <t xml:space="preserve">Set a budget for wedding attire and accessories</t>
  </si>
  <si>
    <t xml:space="preserve">Research and choose ring insurance options</t>
  </si>
  <si>
    <t xml:space="preserve">Discuss honeymoon travel vaccinations or health requirements</t>
  </si>
  <si>
    <t xml:space="preserve">Confirm which family heirlooms will be worn or used</t>
  </si>
  <si>
    <t xml:space="preserve">Plan the engagement party guest list, if hosting one</t>
  </si>
  <si>
    <t xml:space="preserve">Send engagement party invitations, if hosting one</t>
  </si>
  <si>
    <t xml:space="preserve">Research local marriage license waiting periods</t>
  </si>
  <si>
    <t xml:space="preserve">Confirm venue's alcohol service policy and licensing</t>
  </si>
  <si>
    <t xml:space="preserve">Confirm venue's vendor list restrictions, if any</t>
  </si>
  <si>
    <t xml:space="preserve">Discuss and choose ceremony seating style: traditional or mixed</t>
  </si>
  <si>
    <t xml:space="preserve">Order bridesmaid dresses if not already ordered</t>
  </si>
  <si>
    <t xml:space="preserve">Finalize groomsmen attire orders</t>
  </si>
  <si>
    <t xml:space="preserve">Choose and order flower girl and ring bearer attire</t>
  </si>
  <si>
    <t xml:space="preserve">Schedule first dress fitting</t>
  </si>
  <si>
    <t xml:space="preserve">Book hair and makeup trial date</t>
  </si>
  <si>
    <t xml:space="preserve">Finalize ceremony readings and rituals with officiant</t>
  </si>
  <si>
    <t xml:space="preserve">Choose ceremony music selections</t>
  </si>
  <si>
    <t xml:space="preserve">Choose cocktail hour music selections</t>
  </si>
  <si>
    <t xml:space="preserve">Choose reception music selections</t>
  </si>
  <si>
    <t xml:space="preserve">Draft a do-not-play list for the DJ</t>
  </si>
  <si>
    <t xml:space="preserve">Plan the menu with your caterer</t>
  </si>
  <si>
    <t xml:space="preserve">Choose bar and beverage package</t>
  </si>
  <si>
    <t xml:space="preserve">Decide on wedding cake flavors and design</t>
  </si>
  <si>
    <t xml:space="preserve">Finalize cake order details</t>
  </si>
  <si>
    <t xml:space="preserve">Start planning wedding favors</t>
  </si>
  <si>
    <t xml:space="preserve">Order or make wedding favors</t>
  </si>
  <si>
    <t xml:space="preserve">Plan welcome bags for out of town guests</t>
  </si>
  <si>
    <t xml:space="preserve">Research and book a calligrapher for invitations, if desired</t>
  </si>
  <si>
    <t xml:space="preserve">Design or order wedding invitations</t>
  </si>
  <si>
    <t xml:space="preserve">Proofread invitation wording carefully</t>
  </si>
  <si>
    <t xml:space="preserve">Order invitation envelopes and inserts</t>
  </si>
  <si>
    <t xml:space="preserve">Purchase postage for invitations and RSVP cards</t>
  </si>
  <si>
    <t xml:space="preserve">Finalize the wedding party attire and accessories</t>
  </si>
  <si>
    <t xml:space="preserve">Shop for wedding rings</t>
  </si>
  <si>
    <t xml:space="preserve">Purchase wedding bands</t>
  </si>
  <si>
    <t xml:space="preserve">Schedule ring resizing if needed</t>
  </si>
  <si>
    <t xml:space="preserve">Book hotel rooms for wedding party, if applicable</t>
  </si>
  <si>
    <t xml:space="preserve">Plan rehearsal dinner menu and guest list</t>
  </si>
  <si>
    <t xml:space="preserve">Send rehearsal dinner invitations</t>
  </si>
  <si>
    <t xml:space="preserve">Finalize honeymoon itinerary</t>
  </si>
  <si>
    <t xml:space="preserve">Book honeymoon accommodations</t>
  </si>
  <si>
    <t xml:space="preserve">Purchase travel insurance for honeymoon</t>
  </si>
  <si>
    <t xml:space="preserve">Start dress alterations</t>
  </si>
  <si>
    <t xml:space="preserve">Choose bridal accessories: veil, jewelry, shoes</t>
  </si>
  <si>
    <t xml:space="preserve">Purchase bridal accessories</t>
  </si>
  <si>
    <t xml:space="preserve">Choose groom's accessories: tie, cufflinks, shoes</t>
  </si>
  <si>
    <t xml:space="preserve">Purchase groom's accessories</t>
  </si>
  <si>
    <t xml:space="preserve">Plan the ceremony processional order</t>
  </si>
  <si>
    <t xml:space="preserve">Discuss unity ritual for ceremony, if desired</t>
  </si>
  <si>
    <t xml:space="preserve">Book florist final consultation date</t>
  </si>
  <si>
    <t xml:space="preserve">Confirm floral order details: bouquets, centerpieces, boutonnieres</t>
  </si>
  <si>
    <t xml:space="preserve">Research and book transportation for wedding party</t>
  </si>
  <si>
    <t xml:space="preserve">Plan guest transportation logistics if needed</t>
  </si>
  <si>
    <t xml:space="preserve">Confirm decor rental order with vendor</t>
  </si>
  <si>
    <t xml:space="preserve">Research photo and video shot list ideas</t>
  </si>
  <si>
    <t xml:space="preserve">Draft photo and video shot list</t>
  </si>
  <si>
    <t xml:space="preserve">Plan engagement photos, if not already taken</t>
  </si>
  <si>
    <t xml:space="preserve">Schedule engagement photo session</t>
  </si>
  <si>
    <t xml:space="preserve">Choose thank you card design for gifts</t>
  </si>
  <si>
    <t xml:space="preserve">Set up a system for tracking gifts received</t>
  </si>
  <si>
    <t xml:space="preserve">Compare Venue packages, pricing, and availability</t>
  </si>
  <si>
    <t xml:space="preserve">Book and sign contract with chosen Venue</t>
  </si>
  <si>
    <t xml:space="preserve">Pay deposit to secure Venue</t>
  </si>
  <si>
    <t xml:space="preserve">Compare Caterer packages, pricing, and availability</t>
  </si>
  <si>
    <t xml:space="preserve">Book and sign contract with chosen Caterer</t>
  </si>
  <si>
    <t xml:space="preserve">Pay deposit to secure Caterer</t>
  </si>
  <si>
    <t xml:space="preserve">Compare Photographer packages, pricing, and availability</t>
  </si>
  <si>
    <t xml:space="preserve">Book and sign contract with chosen Photographer</t>
  </si>
  <si>
    <t xml:space="preserve">Pay deposit to secure Photographer</t>
  </si>
  <si>
    <t xml:space="preserve">Compare Videographer packages, pricing, and availability</t>
  </si>
  <si>
    <t xml:space="preserve">Book and sign contract with chosen Videographer</t>
  </si>
  <si>
    <t xml:space="preserve">Pay deposit to secure Videographer</t>
  </si>
  <si>
    <t xml:space="preserve">Compare Florist packages, pricing, and availability</t>
  </si>
  <si>
    <t xml:space="preserve">Book and sign contract with chosen Florist</t>
  </si>
  <si>
    <t xml:space="preserve">Pay deposit to secure Florist</t>
  </si>
  <si>
    <t xml:space="preserve">Compare DJ or Band packages, pricing, and availability</t>
  </si>
  <si>
    <t xml:space="preserve">Book and sign contract with chosen DJ or Band</t>
  </si>
  <si>
    <t xml:space="preserve">Pay deposit to secure DJ or Band</t>
  </si>
  <si>
    <t xml:space="preserve">Compare Officiant packages, pricing, and availability</t>
  </si>
  <si>
    <t xml:space="preserve">Book and sign contract with chosen Officiant</t>
  </si>
  <si>
    <t xml:space="preserve">Pay deposit to secure Officiant</t>
  </si>
  <si>
    <t xml:space="preserve">Compare Rental Company packages, pricing, and availability</t>
  </si>
  <si>
    <t xml:space="preserve">Book and sign contract with chosen Rental Company</t>
  </si>
  <si>
    <t xml:space="preserve">Pay deposit to secure Rental Company</t>
  </si>
  <si>
    <t xml:space="preserve">Compare Decor Stylist packages, pricing, and availability</t>
  </si>
  <si>
    <t xml:space="preserve">Book and sign contract with chosen Decor Stylist</t>
  </si>
  <si>
    <t xml:space="preserve">Pay deposit to secure Decor Stylist</t>
  </si>
  <si>
    <t xml:space="preserve">Compare Hair Stylist packages, pricing, and availability</t>
  </si>
  <si>
    <t xml:space="preserve">Book and sign contract with chosen Hair Stylist</t>
  </si>
  <si>
    <t xml:space="preserve">Pay deposit to secure Hair Stylist</t>
  </si>
  <si>
    <t xml:space="preserve">Compare Makeup Artist packages, pricing, and availability</t>
  </si>
  <si>
    <t xml:space="preserve">Book and sign contract with chosen Makeup Artist</t>
  </si>
  <si>
    <t xml:space="preserve">Pay deposit to secure Makeup Artist</t>
  </si>
  <si>
    <t xml:space="preserve">Compare Transportation Company packages, pricing, and availability</t>
  </si>
  <si>
    <t xml:space="preserve">Book and sign contract with chosen Transportation Company</t>
  </si>
  <si>
    <t xml:space="preserve">Pay deposit to secure Transportation Company</t>
  </si>
  <si>
    <t xml:space="preserve">Compare Cake Baker packages, pricing, and availability</t>
  </si>
  <si>
    <t xml:space="preserve">Book and sign contract with chosen Cake Baker</t>
  </si>
  <si>
    <t xml:space="preserve">Pay deposit to secure Cake Baker</t>
  </si>
  <si>
    <t xml:space="preserve">Compare Stationer packages, pricing, and availability</t>
  </si>
  <si>
    <t xml:space="preserve">Book and sign contract with chosen Stationer</t>
  </si>
  <si>
    <t xml:space="preserve">Pay deposit to secure Stationer</t>
  </si>
  <si>
    <t xml:space="preserve">Compare Favor Supplier packages, pricing, and availability</t>
  </si>
  <si>
    <t xml:space="preserve">Book and sign contract with chosen Favor Supplier</t>
  </si>
  <si>
    <t xml:space="preserve">Pay deposit to secure Favor Supplier</t>
  </si>
  <si>
    <t xml:space="preserve">Compare Lighting Company packages, pricing, and availability</t>
  </si>
  <si>
    <t xml:space="preserve">Book and sign contract with chosen Lighting Company</t>
  </si>
  <si>
    <t xml:space="preserve">Pay deposit to secure Lighting Company</t>
  </si>
  <si>
    <t xml:space="preserve">Compare Wedding Planner packages, pricing, and availability</t>
  </si>
  <si>
    <t xml:space="preserve">Book and sign contract with chosen Wedding Planner</t>
  </si>
  <si>
    <t xml:space="preserve">Pay deposit to secure Wedding Planner</t>
  </si>
  <si>
    <t xml:space="preserve">Compare Photo Booth Company packages, pricing, and availability</t>
  </si>
  <si>
    <t xml:space="preserve">Book and sign contract with chosen Photo Booth Company</t>
  </si>
  <si>
    <t xml:space="preserve">Pay deposit to secure Photo Booth Company</t>
  </si>
  <si>
    <t xml:space="preserve">Confirm bridesmaid dress sizing chart and order deadlines</t>
  </si>
  <si>
    <t xml:space="preserve">Confirm groomsmen rental sizing appointments</t>
  </si>
  <si>
    <t xml:space="preserve">Choose flower girl basket and ring bearer pillow</t>
  </si>
  <si>
    <t xml:space="preserve">Discuss unplugged ceremony policy, if desired</t>
  </si>
  <si>
    <t xml:space="preserve">Research local rules for releasing balloons, sparklers, or confetti</t>
  </si>
  <si>
    <t xml:space="preserve">Confirm venue's vendor insurance requirements list</t>
  </si>
  <si>
    <t xml:space="preserve">Choose a wedding day beauty routine and skincare plan</t>
  </si>
  <si>
    <t xml:space="preserve">Schedule any teeth whitening or spa treatments</t>
  </si>
  <si>
    <t xml:space="preserve">Update the wedding budget spreadsheet after paying Venue</t>
  </si>
  <si>
    <t xml:space="preserve">Update the wedding budget spreadsheet after paying Caterer</t>
  </si>
  <si>
    <t xml:space="preserve">Update the wedding budget spreadsheet after paying Photographer</t>
  </si>
  <si>
    <t xml:space="preserve">Update the wedding budget spreadsheet after paying Videographer</t>
  </si>
  <si>
    <t xml:space="preserve">Update the wedding budget spreadsheet after paying Florist</t>
  </si>
  <si>
    <t xml:space="preserve">Update the wedding budget spreadsheet after paying DJ or Band</t>
  </si>
  <si>
    <t xml:space="preserve">Update the wedding budget spreadsheet after paying Officiant</t>
  </si>
  <si>
    <t xml:space="preserve">Update the wedding budget spreadsheet after paying Rental Company</t>
  </si>
  <si>
    <t xml:space="preserve">Update the wedding budget spreadsheet after paying Decor Stylist</t>
  </si>
  <si>
    <t xml:space="preserve">Update the wedding budget spreadsheet after paying Hair Stylist</t>
  </si>
  <si>
    <t xml:space="preserve">Update the wedding budget spreadsheet after paying Makeup Artist</t>
  </si>
  <si>
    <t xml:space="preserve">Update the wedding budget spreadsheet after paying Transportation Company</t>
  </si>
  <si>
    <t xml:space="preserve">Update the wedding budget spreadsheet after paying Cake Baker</t>
  </si>
  <si>
    <t xml:space="preserve">Update the wedding budget spreadsheet after paying Stationer</t>
  </si>
  <si>
    <t xml:space="preserve">Update the wedding budget spreadsheet after paying Favor Supplier</t>
  </si>
  <si>
    <t xml:space="preserve">Update the wedding budget spreadsheet after paying Lighting Company</t>
  </si>
  <si>
    <t xml:space="preserve">Update the wedding budget spreadsheet after paying Wedding Planner</t>
  </si>
  <si>
    <t xml:space="preserve">Update the wedding budget spreadsheet after paying Photo Booth Company</t>
  </si>
  <si>
    <t xml:space="preserve">Confirm final guest list address list is complete for invitations</t>
  </si>
  <si>
    <t xml:space="preserve">Choose invitation suite paper stock and printing method</t>
  </si>
  <si>
    <t xml:space="preserve">Finalize wedding invitation wording</t>
  </si>
  <si>
    <t xml:space="preserve">Address wedding invitation envelopes</t>
  </si>
  <si>
    <t xml:space="preserve">Mail wedding invitations (aim for 6 to 8 weeks before)</t>
  </si>
  <si>
    <t xml:space="preserve">Set an RSVP deadline on invitations</t>
  </si>
  <si>
    <t xml:space="preserve">Track RSVPs as they arrive in the guest list</t>
  </si>
  <si>
    <t xml:space="preserve">Follow up on wedding website RSVP settings</t>
  </si>
  <si>
    <t xml:space="preserve">Plan the bridal shower with maid of honor</t>
  </si>
  <si>
    <t xml:space="preserve">Send bridal shower invitations</t>
  </si>
  <si>
    <t xml:space="preserve">Plan the bachelorette party or trip</t>
  </si>
  <si>
    <t xml:space="preserve">Send bachelorette party invitations</t>
  </si>
  <si>
    <t xml:space="preserve">Plan the bachelor party or trip</t>
  </si>
  <si>
    <t xml:space="preserve">Send bachelor party invitations</t>
  </si>
  <si>
    <t xml:space="preserve">Confirm wedding party attire measurements are submitted</t>
  </si>
  <si>
    <t xml:space="preserve">Attend second dress fitting</t>
  </si>
  <si>
    <t xml:space="preserve">Purchase undergarments and shapewear for wedding attire</t>
  </si>
  <si>
    <t xml:space="preserve">Confirm groomsmen attire measurements are submitted</t>
  </si>
  <si>
    <t xml:space="preserve">Plan the rehearsal dinner details and timeline</t>
  </si>
  <si>
    <t xml:space="preserve">Finalize rehearsal dinner menu</t>
  </si>
  <si>
    <t xml:space="preserve">Order rehearsal dinner invitations if separate from wedding</t>
  </si>
  <si>
    <t xml:space="preserve">Meet with officiant to finalize ceremony script</t>
  </si>
  <si>
    <t xml:space="preserve">Write personal vows, if applicable</t>
  </si>
  <si>
    <t xml:space="preserve">Choose ceremony readers and inform them</t>
  </si>
  <si>
    <t xml:space="preserve">Confirm ceremony musicians and song list</t>
  </si>
  <si>
    <t xml:space="preserve">Confirm reception band or DJ song list and timeline</t>
  </si>
  <si>
    <t xml:space="preserve">Finalize seating chart draft using RSVP data</t>
  </si>
  <si>
    <t xml:space="preserve">Plan kids' table or activities, if applicable</t>
  </si>
  <si>
    <t xml:space="preserve">Order table numbers and place cards</t>
  </si>
  <si>
    <t xml:space="preserve">Order wedding programs</t>
  </si>
  <si>
    <t xml:space="preserve">Choose and order guest book</t>
  </si>
  <si>
    <t xml:space="preserve">Choose and order card box or gift table sign</t>
  </si>
  <si>
    <t xml:space="preserve">Plan welcome sign and other wedding day signage</t>
  </si>
  <si>
    <t xml:space="preserve">Order signage for reception (bar menu, seating chart, welcome sign)</t>
  </si>
  <si>
    <t xml:space="preserve">Confirm final decor rental order and delivery details</t>
  </si>
  <si>
    <t xml:space="preserve">Confirm lighting plan with vendor</t>
  </si>
  <si>
    <t xml:space="preserve">Confirm florist delivery and setup timeline</t>
  </si>
  <si>
    <t xml:space="preserve">Plan the getting-ready timeline for hair and makeup</t>
  </si>
  <si>
    <t xml:space="preserve">Confirm hair and makeup trial results and finalize looks</t>
  </si>
  <si>
    <t xml:space="preserve">Purchase gifts for parents</t>
  </si>
  <si>
    <t xml:space="preserve">Purchase gifts for wedding party</t>
  </si>
  <si>
    <t xml:space="preserve">Wrap wedding party and parent gifts</t>
  </si>
  <si>
    <t xml:space="preserve">Confirm honeymoon packing list start</t>
  </si>
  <si>
    <t xml:space="preserve">Renew or apply for passport if needed for honeymoon</t>
  </si>
  <si>
    <t xml:space="preserve">Confirm travel documents for honeymoon</t>
  </si>
  <si>
    <t xml:space="preserve">Schedule a final walkthrough at ceremony venue</t>
  </si>
  <si>
    <t xml:space="preserve">Schedule a final walkthrough at reception venue</t>
  </si>
  <si>
    <t xml:space="preserve">Draft the detailed wedding day timeline</t>
  </si>
  <si>
    <t xml:space="preserve">Share draft timeline with wedding party and vendors for feedback</t>
  </si>
  <si>
    <t xml:space="preserve">Confirm transportation pickup times and locations</t>
  </si>
  <si>
    <t xml:space="preserve">Order or confirm cake topper and cake serving set</t>
  </si>
  <si>
    <t xml:space="preserve">Choose and purchase toasting flutes and cake cutting set</t>
  </si>
  <si>
    <t xml:space="preserve">Book a post-wedding brunch venue, if hosting one</t>
  </si>
  <si>
    <t xml:space="preserve">Confirm final details and timeline with Venue</t>
  </si>
  <si>
    <t xml:space="preserve">Confirm final details and timeline with Caterer</t>
  </si>
  <si>
    <t xml:space="preserve">Confirm final details and timeline with Photographer</t>
  </si>
  <si>
    <t xml:space="preserve">Confirm final details and timeline with Videographer</t>
  </si>
  <si>
    <t xml:space="preserve">Confirm final details and timeline with Florist</t>
  </si>
  <si>
    <t xml:space="preserve">Confirm final details and timeline with DJ or Band</t>
  </si>
  <si>
    <t xml:space="preserve">Confirm final details and timeline with Officiant</t>
  </si>
  <si>
    <t xml:space="preserve">Confirm final details and timeline with Rental Company</t>
  </si>
  <si>
    <t xml:space="preserve">Confirm final details and timeline with Decor Stylist</t>
  </si>
  <si>
    <t xml:space="preserve">Confirm final details and timeline with Hair Stylist</t>
  </si>
  <si>
    <t xml:space="preserve">Confirm final details and timeline with Makeup Artist</t>
  </si>
  <si>
    <t xml:space="preserve">Confirm final details and timeline with Transportation Company</t>
  </si>
  <si>
    <t xml:space="preserve">Confirm final details and timeline with Cake Baker</t>
  </si>
  <si>
    <t xml:space="preserve">Confirm final details and timeline with Stationer</t>
  </si>
  <si>
    <t xml:space="preserve">Confirm final details and timeline with Favor Supplier</t>
  </si>
  <si>
    <t xml:space="preserve">Confirm final details and timeline with Lighting Company</t>
  </si>
  <si>
    <t xml:space="preserve">Confirm final details and timeline with Wedding Planner</t>
  </si>
  <si>
    <t xml:space="preserve">Confirm final details and timeline with Photo Booth Company</t>
  </si>
  <si>
    <t xml:space="preserve">Confirm final RSVP tracking method with wedding website</t>
  </si>
  <si>
    <t xml:space="preserve">Set up a physical mailbox check routine for RSVP cards</t>
  </si>
  <si>
    <t xml:space="preserve">Confirm children's meal options with caterer</t>
  </si>
  <si>
    <t xml:space="preserve">Confirm dietary restriction options with caterer</t>
  </si>
  <si>
    <t xml:space="preserve">Discuss and finalize wedding favor packaging</t>
  </si>
  <si>
    <t xml:space="preserve">Confirm menu tasting feedback is shared with caterer</t>
  </si>
  <si>
    <t xml:space="preserve">Choose and order aisle runner or ceremony decor accents</t>
  </si>
  <si>
    <t xml:space="preserve">Confirm ceremony seating arrangement for immediate family</t>
  </si>
  <si>
    <t xml:space="preserve">Reconfirm Venue booking details in writing by email</t>
  </si>
  <si>
    <t xml:space="preserve">Reconfirm Caterer booking details in writing by email</t>
  </si>
  <si>
    <t xml:space="preserve">Reconfirm Photographer booking details in writing by email</t>
  </si>
  <si>
    <t xml:space="preserve">Reconfirm Videographer booking details in writing by email</t>
  </si>
  <si>
    <t xml:space="preserve">Reconfirm Florist booking details in writing by email</t>
  </si>
  <si>
    <t xml:space="preserve">Reconfirm DJ or Band booking details in writing by email</t>
  </si>
  <si>
    <t xml:space="preserve">Reconfirm Officiant booking details in writing by email</t>
  </si>
  <si>
    <t xml:space="preserve">Reconfirm Rental Company booking details in writing by email</t>
  </si>
  <si>
    <t xml:space="preserve">Reconfirm Decor Stylist booking details in writing by email</t>
  </si>
  <si>
    <t xml:space="preserve">Reconfirm Hair Stylist booking details in writing by email</t>
  </si>
  <si>
    <t xml:space="preserve">Reconfirm Makeup Artist booking details in writing by email</t>
  </si>
  <si>
    <t xml:space="preserve">Reconfirm Transportation Company booking details in writing by email</t>
  </si>
  <si>
    <t xml:space="preserve">Reconfirm Cake Baker booking details in writing by email</t>
  </si>
  <si>
    <t xml:space="preserve">Reconfirm Stationer booking details in writing by email</t>
  </si>
  <si>
    <t xml:space="preserve">Reconfirm Favor Supplier booking details in writing by email</t>
  </si>
  <si>
    <t xml:space="preserve">Reconfirm Lighting Company booking details in writing by email</t>
  </si>
  <si>
    <t xml:space="preserve">Reconfirm Wedding Planner booking details in writing by email</t>
  </si>
  <si>
    <t xml:space="preserve">Reconfirm Photo Booth Company booking details in writing by email</t>
  </si>
  <si>
    <t xml:space="preserve">Confirm RSVP card return address and postage are correct</t>
  </si>
  <si>
    <t xml:space="preserve">Confirm invitation mailing tracking method</t>
  </si>
  <si>
    <t xml:space="preserve">Apply for marriage license (check your state's timing window)</t>
  </si>
  <si>
    <t xml:space="preserve">Confirm name change paperwork plan, if applicable</t>
  </si>
  <si>
    <t xml:space="preserve">Finalize guest count with venue and caterer</t>
  </si>
  <si>
    <t xml:space="preserve">Finalize guest count with rental company</t>
  </si>
  <si>
    <t xml:space="preserve">Confirm final headcount for rehearsal dinner</t>
  </si>
  <si>
    <t xml:space="preserve">Order additional wedding favors if needed based on headcount</t>
  </si>
  <si>
    <t xml:space="preserve">Confirm final floral order based on headcount</t>
  </si>
  <si>
    <t xml:space="preserve">Schedule final dress fitting</t>
  </si>
  <si>
    <t xml:space="preserve">Schedule final suit or tuxedo fitting</t>
  </si>
  <si>
    <t xml:space="preserve">Break in wedding day shoes</t>
  </si>
  <si>
    <t xml:space="preserve">Purchase or rent wedding day emergency kit supplies</t>
  </si>
  <si>
    <t xml:space="preserve">Confirm final payment schedule for all vendors</t>
  </si>
  <si>
    <t xml:space="preserve">Create a vendor payment tracking log with due dates</t>
  </si>
  <si>
    <t xml:space="preserve">Confirm rehearsal dinner headcount and menu</t>
  </si>
  <si>
    <t xml:space="preserve">Send rehearsal details to wedding party</t>
  </si>
  <si>
    <t xml:space="preserve">Finalize seating chart based on final RSVPs</t>
  </si>
  <si>
    <t xml:space="preserve">Print seating chart and table assignment cards</t>
  </si>
  <si>
    <t xml:space="preserve">Confirm menu choices are collected from guests, if offered</t>
  </si>
  <si>
    <t xml:space="preserve">Update caterer with final meal preference counts</t>
  </si>
  <si>
    <t xml:space="preserve">Confirm cake flavors and final design with baker</t>
  </si>
  <si>
    <t xml:space="preserve">Schedule cake delivery time with baker</t>
  </si>
  <si>
    <t xml:space="preserve">Purchase or confirm wedding day accessories: garter, cufflinks, etc.</t>
  </si>
  <si>
    <t xml:space="preserve">Finalize the wedding day hair and makeup schedule</t>
  </si>
  <si>
    <t xml:space="preserve">Confirm hotel room block final guest count</t>
  </si>
  <si>
    <t xml:space="preserve">Send hotel information to out of town guests</t>
  </si>
  <si>
    <t xml:space="preserve">Plan welcome bags contents and assembly</t>
  </si>
  <si>
    <t xml:space="preserve">Assemble welcome bags for out of town guests</t>
  </si>
  <si>
    <t xml:space="preserve">Confirm honeymoon reservations and itinerary details</t>
  </si>
  <si>
    <t xml:space="preserve">Purchase honeymoon outfits and essentials</t>
  </si>
  <si>
    <t xml:space="preserve">Confirm travel insurance is active</t>
  </si>
  <si>
    <t xml:space="preserve">Draft thank you notes for early gifts received</t>
  </si>
  <si>
    <t xml:space="preserve">Mail thank you notes for gifts received so far</t>
  </si>
  <si>
    <t xml:space="preserve">Confirm ceremony rehearsal date and time with officiant</t>
  </si>
  <si>
    <t xml:space="preserve">Confirm ceremony rehearsal date and time with wedding party</t>
  </si>
  <si>
    <t xml:space="preserve">Finalize processional and recessional order</t>
  </si>
  <si>
    <t xml:space="preserve">Confirm readers and their reading selections</t>
  </si>
  <si>
    <t xml:space="preserve">Print ceremony programs</t>
  </si>
  <si>
    <t xml:space="preserve">Confirm final floral delivery and setup time</t>
  </si>
  <si>
    <t xml:space="preserve">Confirm final lighting and decor setup time</t>
  </si>
  <si>
    <t xml:space="preserve">Confirm DJ or band final song list and announcements</t>
  </si>
  <si>
    <t xml:space="preserve">Provide DJ or band with a do-not-play list</t>
  </si>
  <si>
    <t xml:space="preserve">Confirm photographer and videographer shot list and timeline</t>
  </si>
  <si>
    <t xml:space="preserve">Share final day-of timeline with all vendors</t>
  </si>
  <si>
    <t xml:space="preserve">Share final day-of timeline with wedding party</t>
  </si>
  <si>
    <t xml:space="preserve">Confirm transportation schedule with driver or company</t>
  </si>
  <si>
    <t xml:space="preserve">Purchase tip envelopes for vendors</t>
  </si>
  <si>
    <t xml:space="preserve">Calculate and set aside vendor gratuities</t>
  </si>
  <si>
    <t xml:space="preserve">Confirm final headcount with bar service</t>
  </si>
  <si>
    <t xml:space="preserve">Order any additional signage needed for the day</t>
  </si>
  <si>
    <t xml:space="preserve">Confirm officiant has the marriage license details</t>
  </si>
  <si>
    <t xml:space="preserve">Pay final balance to Venue</t>
  </si>
  <si>
    <t xml:space="preserve">Pay final balance to Caterer</t>
  </si>
  <si>
    <t xml:space="preserve">Pay final balance to Photographer</t>
  </si>
  <si>
    <t xml:space="preserve">Pay final balance to Videographer</t>
  </si>
  <si>
    <t xml:space="preserve">Pay final balance to Florist</t>
  </si>
  <si>
    <t xml:space="preserve">Pay final balance to DJ or Band</t>
  </si>
  <si>
    <t xml:space="preserve">Pay final balance to Officiant</t>
  </si>
  <si>
    <t xml:space="preserve">Pay final balance to Rental Company</t>
  </si>
  <si>
    <t xml:space="preserve">Pay final balance to Decor Stylist</t>
  </si>
  <si>
    <t xml:space="preserve">Pay final balance to Hair Stylist</t>
  </si>
  <si>
    <t xml:space="preserve">Pay final balance to Makeup Artist</t>
  </si>
  <si>
    <t xml:space="preserve">Pay final balance to Transportation Company</t>
  </si>
  <si>
    <t xml:space="preserve">Pay final balance to Cake Baker</t>
  </si>
  <si>
    <t xml:space="preserve">Pay final balance to Stationer</t>
  </si>
  <si>
    <t xml:space="preserve">Pay final balance to Favor Supplier</t>
  </si>
  <si>
    <t xml:space="preserve">Pay final balance to Lighting Company</t>
  </si>
  <si>
    <t xml:space="preserve">Pay final balance to Wedding Planner</t>
  </si>
  <si>
    <t xml:space="preserve">Pay final balance to Photo Booth Company</t>
  </si>
  <si>
    <t xml:space="preserve">Confirm name change document checklist is ready post-wedding</t>
  </si>
  <si>
    <t xml:space="preserve">Confirm final headcount adjustments are sent to florist</t>
  </si>
  <si>
    <t xml:space="preserve">Reconfirm honeymoon packing list categories</t>
  </si>
  <si>
    <t xml:space="preserve">Confirm any dietary needs are communicated to rehearsal dinner venue</t>
  </si>
  <si>
    <t xml:space="preserve">Confirm final guest list is shared with the officiant for programs</t>
  </si>
  <si>
    <t xml:space="preserve">Draft the wedding party processional walking order diagram</t>
  </si>
  <si>
    <t xml:space="preserve">File Venue payment receipt in the wedding budget records</t>
  </si>
  <si>
    <t xml:space="preserve">File Caterer payment receipt in the wedding budget records</t>
  </si>
  <si>
    <t xml:space="preserve">File Photographer payment receipt in the wedding budget records</t>
  </si>
  <si>
    <t xml:space="preserve">File Videographer payment receipt in the wedding budget records</t>
  </si>
  <si>
    <t xml:space="preserve">File Florist payment receipt in the wedding budget records</t>
  </si>
  <si>
    <t xml:space="preserve">File DJ or Band payment receipt in the wedding budget records</t>
  </si>
  <si>
    <t xml:space="preserve">File Officiant payment receipt in the wedding budget records</t>
  </si>
  <si>
    <t xml:space="preserve">File Rental Company payment receipt in the wedding budget records</t>
  </si>
  <si>
    <t xml:space="preserve">File Decor Stylist payment receipt in the wedding budget records</t>
  </si>
  <si>
    <t xml:space="preserve">File Hair Stylist payment receipt in the wedding budget records</t>
  </si>
  <si>
    <t xml:space="preserve">File Makeup Artist payment receipt in the wedding budget records</t>
  </si>
  <si>
    <t xml:space="preserve">File Transportation Company payment receipt in the wedding budget records</t>
  </si>
  <si>
    <t xml:space="preserve">File Cake Baker payment receipt in the wedding budget records</t>
  </si>
  <si>
    <t xml:space="preserve">File Stationer payment receipt in the wedding budget records</t>
  </si>
  <si>
    <t xml:space="preserve">File Favor Supplier payment receipt in the wedding budget records</t>
  </si>
  <si>
    <t xml:space="preserve">File Lighting Company payment receipt in the wedding budget records</t>
  </si>
  <si>
    <t xml:space="preserve">File Wedding Planner payment receipt in the wedding budget records</t>
  </si>
  <si>
    <t xml:space="preserve">File Photo Booth Company payment receipt in the wedding budget records</t>
  </si>
  <si>
    <t xml:space="preserve">Finalize and confirm seating chart</t>
  </si>
  <si>
    <t xml:space="preserve">Print place cards and table numbers</t>
  </si>
  <si>
    <t xml:space="preserve">Confirm final RSVP count is entered in guest list</t>
  </si>
  <si>
    <t xml:space="preserve">Follow up with guests who have not yet RSVPed</t>
  </si>
  <si>
    <t xml:space="preserve">Send final headcount to caterer</t>
  </si>
  <si>
    <t xml:space="preserve">Send final headcount to venue</t>
  </si>
  <si>
    <t xml:space="preserve">Send final headcount to rental company</t>
  </si>
  <si>
    <t xml:space="preserve">Confirm final floral order and delivery window</t>
  </si>
  <si>
    <t xml:space="preserve">Confirm final cake order and delivery window</t>
  </si>
  <si>
    <t xml:space="preserve">Confirm final transportation details</t>
  </si>
  <si>
    <t xml:space="preserve">Pick up or confirm delivery of wedding rings</t>
  </si>
  <si>
    <t xml:space="preserve">Confirm final dress fitting appointment</t>
  </si>
  <si>
    <t xml:space="preserve">Confirm final suit or tuxedo fitting appointment</t>
  </si>
  <si>
    <t xml:space="preserve">Break in wedding shoes further if needed</t>
  </si>
  <si>
    <t xml:space="preserve">Prepare emergency kit for wedding day</t>
  </si>
  <si>
    <t xml:space="preserve">Prepare a day-of essentials bag</t>
  </si>
  <si>
    <t xml:space="preserve">Confirm hotel accommodations for wedding party</t>
  </si>
  <si>
    <t xml:space="preserve">Confirm accommodations for out of town family</t>
  </si>
  <si>
    <t xml:space="preserve">Distribute welcome bags to hotel front desk, if applicable</t>
  </si>
  <si>
    <t xml:space="preserve">Finalize the rehearsal dinner run of show</t>
  </si>
  <si>
    <t xml:space="preserve">Confirm rehearsal dinner toasts and speakers</t>
  </si>
  <si>
    <t xml:space="preserve">Draft wedding day emergency contact sheet</t>
  </si>
  <si>
    <t xml:space="preserve">Share emergency contact sheet with wedding party and vendors</t>
  </si>
  <si>
    <t xml:space="preserve">Confirm final payment amounts due on wedding day</t>
  </si>
  <si>
    <t xml:space="preserve">Prepare vendor tip envelopes with names and amounts</t>
  </si>
  <si>
    <t xml:space="preserve">Assign a point person to distribute vendor tips on the day</t>
  </si>
  <si>
    <t xml:space="preserve">Confirm officiant will bring the marriage license paperwork</t>
  </si>
  <si>
    <t xml:space="preserve">Pack for the honeymoon</t>
  </si>
  <si>
    <t xml:space="preserve">Confirm honeymoon travel check-in details</t>
  </si>
  <si>
    <t xml:space="preserve">Arrange pet care or plant care during the honeymoon</t>
  </si>
  <si>
    <t xml:space="preserve">Arrange mail hold or house sitting during the honeymoon</t>
  </si>
  <si>
    <t xml:space="preserve">Confirm final guest meal counts by meal type</t>
  </si>
  <si>
    <t xml:space="preserve">Confirm final bar package and signature cocktails</t>
  </si>
  <si>
    <t xml:space="preserve">Print or confirm menu cards for reception tables</t>
  </si>
  <si>
    <t xml:space="preserve">Confirm final music timeline: processional, first dance, last song</t>
  </si>
  <si>
    <t xml:space="preserve">Practice father-daughter or parent dances if planned</t>
  </si>
  <si>
    <t xml:space="preserve">Confirm speeches and toasts order with speakers</t>
  </si>
  <si>
    <t xml:space="preserve">Ask a friend to manage gifts and cards during reception</t>
  </si>
  <si>
    <t xml:space="preserve">Confirm guest book and pen are ready</t>
  </si>
  <si>
    <t xml:space="preserve">Confirm card box or gift table setup plan</t>
  </si>
  <si>
    <t xml:space="preserve">Confirm final headcount for any kids' activities or table</t>
  </si>
  <si>
    <t xml:space="preserve">Reconfirm all vendor arrival times</t>
  </si>
  <si>
    <t xml:space="preserve">Draft a setup and breakdown responsibility list</t>
  </si>
  <si>
    <t xml:space="preserve">Confirm who is responsible for returning rentals</t>
  </si>
  <si>
    <t xml:space="preserve">Confirm getting-ready location logistics for both partners</t>
  </si>
  <si>
    <t xml:space="preserve">Plan first look timing and location, if doing one</t>
  </si>
  <si>
    <t xml:space="preserve">Finalize photo and video shot list with specific family groupings</t>
  </si>
  <si>
    <t xml:space="preserve">Share family formal photo list with photographer</t>
  </si>
  <si>
    <t xml:space="preserve">Confirm weather backup plan for outdoor elements</t>
  </si>
  <si>
    <t xml:space="preserve">Reconfirm final numbers with all remaining vendors</t>
  </si>
  <si>
    <t xml:space="preserve">Confirm final table layout diagram with venue coordinator</t>
  </si>
  <si>
    <t xml:space="preserve">Confirm final linens and chair styles with rental company</t>
  </si>
  <si>
    <t xml:space="preserve">Confirm final AV or microphone needs for speeches</t>
  </si>
  <si>
    <t xml:space="preserve">Confirm final headcount for any late-night snack service</t>
  </si>
  <si>
    <t xml:space="preserve">Confirm umbrella or fan favors for outdoor guests, if needed</t>
  </si>
  <si>
    <t xml:space="preserve">Confirm sunset time for outdoor photo planning</t>
  </si>
  <si>
    <t xml:space="preserve">Reconfirm all guest dietary restrictions are logged</t>
  </si>
  <si>
    <t xml:space="preserve">Confirm final guest list is shared with security or venue staff, if required</t>
  </si>
  <si>
    <t xml:space="preserve">Add Venue contract to the wedding vendor binder</t>
  </si>
  <si>
    <t xml:space="preserve">Save Venue contact info to the shared wedding phone list</t>
  </si>
  <si>
    <t xml:space="preserve">Add Caterer contract to the wedding vendor binder</t>
  </si>
  <si>
    <t xml:space="preserve">Save Caterer contact info to the shared wedding phone list</t>
  </si>
  <si>
    <t xml:space="preserve">Add Photographer contract to the wedding vendor binder</t>
  </si>
  <si>
    <t xml:space="preserve">Save Photographer contact info to the shared wedding phone list</t>
  </si>
  <si>
    <t xml:space="preserve">Add Videographer contract to the wedding vendor binder</t>
  </si>
  <si>
    <t xml:space="preserve">Save Videographer contact info to the shared wedding phone list</t>
  </si>
  <si>
    <t xml:space="preserve">Add Florist contract to the wedding vendor binder</t>
  </si>
  <si>
    <t xml:space="preserve">Save Florist contact info to the shared wedding phone list</t>
  </si>
  <si>
    <t xml:space="preserve">Add DJ or Band contract to the wedding vendor binder</t>
  </si>
  <si>
    <t xml:space="preserve">Save DJ or Band contact info to the shared wedding phone list</t>
  </si>
  <si>
    <t xml:space="preserve">Add Officiant contract to the wedding vendor binder</t>
  </si>
  <si>
    <t xml:space="preserve">Save Officiant contact info to the shared wedding phone list</t>
  </si>
  <si>
    <t xml:space="preserve">Add Rental Company contract to the wedding vendor binder</t>
  </si>
  <si>
    <t xml:space="preserve">Save Rental Company contact info to the shared wedding phone list</t>
  </si>
  <si>
    <t xml:space="preserve">Add Decor Stylist contract to the wedding vendor binder</t>
  </si>
  <si>
    <t xml:space="preserve">Save Decor Stylist contact info to the shared wedding phone list</t>
  </si>
  <si>
    <t xml:space="preserve">Add Hair Stylist contract to the wedding vendor binder</t>
  </si>
  <si>
    <t xml:space="preserve">Save Hair Stylist contact info to the shared wedding phone list</t>
  </si>
  <si>
    <t xml:space="preserve">Add Makeup Artist contract to the wedding vendor binder</t>
  </si>
  <si>
    <t xml:space="preserve">Save Makeup Artist contact info to the shared wedding phone list</t>
  </si>
  <si>
    <t xml:space="preserve">Add Transportation Company contract to the wedding vendor binder</t>
  </si>
  <si>
    <t xml:space="preserve">Save Transportation Company contact info to the shared wedding phone list</t>
  </si>
  <si>
    <t xml:space="preserve">Add Cake Baker contract to the wedding vendor binder</t>
  </si>
  <si>
    <t xml:space="preserve">Save Cake Baker contact info to the shared wedding phone list</t>
  </si>
  <si>
    <t xml:space="preserve">Add Stationer contract to the wedding vendor binder</t>
  </si>
  <si>
    <t xml:space="preserve">Save Stationer contact info to the shared wedding phone list</t>
  </si>
  <si>
    <t xml:space="preserve">Add Favor Supplier contract to the wedding vendor binder</t>
  </si>
  <si>
    <t xml:space="preserve">Save Favor Supplier contact info to the shared wedding phone list</t>
  </si>
  <si>
    <t xml:space="preserve">Add Lighting Company contract to the wedding vendor binder</t>
  </si>
  <si>
    <t xml:space="preserve">Save Lighting Company contact info to the shared wedding phone list</t>
  </si>
  <si>
    <t xml:space="preserve">Add Wedding Planner contract to the wedding vendor binder</t>
  </si>
  <si>
    <t xml:space="preserve">Save Wedding Planner contact info to the shared wedding phone list</t>
  </si>
  <si>
    <t xml:space="preserve">Add Photo Booth Company contract to the wedding vendor binder</t>
  </si>
  <si>
    <t xml:space="preserve">Save Photo Booth Company contact info to the shared wedding phone list</t>
  </si>
  <si>
    <t xml:space="preserve">Confirm final headcount for any late night food truck or snack vendor</t>
  </si>
  <si>
    <t xml:space="preserve">Confirm final wedding day parking signage plan</t>
  </si>
  <si>
    <t xml:space="preserve">Finalize final guest count and share with all vendors</t>
  </si>
  <si>
    <t xml:space="preserve">Confirm final seating chart is complete and printed</t>
  </si>
  <si>
    <t xml:space="preserve">Pick up wedding dress from final fitting</t>
  </si>
  <si>
    <t xml:space="preserve">Pick up suit or tuxedo from final fitting</t>
  </si>
  <si>
    <t xml:space="preserve">Confirm all wedding party attire has arrived and fits</t>
  </si>
  <si>
    <t xml:space="preserve">Pack the emergency kit fully</t>
  </si>
  <si>
    <t xml:space="preserve">Confirm rehearsal dinner final details</t>
  </si>
  <si>
    <t xml:space="preserve">Send rehearsal itinerary to wedding party</t>
  </si>
  <si>
    <t xml:space="preserve">Confirm officiant has final ceremony script</t>
  </si>
  <si>
    <t xml:space="preserve">Reconfirm hair and makeup schedule and arrival times</t>
  </si>
  <si>
    <t xml:space="preserve">Reconfirm photographer and videographer arrival times</t>
  </si>
  <si>
    <t xml:space="preserve">Reconfirm florist delivery and setup time</t>
  </si>
  <si>
    <t xml:space="preserve">Reconfirm cake delivery time and location</t>
  </si>
  <si>
    <t xml:space="preserve">Reconfirm DJ or band arrival and setup time</t>
  </si>
  <si>
    <t xml:space="preserve">Reconfirm transportation pickup schedule</t>
  </si>
  <si>
    <t xml:space="preserve">Prepare final payments and tip envelopes</t>
  </si>
  <si>
    <t xml:space="preserve">Confirm marriage license appointment or requirements are met</t>
  </si>
  <si>
    <t xml:space="preserve">Pick up marriage license within your state's valid window</t>
  </si>
  <si>
    <t xml:space="preserve">Confirm wedding rings are ready and in a safe place</t>
  </si>
  <si>
    <t xml:space="preserve">Confirm honeymoon documents are printed and packed</t>
  </si>
  <si>
    <t xml:space="preserve">Confirm out of town guest itinerary and welcome bags are ready</t>
  </si>
  <si>
    <t xml:space="preserve">Finalize and print the wedding day timeline for all parties</t>
  </si>
  <si>
    <t xml:space="preserve">Distribute the day-of timeline to wedding party and family</t>
  </si>
  <si>
    <t xml:space="preserve">Distribute the day-of timeline to all vendors</t>
  </si>
  <si>
    <t xml:space="preserve">Confirm setup and breakdown crew responsibilities</t>
  </si>
  <si>
    <t xml:space="preserve">Assign a day-of point of contact for vendors</t>
  </si>
  <si>
    <t xml:space="preserve">Reconfirm final bar and catering headcounts</t>
  </si>
  <si>
    <t xml:space="preserve">Confirm menu cards and table signage are printed</t>
  </si>
  <si>
    <t xml:space="preserve">Confirm guest book, pens, and card box are packed</t>
  </si>
  <si>
    <t xml:space="preserve">Confirm ceremony programs are printed and ready</t>
  </si>
  <si>
    <t xml:space="preserve">Confirm favors are packed and ready for setup</t>
  </si>
  <si>
    <t xml:space="preserve">Confirm welcome sign and other decor signage are ready</t>
  </si>
  <si>
    <t xml:space="preserve">Have a final fitting for both partners' full outfits together</t>
  </si>
  <si>
    <t xml:space="preserve">Schedule a mani-pedi or spa day before the wedding</t>
  </si>
  <si>
    <t xml:space="preserve">Confirm rehearsal time with the venue</t>
  </si>
  <si>
    <t xml:space="preserve">Practice ceremony walk-through at the venue</t>
  </si>
  <si>
    <t xml:space="preserve">Confirm final floor plan with venue and rental company</t>
  </si>
  <si>
    <t xml:space="preserve">Reconfirm weather backup plan for outdoor elements</t>
  </si>
  <si>
    <t xml:space="preserve">Prepare a playlist for getting ready, if desired</t>
  </si>
  <si>
    <t xml:space="preserve">Draft toast notes if giving a speech</t>
  </si>
  <si>
    <t xml:space="preserve">Confirm speeches order with best man and maid of honor</t>
  </si>
  <si>
    <t xml:space="preserve">Reconfirm accommodations for the wedding night</t>
  </si>
  <si>
    <t xml:space="preserve">Pack an overnight bag for the wedding night</t>
  </si>
  <si>
    <t xml:space="preserve">Confirm final fitting alterations are complete for bride and groom</t>
  </si>
  <si>
    <t xml:space="preserve">Confirm final numbers for any shuttle service pickups</t>
  </si>
  <si>
    <t xml:space="preserve">Reconfirm final table assignments with any last minute RSVP changes</t>
  </si>
  <si>
    <t xml:space="preserve">Confirm rehearsal dinner final menu selections</t>
  </si>
  <si>
    <t xml:space="preserve">Confirm final approval of all printed signage proofs</t>
  </si>
  <si>
    <t xml:space="preserve">Reconfirm the emergency kit contents checklist is complete</t>
  </si>
  <si>
    <t xml:space="preserve">Confirm Caterer has certificate of insurance if required by venue</t>
  </si>
  <si>
    <t xml:space="preserve">Confirm DJ or Band has certificate of insurance if required by venue</t>
  </si>
  <si>
    <t xml:space="preserve">Confirm Rental Company has certificate of insurance if required by venue</t>
  </si>
  <si>
    <t xml:space="preserve">Confirm Photo Booth Company has certificate of insurance if required by venue</t>
  </si>
  <si>
    <t xml:space="preserve">Confirm Lighting Company has certificate of insurance if required by venue</t>
  </si>
  <si>
    <t xml:space="preserve">Confirm Transportation Company has certificate of insurance if required by venue</t>
  </si>
  <si>
    <t xml:space="preserve">Confirm final approval of all family formal photo groupings</t>
  </si>
  <si>
    <t xml:space="preserve">Confirm final headcount for shuttle or valet service</t>
  </si>
  <si>
    <t xml:space="preserve">Confirm final vendor payments are prepared</t>
  </si>
  <si>
    <t xml:space="preserve">Pay any outstanding vendor deposits</t>
  </si>
  <si>
    <t xml:space="preserve">Reconfirm final guest count with caterer</t>
  </si>
  <si>
    <t xml:space="preserve">Reconfirm final guest count with venue</t>
  </si>
  <si>
    <t xml:space="preserve">Reconfirm final guest count with bar service</t>
  </si>
  <si>
    <t xml:space="preserve">Print extra copies of the seating chart</t>
  </si>
  <si>
    <t xml:space="preserve">Print extra copies of the day-of timeline</t>
  </si>
  <si>
    <t xml:space="preserve">Confirm rehearsal dinner headcount with restaurant or caterer</t>
  </si>
  <si>
    <t xml:space="preserve">Confirm final fittings are complete for the whole wedding party</t>
  </si>
  <si>
    <t xml:space="preserve">Pick up any remaining wedding attire</t>
  </si>
  <si>
    <t xml:space="preserve">Confirm all wedding rings are accounted for</t>
  </si>
  <si>
    <t xml:space="preserve">Confirm marriage license is signed and ready, if already obtained</t>
  </si>
  <si>
    <t xml:space="preserve">Reconfirm hotel room blocks are finalized</t>
  </si>
  <si>
    <t xml:space="preserve">Send final logistics email to out of town guests</t>
  </si>
  <si>
    <t xml:space="preserve">Confirm transportation company has final pickup addresses</t>
  </si>
  <si>
    <t xml:space="preserve">Confirm florist has final delivery address and time</t>
  </si>
  <si>
    <t xml:space="preserve">Confirm cake baker has final delivery address and time</t>
  </si>
  <si>
    <t xml:space="preserve">Confirm photographer has the final shot list</t>
  </si>
  <si>
    <t xml:space="preserve">Confirm videographer has the final shot list</t>
  </si>
  <si>
    <t xml:space="preserve">Reconfirm DJ or band has the final song list</t>
  </si>
  <si>
    <t xml:space="preserve">Give DJ or band final pronunciation guide for names</t>
  </si>
  <si>
    <t xml:space="preserve">Pack the wedding day emergency kit in the car or with a helper</t>
  </si>
  <si>
    <t xml:space="preserve">Assign someone to handle gifts and cards after the reception</t>
  </si>
  <si>
    <t xml:space="preserve">Assign someone to handle the getting-ready space cleanup</t>
  </si>
  <si>
    <t xml:space="preserve">Confirm weather forecast and backup plans</t>
  </si>
  <si>
    <t xml:space="preserve">Reconfirm honeymoon flight and hotel details</t>
  </si>
  <si>
    <t xml:space="preserve">Print honeymoon travel documents</t>
  </si>
  <si>
    <t xml:space="preserve">Notify credit card companies of honeymoon travel dates</t>
  </si>
  <si>
    <t xml:space="preserve">Arrange currency exchange for honeymoon destination, if needed</t>
  </si>
  <si>
    <t xml:space="preserve">Confirm pet or house sitting arrangements</t>
  </si>
  <si>
    <t xml:space="preserve">Have final trial run of wedding day hairstyle</t>
  </si>
  <si>
    <t xml:space="preserve">Have final trial run of wedding day makeup</t>
  </si>
  <si>
    <t xml:space="preserve">Confirm all thank you cards from early gifts are mailed</t>
  </si>
  <si>
    <t xml:space="preserve">Prepare a list of vendor names and arrival times for the coordinator</t>
  </si>
  <si>
    <t xml:space="preserve">Confirm final walk-through with venue coordinator</t>
  </si>
  <si>
    <t xml:space="preserve">Reconfirm rehearsal time and location with officiant</t>
  </si>
  <si>
    <t xml:space="preserve">Confirm final approval of the printed wedding programs</t>
  </si>
  <si>
    <t xml:space="preserve">Confirm final approval of the printed menu cards</t>
  </si>
  <si>
    <t xml:space="preserve">Reconfirm final vendor arrival order with the coordinator</t>
  </si>
  <si>
    <t xml:space="preserve">Confirm a backup plan for key vendor no-shows</t>
  </si>
  <si>
    <t xml:space="preserve">Reconfirm final guest count changes are logged in guest list</t>
  </si>
  <si>
    <t xml:space="preserve">Confirm Venue has the correct venue load-in address and arrival time</t>
  </si>
  <si>
    <t xml:space="preserve">Confirm Caterer has the correct venue load-in address and arrival time</t>
  </si>
  <si>
    <t xml:space="preserve">Confirm Photographer has the correct venue load-in address and arrival time</t>
  </si>
  <si>
    <t xml:space="preserve">Confirm Videographer has the correct venue load-in address and arrival time</t>
  </si>
  <si>
    <t xml:space="preserve">Confirm Florist has the correct venue load-in address and arrival time</t>
  </si>
  <si>
    <t xml:space="preserve">Confirm DJ or Band has the correct venue load-in address and arrival time</t>
  </si>
  <si>
    <t xml:space="preserve">Confirm Officiant has the correct venue load-in address and arrival time</t>
  </si>
  <si>
    <t xml:space="preserve">Confirm Rental Company has the correct venue load-in address and arrival time</t>
  </si>
  <si>
    <t xml:space="preserve">Confirm Decor Stylist has the correct venue load-in address and arrival time</t>
  </si>
  <si>
    <t xml:space="preserve">Confirm Hair Stylist has the correct venue load-in address and arrival time</t>
  </si>
  <si>
    <t xml:space="preserve">Confirm Makeup Artist has the correct venue load-in address and arrival time</t>
  </si>
  <si>
    <t xml:space="preserve">Confirm Transportation Company has the correct venue load-in address and arrival time</t>
  </si>
  <si>
    <t xml:space="preserve">Confirm Cake Baker has the correct venue load-in address and arrival time</t>
  </si>
  <si>
    <t xml:space="preserve">Confirm Stationer has the correct venue load-in address and arrival time</t>
  </si>
  <si>
    <t xml:space="preserve">Confirm Favor Supplier has the correct venue load-in address and arrival time</t>
  </si>
  <si>
    <t xml:space="preserve">Confirm Lighting Company has the correct venue load-in address and arrival time</t>
  </si>
  <si>
    <t xml:space="preserve">Confirm Wedding Planner has the correct venue load-in address and arrival time</t>
  </si>
  <si>
    <t xml:space="preserve">Confirm Photo Booth Company has the correct venue load-in address and arrival time</t>
  </si>
  <si>
    <t xml:space="preserve">Confirm final numbers one last time with all vendors</t>
  </si>
  <si>
    <t xml:space="preserve">Pick up wedding rings if not already done</t>
  </si>
  <si>
    <t xml:space="preserve">Confirm bridesmaids and groomsmen have all final attire pieces</t>
  </si>
  <si>
    <t xml:space="preserve">Pack for the wedding day: dress, suit, accessories, shoes</t>
  </si>
  <si>
    <t xml:space="preserve">Pack the honeymoon suitcase</t>
  </si>
  <si>
    <t xml:space="preserve">Confirm rehearsal dinner reservation and headcount</t>
  </si>
  <si>
    <t xml:space="preserve">Attend the rehearsal at the ceremony venue</t>
  </si>
  <si>
    <t xml:space="preserve">Attend the rehearsal dinner</t>
  </si>
  <si>
    <t xml:space="preserve">Give toasts or speeches practice one more time</t>
  </si>
  <si>
    <t xml:space="preserve">Distribute final tip envelopes to a trusted point person</t>
  </si>
  <si>
    <t xml:space="preserve">Confirm final payment checks are written and ready</t>
  </si>
  <si>
    <t xml:space="preserve">Drop off or confirm delivery of welcome bags to hotel</t>
  </si>
  <si>
    <t xml:space="preserve">Confirm guest book, cards box, and signage are packed</t>
  </si>
  <si>
    <t xml:space="preserve">Confirm getting ready timeline with hair and makeup artists</t>
  </si>
  <si>
    <t xml:space="preserve">Confirm getting ready location is stocked with snacks and drinks</t>
  </si>
  <si>
    <t xml:space="preserve">Get a manicure and pedicure</t>
  </si>
  <si>
    <t xml:space="preserve">Pick up dry cleaning for wedding attire</t>
  </si>
  <si>
    <t xml:space="preserve">Confirm someone is assigned to bring the marriage license to the ceremony</t>
  </si>
  <si>
    <t xml:space="preserve">Reconfirm transportation pickup times with driver</t>
  </si>
  <si>
    <t xml:space="preserve">Charge phone and camera batteries for the week</t>
  </si>
  <si>
    <t xml:space="preserve">Set out an outfit for the rehearsal dinner</t>
  </si>
  <si>
    <t xml:space="preserve">Relax and spend quality time with close family and friends</t>
  </si>
  <si>
    <t xml:space="preserve">Confirm the emergency kit is packed and easy to find</t>
  </si>
  <si>
    <t xml:space="preserve">Do a final venue walk-through with the coordinator</t>
  </si>
  <si>
    <t xml:space="preserve">Confirm florist delivery window one final time</t>
  </si>
  <si>
    <t xml:space="preserve">Confirm final rehearsal dinner seating plan</t>
  </si>
  <si>
    <t xml:space="preserve">Confirm who will drive the getaway car, if applicable</t>
  </si>
  <si>
    <t xml:space="preserve">Confirm final playlist edits with the DJ or band</t>
  </si>
  <si>
    <t xml:space="preserve">Reconfirm final headcount with the caterer one last time</t>
  </si>
  <si>
    <t xml:space="preserve">Save Venue emergency contact number in the wedding day phone list</t>
  </si>
  <si>
    <t xml:space="preserve">Save Caterer emergency contact number in the wedding day phone list</t>
  </si>
  <si>
    <t xml:space="preserve">Save Photographer emergency contact number in the wedding day phone list</t>
  </si>
  <si>
    <t xml:space="preserve">Save Videographer emergency contact number in the wedding day phone list</t>
  </si>
  <si>
    <t xml:space="preserve">Save Florist emergency contact number in the wedding day phone list</t>
  </si>
  <si>
    <t xml:space="preserve">Save DJ or Band emergency contact number in the wedding day phone list</t>
  </si>
  <si>
    <t xml:space="preserve">Save Officiant emergency contact number in the wedding day phone list</t>
  </si>
  <si>
    <t xml:space="preserve">Save Rental Company emergency contact number in the wedding day phone list</t>
  </si>
  <si>
    <t xml:space="preserve">Save Decor Stylist emergency contact number in the wedding day phone list</t>
  </si>
  <si>
    <t xml:space="preserve">Save Hair Stylist emergency contact number in the wedding day phone list</t>
  </si>
  <si>
    <t xml:space="preserve">Save Makeup Artist emergency contact number in the wedding day phone list</t>
  </si>
  <si>
    <t xml:space="preserve">Save Transportation Company emergency contact number in the wedding day phone list</t>
  </si>
  <si>
    <t xml:space="preserve">Save Cake Baker emergency contact number in the wedding day phone list</t>
  </si>
  <si>
    <t xml:space="preserve">Save Stationer emergency contact number in the wedding day phone list</t>
  </si>
  <si>
    <t xml:space="preserve">Save Favor Supplier emergency contact number in the wedding day phone list</t>
  </si>
  <si>
    <t xml:space="preserve">Save Lighting Company emergency contact number in the wedding day phone list</t>
  </si>
  <si>
    <t xml:space="preserve">Save Wedding Planner emergency contact number in the wedding day phone list</t>
  </si>
  <si>
    <t xml:space="preserve">Save Photo Booth Company emergency contact number in the wedding day phone list</t>
  </si>
  <si>
    <t xml:space="preserve">Confirm all final payments and tips are ready in labeled envelopes</t>
  </si>
  <si>
    <t xml:space="preserve">Confirm all wedding party members know their arrival times</t>
  </si>
  <si>
    <t xml:space="preserve">Pack the car or hand off the emergency kit to a helper</t>
  </si>
  <si>
    <t xml:space="preserve">Do a final check of all attire, shoes, and accessories</t>
  </si>
  <si>
    <t xml:space="preserve">Confirm rehearsal dinner final headcount with the venue</t>
  </si>
  <si>
    <t xml:space="preserve">Get plenty of rest</t>
  </si>
  <si>
    <t xml:space="preserve">Drink plenty of water and eat regular meals</t>
  </si>
  <si>
    <t xml:space="preserve">Confirm hair and makeup artist arrival times one more time</t>
  </si>
  <si>
    <t xml:space="preserve">Confirm photographer and videographer arrival times one more time</t>
  </si>
  <si>
    <t xml:space="preserve">Confirm the getting ready space is set up and stocked</t>
  </si>
  <si>
    <t xml:space="preserve">Do a final manicure touch-up if needed</t>
  </si>
  <si>
    <t xml:space="preserve">Set out the wedding day outfit and accessories</t>
  </si>
  <si>
    <t xml:space="preserve">Confirm the officiant has the signed marriage license paperwork ready</t>
  </si>
  <si>
    <t xml:space="preserve">Confirm a family member or friend has the vendor tip envelopes</t>
  </si>
  <si>
    <t xml:space="preserve">Text the wedding party the final timeline one more time</t>
  </si>
  <si>
    <t xml:space="preserve">Confirm the reception venue setup crew arrival time</t>
  </si>
  <si>
    <t xml:space="preserve">Reconfirm final rehearsal time with all attendees</t>
  </si>
  <si>
    <t xml:space="preserve">Confirm final weather backup decision with the venue</t>
  </si>
  <si>
    <t xml:space="preserve">Delegate someone to collect any rented items after the wedding</t>
  </si>
  <si>
    <t xml:space="preserve">Attend the ceremony rehearsal</t>
  </si>
  <si>
    <t xml:space="preserve">Give and receive wedding party gifts, if not already done</t>
  </si>
  <si>
    <t xml:space="preserve">Confirm the getting ready timeline for the morning</t>
  </si>
  <si>
    <t xml:space="preserve">Set an alarm and go to bed early</t>
  </si>
  <si>
    <t xml:space="preserve">Lay out the wedding dress, suit, and all accessories</t>
  </si>
  <si>
    <t xml:space="preserve">Pack the overnight bag for the wedding night</t>
  </si>
  <si>
    <t xml:space="preserve">Confirm final weather forecast and backup plan status</t>
  </si>
  <si>
    <t xml:space="preserve">Confirm all vendors are still on schedule for tomorrow</t>
  </si>
  <si>
    <t xml:space="preserve">Give the emergency kit to the designated helper</t>
  </si>
  <si>
    <t xml:space="preserve">Relax, breathe, and enjoy the moment with loved ones</t>
  </si>
  <si>
    <t xml:space="preserve">Confirm final morning-of schedule with hair and makeup team</t>
  </si>
  <si>
    <t xml:space="preserve">Confirm getaway transportation is ready for the next day</t>
  </si>
  <si>
    <t xml:space="preserve">Research marriage license requirements in your state or country</t>
  </si>
  <si>
    <t xml:space="preserve">Confirm required identification documents for the license</t>
  </si>
  <si>
    <t xml:space="preserve">Confirm waiting period between application and ceremony, if any</t>
  </si>
  <si>
    <t xml:space="preserve">Schedule an appointment at the county clerk's office, if required</t>
  </si>
  <si>
    <t xml:space="preserve">Apply for the marriage license within the valid time window</t>
  </si>
  <si>
    <t xml:space="preserve">Bring two witnesses to sign, if required by your state</t>
  </si>
  <si>
    <t xml:space="preserve">Confirm officiant is legally authorized to perform the ceremony</t>
  </si>
  <si>
    <t xml:space="preserve">Confirm officiant's registration is filed with the correct county, if required</t>
  </si>
  <si>
    <t xml:space="preserve">Sign the marriage license with officiant and witnesses after the ceremony</t>
  </si>
  <si>
    <t xml:space="preserve">Confirm who is responsible for filing the signed license with the county</t>
  </si>
  <si>
    <t xml:space="preserve">File the signed marriage license with the appropriate government office</t>
  </si>
  <si>
    <t xml:space="preserve">Order certified copies of the marriage certificate</t>
  </si>
  <si>
    <t xml:space="preserve">Begin the legal name change process, if applicable</t>
  </si>
  <si>
    <t xml:space="preserve">Update Social Security card with new name, if applicable</t>
  </si>
  <si>
    <t xml:space="preserve">Update driver's license with new name, if applicable</t>
  </si>
  <si>
    <t xml:space="preserve">Update passport with new name, if applicable</t>
  </si>
  <si>
    <t xml:space="preserve">Update bank accounts and credit cards with new name, if applicable</t>
  </si>
  <si>
    <t xml:space="preserve">Update employer records and payroll with new name, if applicable</t>
  </si>
  <si>
    <t xml:space="preserve">Update insurance policies with new name and marital status</t>
  </si>
  <si>
    <t xml:space="preserve">Update beneficiary designations on accounts and policies</t>
  </si>
  <si>
    <t xml:space="preserve">Consider updating or creating a will after marriage</t>
  </si>
  <si>
    <t xml:space="preserve">Review health insurance options for adding a spouse</t>
  </si>
  <si>
    <t xml:space="preserve">Review auto insurance for potential multi-policy discounts</t>
  </si>
  <si>
    <t xml:space="preserve">Update voter registration with new name or address, if applicable</t>
  </si>
  <si>
    <t xml:space="preserve">Update your lease or mortgage documents, if applicable</t>
  </si>
  <si>
    <t xml:space="preserve">Confirm prenuptial agreement is signed and filed, if applicable</t>
  </si>
  <si>
    <t xml:space="preserve">Store the marriage certificate in a safe, accessible place</t>
  </si>
  <si>
    <t xml:space="preserve">Confirm notarization requirements for any prenuptial documents</t>
  </si>
  <si>
    <t xml:space="preserve">Research whether a marriage license translation is needed for destination weddings</t>
  </si>
  <si>
    <t xml:space="preserve">Confirm officiant's credentials meet your state's legal requirements</t>
  </si>
  <si>
    <t xml:space="preserve">Store copies of the marriage certificate in a fireproof safe</t>
  </si>
  <si>
    <t xml:space="preserve">Update immigration or visa documentation, if applicable</t>
  </si>
  <si>
    <t xml:space="preserve">Confirm final marriage certificate copies are ordered for name change use</t>
  </si>
  <si>
    <t xml:space="preserve">Send a thank you note to Venue after the wedding</t>
  </si>
  <si>
    <t xml:space="preserve">Send a thank you note to Caterer after the wedding</t>
  </si>
  <si>
    <t xml:space="preserve">Send a thank you note to Photographer after the wedding</t>
  </si>
  <si>
    <t xml:space="preserve">Send a thank you note to Videographer after the wedding</t>
  </si>
  <si>
    <t xml:space="preserve">Send a thank you note to Florist after the wedding</t>
  </si>
  <si>
    <t xml:space="preserve">Send a thank you note to DJ or Band after the wedding</t>
  </si>
  <si>
    <t xml:space="preserve">Send a thank you note to Officiant after the wedding</t>
  </si>
  <si>
    <t xml:space="preserve">Send a thank you note to Rental Company after the wedding</t>
  </si>
  <si>
    <t xml:space="preserve">Send a thank you note to Decor Stylist after the wedding</t>
  </si>
  <si>
    <t xml:space="preserve">Send a thank you note to Hair Stylist after the wedding</t>
  </si>
  <si>
    <t xml:space="preserve">Send a thank you note to Makeup Artist after the wedding</t>
  </si>
  <si>
    <t xml:space="preserve">Send a thank you note to Transportation Company after the wedding</t>
  </si>
  <si>
    <t xml:space="preserve">Send a thank you note to Cake Baker after the wedding</t>
  </si>
  <si>
    <t xml:space="preserve">Send a thank you note to Stationer after the wedding</t>
  </si>
  <si>
    <t xml:space="preserve">Send a thank you note to Favor Supplier after the wedding</t>
  </si>
  <si>
    <t xml:space="preserve">Send a thank you note to Lighting Company after the wedding</t>
  </si>
  <si>
    <t xml:space="preserve">Send a thank you note to Wedding Planner after the wedding</t>
  </si>
  <si>
    <t xml:space="preserve">Send a thank you note to Photo Booth Company after the wedding</t>
  </si>
  <si>
    <t xml:space="preserve">WEDDING DAY ITINERARY</t>
  </si>
  <si>
    <t xml:space="preserve">Time</t>
  </si>
  <si>
    <t xml:space="preserve">Event</t>
  </si>
  <si>
    <t xml:space="preserve">Person in Charge</t>
  </si>
  <si>
    <t xml:space="preserve">Location</t>
  </si>
  <si>
    <t xml:space="preserve">8:00 AM</t>
  </si>
  <si>
    <t xml:space="preserve">Bridal Party Get Ready</t>
  </si>
  <si>
    <t xml:space="preserve">Hair and Makeup Team</t>
  </si>
  <si>
    <t xml:space="preserve">Bridal Suite</t>
  </si>
  <si>
    <t xml:space="preserve">9:30 AM</t>
  </si>
  <si>
    <t xml:space="preserve">Groom's Party Get Ready</t>
  </si>
  <si>
    <t xml:space="preserve">Groomsmen</t>
  </si>
  <si>
    <t xml:space="preserve">Groom's Suite</t>
  </si>
  <si>
    <t xml:space="preserve">11:00 AM</t>
  </si>
  <si>
    <t xml:space="preserve">First Look</t>
  </si>
  <si>
    <t xml:space="preserve">Photographer</t>
  </si>
  <si>
    <t xml:space="preserve">Garden</t>
  </si>
  <si>
    <t xml:space="preserve">11:30 AM</t>
  </si>
  <si>
    <t xml:space="preserve">Wedding Party Photos</t>
  </si>
  <si>
    <t xml:space="preserve">12:30 PM</t>
  </si>
  <si>
    <t xml:space="preserve">Family Formal Photos</t>
  </si>
  <si>
    <t xml:space="preserve">2:00 PM</t>
  </si>
  <si>
    <t xml:space="preserve">Guests Arrive</t>
  </si>
  <si>
    <t xml:space="preserve">Ushers</t>
  </si>
  <si>
    <t xml:space="preserve">Ceremony Site</t>
  </si>
  <si>
    <t xml:space="preserve">2:30 PM</t>
  </si>
  <si>
    <t xml:space="preserve">Ceremony</t>
  </si>
  <si>
    <t xml:space="preserve">Officiant</t>
  </si>
  <si>
    <t xml:space="preserve">3:00 PM</t>
  </si>
  <si>
    <t xml:space="preserve">Cocktail Hour</t>
  </si>
  <si>
    <t xml:space="preserve">Catering Staff</t>
  </si>
  <si>
    <t xml:space="preserve">Terrace</t>
  </si>
  <si>
    <t xml:space="preserve">4:00 PM</t>
  </si>
  <si>
    <t xml:space="preserve">Grand Entrance</t>
  </si>
  <si>
    <t xml:space="preserve">DJ or Band</t>
  </si>
  <si>
    <t xml:space="preserve">Reception Hall</t>
  </si>
  <si>
    <t xml:space="preserve">4:15 PM</t>
  </si>
  <si>
    <t xml:space="preserve">First Dance</t>
  </si>
  <si>
    <t xml:space="preserve">4:30 PM</t>
  </si>
  <si>
    <t xml:space="preserve">Welcome Toast</t>
  </si>
  <si>
    <t xml:space="preserve">5:00 PM</t>
  </si>
  <si>
    <t xml:space="preserve">Dinner Service</t>
  </si>
  <si>
    <t xml:space="preserve">6:00 PM</t>
  </si>
  <si>
    <t xml:space="preserve">Toasts and Speeches</t>
  </si>
  <si>
    <t xml:space="preserve">Maid of Honor and Best Man</t>
  </si>
  <si>
    <t xml:space="preserve">6:30 PM</t>
  </si>
  <si>
    <t xml:space="preserve">Parent Dances</t>
  </si>
  <si>
    <t xml:space="preserve">7:00 PM</t>
  </si>
  <si>
    <t xml:space="preserve">Cake Cutting</t>
  </si>
  <si>
    <t xml:space="preserve">Caterer</t>
  </si>
  <si>
    <t xml:space="preserve">7:30 PM</t>
  </si>
  <si>
    <t xml:space="preserve">Open Dancing</t>
  </si>
  <si>
    <t xml:space="preserve">9:00 PM</t>
  </si>
  <si>
    <t xml:space="preserve">Bouquet and Garter Toss</t>
  </si>
  <si>
    <t xml:space="preserve">10:30 PM</t>
  </si>
  <si>
    <t xml:space="preserve">Last Dance</t>
  </si>
  <si>
    <t xml:space="preserve">10:45 PM</t>
  </si>
  <si>
    <t xml:space="preserve">Send Off</t>
  </si>
  <si>
    <t xml:space="preserve">Wedding Party</t>
  </si>
  <si>
    <t xml:space="preserve">Venue Exit</t>
  </si>
  <si>
    <t xml:space="preserve">WEDDING ACTIVITIES</t>
  </si>
  <si>
    <t xml:space="preserve">PLANNED ACTIVITIES</t>
  </si>
  <si>
    <t xml:space="preserve">Time Slot</t>
  </si>
  <si>
    <t xml:space="preserve">Activity Description</t>
  </si>
  <si>
    <t xml:space="preserve">Photo booth open for guests</t>
  </si>
  <si>
    <t xml:space="preserve">3:15 PM</t>
  </si>
  <si>
    <t xml:space="preserve">Lawn</t>
  </si>
  <si>
    <t xml:space="preserve">Lawn games: cornhole and giant Jenga</t>
  </si>
  <si>
    <t xml:space="preserve">DJ</t>
  </si>
  <si>
    <t xml:space="preserve">Guest book table with instant camera</t>
  </si>
  <si>
    <t xml:space="preserve">50+ ACTIVITY IDEAS (REFERENCE LIST)</t>
  </si>
  <si>
    <t xml:space="preserve">- Photo booth with props</t>
  </si>
  <si>
    <t xml:space="preserve">- Fireworks display</t>
  </si>
  <si>
    <t xml:space="preserve">- Yard Yahtzee</t>
  </si>
  <si>
    <t xml:space="preserve">- Guest book alternative: fingerprint tree</t>
  </si>
  <si>
    <t xml:space="preserve">- Karaoke station</t>
  </si>
  <si>
    <t xml:space="preserve">- Photo booth with Polaroid guest book</t>
  </si>
  <si>
    <t xml:space="preserve">- Guest book alternative: polaroid wall</t>
  </si>
  <si>
    <t xml:space="preserve">- Slideshow of couple's photos</t>
  </si>
  <si>
    <t xml:space="preserve">- Wine or whiskey barrel signing ceremony</t>
  </si>
  <si>
    <t xml:space="preserve">- Lawn games: cornhole</t>
  </si>
  <si>
    <t xml:space="preserve">- Advice cards for the couple</t>
  </si>
  <si>
    <t xml:space="preserve">- Unity sand ceremony</t>
  </si>
  <si>
    <t xml:space="preserve">- Lawn games: giant Jenga</t>
  </si>
  <si>
    <t xml:space="preserve">- Wishing well card box</t>
  </si>
  <si>
    <t xml:space="preserve">- Handfasting ceremony</t>
  </si>
  <si>
    <t xml:space="preserve">- Lawn games: ring toss</t>
  </si>
  <si>
    <t xml:space="preserve">- Time capsule for guests to fill</t>
  </si>
  <si>
    <t xml:space="preserve">- Wine box time capsule ceremony</t>
  </si>
  <si>
    <t xml:space="preserve">- Lawn games: bocce ball</t>
  </si>
  <si>
    <t xml:space="preserve">- Coloring book table for kids</t>
  </si>
  <si>
    <t xml:space="preserve">- Live band cocktail hour set</t>
  </si>
  <si>
    <t xml:space="preserve">- Photo booth with instant camera</t>
  </si>
  <si>
    <t xml:space="preserve">- Kids' activity table with crafts</t>
  </si>
  <si>
    <t xml:space="preserve">- String quartet ceremony music</t>
  </si>
  <si>
    <t xml:space="preserve">- Custom cocktail bar</t>
  </si>
  <si>
    <t xml:space="preserve">- Photo scavenger hunt</t>
  </si>
  <si>
    <t xml:space="preserve">- Fire pit lounge area</t>
  </si>
  <si>
    <t xml:space="preserve">- Wine pull table</t>
  </si>
  <si>
    <t xml:space="preserve">- Trivia about the couple</t>
  </si>
  <si>
    <t xml:space="preserve">- Cigar and whiskey bar</t>
  </si>
  <si>
    <t xml:space="preserve">- S'mores bar</t>
  </si>
  <si>
    <t xml:space="preserve">- Custom playlist request cards</t>
  </si>
  <si>
    <t xml:space="preserve">- Popcorn bar</t>
  </si>
  <si>
    <t xml:space="preserve">- Late night snack station</t>
  </si>
  <si>
    <t xml:space="preserve">- Signature drink naming contest</t>
  </si>
  <si>
    <t xml:space="preserve">- Hot chocolate bar</t>
  </si>
  <si>
    <t xml:space="preserve">- Donut wall</t>
  </si>
  <si>
    <t xml:space="preserve">- Bouquet toss alternative: anniversary dance</t>
  </si>
  <si>
    <t xml:space="preserve">- Mini dessert table</t>
  </si>
  <si>
    <t xml:space="preserve">- Candy bar</t>
  </si>
  <si>
    <t xml:space="preserve">- Grand exit with bubbles</t>
  </si>
  <si>
    <t xml:space="preserve">- Photo booth guest book combo</t>
  </si>
  <si>
    <t xml:space="preserve">- Cigar rolling station</t>
  </si>
  <si>
    <t xml:space="preserve">- Grand exit with ribbon wands</t>
  </si>
  <si>
    <t xml:space="preserve">- Personalized koozies or favors station</t>
  </si>
  <si>
    <t xml:space="preserve">- Caricature artist</t>
  </si>
  <si>
    <t xml:space="preserve">- Grand exit with glow sticks</t>
  </si>
  <si>
    <t xml:space="preserve">- Henna or face painting</t>
  </si>
  <si>
    <t xml:space="preserve">- Live painter</t>
  </si>
  <si>
    <t xml:space="preserve">- Lawn croquet</t>
  </si>
  <si>
    <t xml:space="preserve">- Live caricature drawing</t>
  </si>
  <si>
    <t xml:space="preserve">- Photo booth with backdrop</t>
  </si>
  <si>
    <t xml:space="preserve">- Giant chess or checkers</t>
  </si>
  <si>
    <t xml:space="preserve">- Custom neon sign photo backdrop</t>
  </si>
  <si>
    <t xml:space="preserve">- Dance floor confetti drop</t>
  </si>
  <si>
    <t xml:space="preserve">- Bean bag toss</t>
  </si>
  <si>
    <t xml:space="preserve">- Sparkler send off</t>
  </si>
  <si>
    <t xml:space="preserve">- Ladder golf</t>
  </si>
  <si>
    <t xml:space="preserve">MUSIC PLANNER</t>
  </si>
  <si>
    <t xml:space="preserve">Share this tab with your DJ or band. Fill in artist, notes, and duration for each moment.</t>
  </si>
  <si>
    <t xml:space="preserve">CEREMONY</t>
  </si>
  <si>
    <t xml:space="preserve">Moment</t>
  </si>
  <si>
    <t xml:space="preserve">Artist</t>
  </si>
  <si>
    <t xml:space="preserve">Song / Version Notes</t>
  </si>
  <si>
    <t xml:space="preserve">Duration</t>
  </si>
  <si>
    <t xml:space="preserve">Prelude Music</t>
  </si>
  <si>
    <t xml:space="preserve">Processional</t>
  </si>
  <si>
    <t xml:space="preserve">Recessional</t>
  </si>
  <si>
    <t xml:space="preserve">COCKTAIL HOUR</t>
  </si>
  <si>
    <t xml:space="preserve">Background Playlist</t>
  </si>
  <si>
    <t xml:space="preserve">RECEPTION ENTRANCE</t>
  </si>
  <si>
    <t xml:space="preserve">Grand Entrance Song</t>
  </si>
  <si>
    <t xml:space="preserve">FIRST DANCE</t>
  </si>
  <si>
    <t xml:space="preserve">First Dance Song</t>
  </si>
  <si>
    <t xml:space="preserve">PARENT DANCES</t>
  </si>
  <si>
    <t xml:space="preserve">Father Daughter Dance</t>
  </si>
  <si>
    <t xml:space="preserve">Mother Son Dance</t>
  </si>
  <si>
    <t xml:space="preserve">PARTY AND DANCING</t>
  </si>
  <si>
    <t xml:space="preserve">Open Dance Playlist</t>
  </si>
  <si>
    <t xml:space="preserve">Do Not Play List</t>
  </si>
  <si>
    <t xml:space="preserve">LAST SONG</t>
  </si>
  <si>
    <t xml:space="preserve">Last Song of the Night</t>
  </si>
  <si>
    <t xml:space="preserve">PACKING LIST</t>
  </si>
  <si>
    <t xml:space="preserve">BRIDE SUITE</t>
  </si>
  <si>
    <t xml:space="preserve">Item</t>
  </si>
  <si>
    <t xml:space="preserve">Packed</t>
  </si>
  <si>
    <t xml:space="preserve">Notes</t>
  </si>
  <si>
    <t xml:space="preserve">Wedding dress</t>
  </si>
  <si>
    <t xml:space="preserve">Veil</t>
  </si>
  <si>
    <t xml:space="preserve">Shoes</t>
  </si>
  <si>
    <t xml:space="preserve">Undergarments</t>
  </si>
  <si>
    <t xml:space="preserve">Jewelry</t>
  </si>
  <si>
    <t xml:space="preserve">Something old, new, borrowed, blue</t>
  </si>
  <si>
    <t xml:space="preserve">Emergency kit</t>
  </si>
  <si>
    <t xml:space="preserve">Robe</t>
  </si>
  <si>
    <t xml:space="preserve">GROOM SUITE</t>
  </si>
  <si>
    <t xml:space="preserve">Suit or tuxedo</t>
  </si>
  <si>
    <t xml:space="preserve">Tie or bow tie</t>
  </si>
  <si>
    <t xml:space="preserve">Cufflinks</t>
  </si>
  <si>
    <t xml:space="preserve">Belt</t>
  </si>
  <si>
    <t xml:space="preserve">Socks</t>
  </si>
  <si>
    <t xml:space="preserve">Watch</t>
  </si>
  <si>
    <t xml:space="preserve">Vows</t>
  </si>
  <si>
    <t xml:space="preserve">Rings</t>
  </si>
  <si>
    <t xml:space="preserve">Marriage license</t>
  </si>
  <si>
    <t xml:space="preserve">Unity ceremony items</t>
  </si>
  <si>
    <t xml:space="preserve">Programs</t>
  </si>
  <si>
    <t xml:space="preserve">RECEPTION</t>
  </si>
  <si>
    <t xml:space="preserve">Guest book and pen</t>
  </si>
  <si>
    <t xml:space="preserve">Card box</t>
  </si>
  <si>
    <t xml:space="preserve">Table numbers</t>
  </si>
  <si>
    <t xml:space="preserve">Place cards</t>
  </si>
  <si>
    <t xml:space="preserve">Cake serving set</t>
  </si>
  <si>
    <t xml:space="preserve">Toasting flutes</t>
  </si>
  <si>
    <t xml:space="preserve">EMERGENCY KIT</t>
  </si>
  <si>
    <t xml:space="preserve">Safety pins</t>
  </si>
  <si>
    <t xml:space="preserve">Stain remover</t>
  </si>
  <si>
    <t xml:space="preserve">Sewing kit</t>
  </si>
  <si>
    <t xml:space="preserve">Bobby pins</t>
  </si>
  <si>
    <t xml:space="preserve">Blister pads</t>
  </si>
  <si>
    <t xml:space="preserve">Tissues</t>
  </si>
  <si>
    <t xml:space="preserve">Mints</t>
  </si>
  <si>
    <t xml:space="preserve">Pain reliever</t>
  </si>
  <si>
    <t xml:space="preserve">Snacks</t>
  </si>
  <si>
    <t xml:space="preserve">Phone charger</t>
  </si>
  <si>
    <t xml:space="preserve">HONEYMOON</t>
  </si>
  <si>
    <t xml:space="preserve">Passport</t>
  </si>
  <si>
    <t xml:space="preserve">Travel documents</t>
  </si>
  <si>
    <t xml:space="preserve">Chargers</t>
  </si>
  <si>
    <t xml:space="preserve">Toiletries</t>
  </si>
  <si>
    <t xml:space="preserve">Outfits</t>
  </si>
  <si>
    <t xml:space="preserve">Swimwear</t>
  </si>
  <si>
    <t xml:space="preserve">Sunscreen</t>
  </si>
  <si>
    <t xml:space="preserve">TOTAL BUDGET</t>
  </si>
  <si>
    <t xml:space="preserve">LEFT TO BUDGET</t>
  </si>
  <si>
    <t xml:space="preserve">BUDGET FUNDING</t>
  </si>
  <si>
    <t xml:space="preserve">Contributor</t>
  </si>
  <si>
    <t xml:space="preserve">Amount</t>
  </si>
  <si>
    <t xml:space="preserve">Bride and Groom Savings</t>
  </si>
  <si>
    <t xml:space="preserve">Bride's Parents</t>
  </si>
  <si>
    <t xml:space="preserve">Groom's Parents</t>
  </si>
  <si>
    <t xml:space="preserve">Other Family</t>
  </si>
  <si>
    <t xml:space="preserve">Total Budget</t>
  </si>
  <si>
    <t xml:space="preserve">EXPENSE SUMMARY</t>
  </si>
  <si>
    <t xml:space="preserve">Category</t>
  </si>
  <si>
    <t xml:space="preserve">Vendor / Subcategory</t>
  </si>
  <si>
    <t xml:space="preserve">Actual</t>
  </si>
  <si>
    <t xml:space="preserve">Left</t>
  </si>
  <si>
    <t xml:space="preserve">Venue</t>
  </si>
  <si>
    <t xml:space="preserve">Catering</t>
  </si>
  <si>
    <t xml:space="preserve">Photography</t>
  </si>
  <si>
    <t xml:space="preserve">Videography</t>
  </si>
  <si>
    <t xml:space="preserve">Florist</t>
  </si>
  <si>
    <t xml:space="preserve">DJ/Band</t>
  </si>
  <si>
    <t xml:space="preserve">Rentals</t>
  </si>
  <si>
    <t xml:space="preserve">Decor</t>
  </si>
  <si>
    <t xml:space="preserve">Hair &amp; Makeup</t>
  </si>
  <si>
    <t xml:space="preserve">Transportation</t>
  </si>
  <si>
    <t xml:space="preserve">Cake</t>
  </si>
  <si>
    <t xml:space="preserve">Favors</t>
  </si>
  <si>
    <t xml:space="preserve">Lighting</t>
  </si>
  <si>
    <t xml:space="preserve">Total</t>
  </si>
  <si>
    <t xml:space="preserve">PAYMENT SCHEDULE AND LOG</t>
  </si>
  <si>
    <t xml:space="preserve">Reminder: payments turn red once past due and unpaid.</t>
  </si>
  <si>
    <t xml:space="preserve">Type</t>
  </si>
  <si>
    <t xml:space="preserve">Vendor Name</t>
  </si>
  <si>
    <t xml:space="preserve">Paid Date</t>
  </si>
  <si>
    <t xml:space="preserve">Status</t>
  </si>
  <si>
    <t xml:space="preserve">Deposit</t>
  </si>
  <si>
    <t xml:space="preserve">Willow Creek Barn</t>
  </si>
  <si>
    <t xml:space="preserve">Copper Table Catering</t>
  </si>
  <si>
    <t xml:space="preserve">Progress Payment</t>
  </si>
  <si>
    <t xml:space="preserve">Golden Hour Studio</t>
  </si>
  <si>
    <t xml:space="preserve">VENDOR SELECTION AND RESEARCH</t>
  </si>
  <si>
    <t xml:space="preserve">SELECTION PROGRESS</t>
  </si>
  <si>
    <t xml:space="preserve">TOTAL COST</t>
  </si>
  <si>
    <t xml:space="preserve">VENDORS FINALIZED</t>
  </si>
  <si>
    <t xml:space="preserve">Cost</t>
  </si>
  <si>
    <t xml:space="preserve">Final</t>
  </si>
  <si>
    <t xml:space="preserve">Name</t>
  </si>
  <si>
    <t xml:space="preserve">Contact</t>
  </si>
  <si>
    <t xml:space="preserve">Email</t>
  </si>
  <si>
    <t xml:space="preserve">Package</t>
  </si>
  <si>
    <t xml:space="preserve">Availability</t>
  </si>
  <si>
    <t xml:space="preserve">Rating (1-5)</t>
  </si>
  <si>
    <t xml:space="preserve">Yes</t>
  </si>
  <si>
    <t xml:space="preserve">555-0101</t>
  </si>
  <si>
    <t xml:space="preserve">info@willowcreekbarn.com</t>
  </si>
  <si>
    <t xml:space="preserve">Full Day Rental</t>
  </si>
  <si>
    <t xml:space="preserve">Confirmed</t>
  </si>
  <si>
    <t xml:space="preserve">Holds 200 guests, includes tables and chairs</t>
  </si>
  <si>
    <t xml:space="preserve">555-0102</t>
  </si>
  <si>
    <t xml:space="preserve">hello@coppertable.com</t>
  </si>
  <si>
    <t xml:space="preserve">Plated Dinner, 3 Course</t>
  </si>
  <si>
    <t xml:space="preserve">Tasting scheduled, great reviews</t>
  </si>
  <si>
    <t xml:space="preserve">555-0103</t>
  </si>
  <si>
    <t xml:space="preserve">book@goldenhourstudio.com</t>
  </si>
  <si>
    <t xml:space="preserve">8 Hour Coverage</t>
  </si>
  <si>
    <t xml:space="preserve">Second shooter included</t>
  </si>
  <si>
    <t xml:space="preserve">No</t>
  </si>
  <si>
    <t xml:space="preserve">Storyframe Films</t>
  </si>
  <si>
    <t xml:space="preserve">555-0104</t>
  </si>
  <si>
    <t xml:space="preserve">team@storyframefilms.com</t>
  </si>
  <si>
    <t xml:space="preserve">Highlight Reel</t>
  </si>
  <si>
    <t xml:space="preserve">Pending</t>
  </si>
  <si>
    <t xml:space="preserve">Waiting on final quote</t>
  </si>
  <si>
    <t xml:space="preserve">Petal and Vine</t>
  </si>
  <si>
    <t xml:space="preserve">555-0105</t>
  </si>
  <si>
    <t xml:space="preserve">orders@petalandvine.com</t>
  </si>
  <si>
    <t xml:space="preserve">Full Florals Package</t>
  </si>
  <si>
    <t xml:space="preserve">VENUE COMPARISON</t>
  </si>
  <si>
    <t xml:space="preserve">Field</t>
  </si>
  <si>
    <t xml:space="preserve">Venue 1</t>
  </si>
  <si>
    <t xml:space="preserve">Venue 2</t>
  </si>
  <si>
    <t xml:space="preserve">Venue 3</t>
  </si>
  <si>
    <t xml:space="preserve">Venue 4</t>
  </si>
  <si>
    <t xml:space="preserve">Venue 5</t>
  </si>
  <si>
    <t xml:space="preserve">Photo Placeholder</t>
  </si>
  <si>
    <t xml:space="preserve">[ photo ]</t>
  </si>
  <si>
    <t xml:space="preserve">Contact Info</t>
  </si>
  <si>
    <t xml:space="preserve">Capacity</t>
  </si>
  <si>
    <t xml:space="preserve">Venue Fee</t>
  </si>
  <si>
    <t xml:space="preserve">Ceremony Fee</t>
  </si>
  <si>
    <t xml:space="preserve">Reception Fee</t>
  </si>
  <si>
    <t xml:space="preserve">Setup Fee</t>
  </si>
  <si>
    <t xml:space="preserve">Cleanup Fee</t>
  </si>
  <si>
    <t xml:space="preserve">Service Charge</t>
  </si>
  <si>
    <t xml:space="preserve">Food and Drinks</t>
  </si>
  <si>
    <t xml:space="preserve">Alcohol</t>
  </si>
  <si>
    <t xml:space="preserve">Cake Cutting Fee</t>
  </si>
  <si>
    <t xml:space="preserve">Winner</t>
  </si>
  <si>
    <t xml:space="preserve">FOOD AND DRINKS</t>
  </si>
  <si>
    <t xml:space="preserve">REHEARSAL DINNER</t>
  </si>
  <si>
    <t xml:space="preserve">APPETIZERS</t>
  </si>
  <si>
    <t xml:space="preserve">Total Cost</t>
  </si>
  <si>
    <t xml:space="preserve">Tasting Rating</t>
  </si>
  <si>
    <t xml:space="preserve">Qty</t>
  </si>
  <si>
    <t xml:space="preserve">Rehearsal Dinner</t>
  </si>
  <si>
    <t xml:space="preserve">Reception</t>
  </si>
  <si>
    <t xml:space="preserve">MAIN COURSE</t>
  </si>
  <si>
    <t xml:space="preserve">DESSERTS</t>
  </si>
  <si>
    <t xml:space="preserve">DRINKS</t>
  </si>
  <si>
    <t xml:space="preserve">Rehearsal Dinner Total Cost</t>
  </si>
  <si>
    <t xml:space="preserve">Reception Total Cost</t>
  </si>
  <si>
    <t xml:space="preserve">PHOTO AND VIDEO SHOT LIST</t>
  </si>
  <si>
    <t xml:space="preserve">PHOTOGRAPHY</t>
  </si>
  <si>
    <t xml:space="preserve">GETTING READY</t>
  </si>
  <si>
    <t xml:space="preserve">Captured</t>
  </si>
  <si>
    <t xml:space="preserve">Shot</t>
  </si>
  <si>
    <t xml:space="preserve">Dress on hanger</t>
  </si>
  <si>
    <t xml:space="preserve">Rings close up</t>
  </si>
  <si>
    <t xml:space="preserve">Invitation suite flat lay</t>
  </si>
  <si>
    <t xml:space="preserve">Bride getting into dress</t>
  </si>
  <si>
    <t xml:space="preserve">Groom getting dressed</t>
  </si>
  <si>
    <t xml:space="preserve">Bridesmaids helping bride</t>
  </si>
  <si>
    <t xml:space="preserve">Groomsmen candid moments</t>
  </si>
  <si>
    <t xml:space="preserve">First look with parent</t>
  </si>
  <si>
    <t xml:space="preserve">Ceremony site before guests arrive</t>
  </si>
  <si>
    <t xml:space="preserve">Guests arriving</t>
  </si>
  <si>
    <t xml:space="preserve">Bride's entrance</t>
  </si>
  <si>
    <t xml:space="preserve">Vows exchange</t>
  </si>
  <si>
    <t xml:space="preserve">Ring exchange</t>
  </si>
  <si>
    <t xml:space="preserve">First kiss</t>
  </si>
  <si>
    <t xml:space="preserve">FAMILY FORMALS</t>
  </si>
  <si>
    <t xml:space="preserve">Immediate family with couple</t>
  </si>
  <si>
    <t xml:space="preserve">Extended family with couple</t>
  </si>
  <si>
    <t xml:space="preserve">Bridal party with couple</t>
  </si>
  <si>
    <t xml:space="preserve">Bride with her parents</t>
  </si>
  <si>
    <t xml:space="preserve">Groom with his parents</t>
  </si>
  <si>
    <t xml:space="preserve">Grandparents with couple</t>
  </si>
  <si>
    <t xml:space="preserve">Reception decor detail shots</t>
  </si>
  <si>
    <t xml:space="preserve">Grand entrance</t>
  </si>
  <si>
    <t xml:space="preserve">First dance</t>
  </si>
  <si>
    <t xml:space="preserve">Parent dances</t>
  </si>
  <si>
    <t xml:space="preserve">Toasts and speeches</t>
  </si>
  <si>
    <t xml:space="preserve">Cake cutting</t>
  </si>
  <si>
    <t xml:space="preserve">Bouquet toss</t>
  </si>
  <si>
    <t xml:space="preserve">Garter toss</t>
  </si>
  <si>
    <t xml:space="preserve">Open dancing</t>
  </si>
  <si>
    <t xml:space="preserve">Send off</t>
  </si>
  <si>
    <t xml:space="preserve">DETAILS</t>
  </si>
  <si>
    <t xml:space="preserve">Bouquet</t>
  </si>
  <si>
    <t xml:space="preserve">Invitation suite</t>
  </si>
  <si>
    <t xml:space="preserve">Centerpieces</t>
  </si>
  <si>
    <t xml:space="preserve">Signage</t>
  </si>
  <si>
    <t xml:space="preserve">VIDEOGRAPHY</t>
  </si>
  <si>
    <t xml:space="preserve">GUEST LIST</t>
  </si>
  <si>
    <t xml:space="preserve">TOTAL GUESTS</t>
  </si>
  <si>
    <t xml:space="preserve">SAVE THE DATE SENT</t>
  </si>
  <si>
    <t xml:space="preserve">INVITATION SENT</t>
  </si>
  <si>
    <t xml:space="preserve">CONFIRMED</t>
  </si>
  <si>
    <t xml:space="preserve">RSVP DEADLINE</t>
  </si>
  <si>
    <t xml:space="preserve">DAYS LEFT TO RSVP</t>
  </si>
  <si>
    <t xml:space="preserve">Guest Of</t>
  </si>
  <si>
    <t xml:space="preserve">Guest Tag</t>
  </si>
  <si>
    <t xml:space="preserve">Child</t>
  </si>
  <si>
    <t xml:space="preserve">Save the Date</t>
  </si>
  <si>
    <t xml:space="preserve">Invitation</t>
  </si>
  <si>
    <t xml:space="preserve">RSVP</t>
  </si>
  <si>
    <t xml:space="preserve">Meal Preference</t>
  </si>
  <si>
    <t xml:space="preserve">Address</t>
  </si>
  <si>
    <t xml:space="preserve">Alex Johnson</t>
  </si>
  <si>
    <t xml:space="preserve">Chicken</t>
  </si>
  <si>
    <t xml:space="preserve">Sam Rivera</t>
  </si>
  <si>
    <t xml:space="preserve">Beef</t>
  </si>
  <si>
    <t xml:space="preserve">Guest Type</t>
  </si>
  <si>
    <t xml:space="preserve">Jamie Lee</t>
  </si>
  <si>
    <t xml:space="preserve">Awaited</t>
  </si>
  <si>
    <t xml:space="preserve">Fish</t>
  </si>
  <si>
    <t xml:space="preserve">Morgan Kim</t>
  </si>
  <si>
    <t xml:space="preserve">Vegetarian</t>
  </si>
  <si>
    <t xml:space="preserve">Taylor Brooks</t>
  </si>
  <si>
    <t xml:space="preserve">Vegan</t>
  </si>
  <si>
    <t xml:space="preserve">Casey Adams</t>
  </si>
  <si>
    <t xml:space="preserve">Kids Meal</t>
  </si>
  <si>
    <t xml:space="preserve">No Preference</t>
  </si>
  <si>
    <t xml:space="preserve">RECEPTION SEATING PLAN</t>
  </si>
  <si>
    <t xml:space="preserve">TOTAL SEATS</t>
  </si>
  <si>
    <t xml:space="preserve">CONFIRMED SEATS</t>
  </si>
  <si>
    <t xml:space="preserve">CONFIRMED TO BE SEATED</t>
  </si>
  <si>
    <t xml:space="preserve">Filter reference: Guest Tag / RSVP status are pulled live from the Guest List tab below.</t>
  </si>
  <si>
    <t xml:space="preserve">GUESTS WITHOUT A SEAT</t>
  </si>
  <si>
    <t xml:space="preserve">Table #</t>
  </si>
  <si>
    <t xml:space="preserve">TABLE BLOCKS</t>
  </si>
  <si>
    <t xml:space="preserve">Table 1</t>
  </si>
  <si>
    <t xml:space="preserve">Table 2</t>
  </si>
  <si>
    <t xml:space="preserve">Confirmed Seats</t>
  </si>
  <si>
    <t xml:space="preserve">Guest Tags Included</t>
  </si>
  <si>
    <t xml:space="preserve">#</t>
  </si>
  <si>
    <t xml:space="preserve">Table 3</t>
  </si>
  <si>
    <t xml:space="preserve">Table 4</t>
  </si>
  <si>
    <t xml:space="preserve">Table 5</t>
  </si>
  <si>
    <t xml:space="preserve">Table 6</t>
  </si>
  <si>
    <t xml:space="preserve">Table 7</t>
  </si>
  <si>
    <t xml:space="preserve">Table 8</t>
  </si>
  <si>
    <t xml:space="preserve">Table 9</t>
  </si>
  <si>
    <t xml:space="preserve">Table 10</t>
  </si>
  <si>
    <t xml:space="preserve">REHEARSAL DINNER SEATING</t>
  </si>
  <si>
    <t xml:space="preserve">WEDDING REGISTRY</t>
  </si>
  <si>
    <t xml:space="preserve">Store</t>
  </si>
  <si>
    <t xml:space="preserve">Link</t>
  </si>
  <si>
    <t xml:space="preserve">Price</t>
  </si>
  <si>
    <t xml:space="preserve">Purchased</t>
  </si>
  <si>
    <t xml:space="preserve">Purchased By</t>
  </si>
  <si>
    <t xml:space="preserve">Thank You Sent</t>
  </si>
  <si>
    <t xml:space="preserve">WEDDING PARTY</t>
  </si>
  <si>
    <t xml:space="preserve">CONFIRMED ROLES %</t>
  </si>
  <si>
    <t xml:space="preserve"># OF BRIDESMAIDS</t>
  </si>
  <si>
    <t xml:space="preserve"># OF GROOMSMEN</t>
  </si>
  <si>
    <t xml:space="preserve">ADDITIONAL PARTY</t>
  </si>
  <si>
    <t xml:space="preserve">Note: syncs with guest list. Add each wedding party member to the Guest List tab as well.</t>
  </si>
  <si>
    <t xml:space="preserve">Role</t>
  </si>
  <si>
    <t xml:space="preserve">Attire</t>
  </si>
  <si>
    <t xml:space="preserve">AISLE ORDER</t>
  </si>
  <si>
    <t xml:space="preserve">BRIDE'S SIDE</t>
  </si>
  <si>
    <t xml:space="preserve">GROOM'S SIDE</t>
  </si>
  <si>
    <t xml:space="preserve">ANYONE ELSE</t>
  </si>
  <si>
    <t xml:space="preserve">WEDDING PARTY GIFTS</t>
  </si>
  <si>
    <t xml:space="preserve">TOTAL GIFTS</t>
  </si>
  <si>
    <t xml:space="preserve">NEED TO BUY</t>
  </si>
  <si>
    <t xml:space="preserve">PURCHASED</t>
  </si>
  <si>
    <t xml:space="preserve">NEED TO WRAP</t>
  </si>
  <si>
    <t xml:space="preserve">GIVEN</t>
  </si>
  <si>
    <t xml:space="preserve">Gift</t>
  </si>
  <si>
    <t xml:space="preserve">Cost per Unit</t>
  </si>
  <si>
    <t xml:space="preserve">Given</t>
  </si>
  <si>
    <t xml:space="preserve">Note</t>
  </si>
  <si>
    <t xml:space="preserve">Need to Buy</t>
  </si>
  <si>
    <t xml:space="preserve">MOODBOARD 1</t>
  </si>
  <si>
    <t xml:space="preserve">Paste inspiration images below (Insert &gt; Image &gt; Cell), and note the source link underneath each.</t>
  </si>
  <si>
    <t xml:space="preserve">[ image ]</t>
  </si>
  <si>
    <t xml:space="preserve">Source URL:</t>
  </si>
  <si>
    <t xml:space="preserve">DECOR INVENTORY</t>
  </si>
  <si>
    <t xml:space="preserve">TO BE DECIDED</t>
  </si>
  <si>
    <t xml:space="preserve">CANCELLED</t>
  </si>
  <si>
    <t xml:space="preserve">Confirmed Cost</t>
  </si>
  <si>
    <t xml:space="preserve">Decor Location</t>
  </si>
  <si>
    <t xml:space="preserve">Vendor</t>
  </si>
  <si>
    <t xml:space="preserve">Buy/Rent</t>
  </si>
  <si>
    <t xml:space="preserve">Quantity</t>
  </si>
  <si>
    <t xml:space="preserve">Image URL</t>
  </si>
  <si>
    <t xml:space="preserve">Reception Entrance</t>
  </si>
  <si>
    <t xml:space="preserve">To Be Decided</t>
  </si>
  <si>
    <t xml:space="preserve">Reception Tables</t>
  </si>
  <si>
    <t xml:space="preserve">Head Table</t>
  </si>
  <si>
    <t xml:space="preserve">Cake Table</t>
  </si>
  <si>
    <t xml:space="preserve">Photo Booth</t>
  </si>
  <si>
    <t xml:space="preserve">Restrooms</t>
  </si>
  <si>
    <t xml:space="preserve">FLOWER ARRANGEMENTS</t>
  </si>
  <si>
    <t xml:space="preserve"># OF ARRANGEMENTS</t>
  </si>
  <si>
    <t xml:space="preserve">Flowers Needed</t>
  </si>
  <si>
    <t xml:space="preserve">Bridal Bouquet</t>
  </si>
  <si>
    <t xml:space="preserve">Bridesmaid Bouquets</t>
  </si>
  <si>
    <t xml:space="preserve">Boutonnieres</t>
  </si>
  <si>
    <t xml:space="preserve">Corsages</t>
  </si>
  <si>
    <t xml:space="preserve">Ceremony Arch Florals</t>
  </si>
  <si>
    <t xml:space="preserve">Aisle Decor</t>
  </si>
  <si>
    <t xml:space="preserve">Cake Florals</t>
  </si>
  <si>
    <t xml:space="preserve">ATTIRE AND MAKEUP</t>
  </si>
  <si>
    <t xml:space="preserve">SETUP</t>
  </si>
  <si>
    <t xml:space="preserve">For Person / Role</t>
  </si>
  <si>
    <t xml:space="preserve">PHOTO REFERENCE GALLERY</t>
  </si>
  <si>
    <t xml:space="preserve">WEDDING LOGISTICS: ACCOMMODATION</t>
  </si>
  <si>
    <t xml:space="preserve">GUESTS STILL NEEDING A ROOM</t>
  </si>
  <si>
    <t xml:space="preserve">Confirmed Guest</t>
  </si>
  <si>
    <t xml:space="preserve">Has Room?</t>
  </si>
  <si>
    <t xml:space="preserve">HOTEL ACCOMMODATION</t>
  </si>
  <si>
    <t xml:space="preserve">Guest Name</t>
  </si>
  <si>
    <t xml:space="preserve">Accommodation Name</t>
  </si>
  <si>
    <t xml:space="preserve">Room Number</t>
  </si>
  <si>
    <t xml:space="preserve">Check-in Date/Time</t>
  </si>
  <si>
    <t xml:space="preserve">Check-out Date/Time</t>
  </si>
  <si>
    <t xml:space="preserve">WEDDING LOGISTICS: TRANSPORTATION</t>
  </si>
  <si>
    <t xml:space="preserve">Transportation For</t>
  </si>
  <si>
    <t xml:space="preserve">Vendor Contact</t>
  </si>
  <si>
    <t xml:space="preserve">Pickup Location</t>
  </si>
  <si>
    <t xml:space="preserve">Dropoff Location</t>
  </si>
  <si>
    <t xml:space="preserve">Pickup Date</t>
  </si>
  <si>
    <t xml:space="preserve">Pickup Time</t>
  </si>
  <si>
    <t xml:space="preserve">WEDDING STATIONERY: CHECKLIST</t>
  </si>
  <si>
    <t xml:space="preserve">PROGRESS</t>
  </si>
  <si>
    <t xml:space="preserve">Design Status</t>
  </si>
  <si>
    <t xml:space="preserve">In Progress</t>
  </si>
  <si>
    <t xml:space="preserve">Item Name</t>
  </si>
  <si>
    <t xml:space="preserve">Printing Status</t>
  </si>
  <si>
    <t xml:space="preserve">Overall Status</t>
  </si>
  <si>
    <t xml:space="preserve">Vendor / Source</t>
  </si>
  <si>
    <t xml:space="preserve">Total Design Cost</t>
  </si>
  <si>
    <t xml:space="preserve">Print Cost per Unit</t>
  </si>
  <si>
    <t xml:space="preserve">Completed</t>
  </si>
  <si>
    <t xml:space="preserve">Save the Dates</t>
  </si>
  <si>
    <t xml:space="preserve">Not Ordered</t>
  </si>
  <si>
    <t xml:space="preserve">Invitation Suite</t>
  </si>
  <si>
    <t xml:space="preserve">Print Status</t>
  </si>
  <si>
    <t xml:space="preserve">RSVP Cards</t>
  </si>
  <si>
    <t xml:space="preserve">Not Needed</t>
  </si>
  <si>
    <t xml:space="preserve">Ceremony Programs</t>
  </si>
  <si>
    <t xml:space="preserve">Menu Cards</t>
  </si>
  <si>
    <t xml:space="preserve">Place Cards</t>
  </si>
  <si>
    <t xml:space="preserve">Printed</t>
  </si>
  <si>
    <t xml:space="preserve">Table Numbers</t>
  </si>
  <si>
    <t xml:space="preserve">Welcome Sign</t>
  </si>
  <si>
    <t xml:space="preserve">Thank You Cards</t>
  </si>
  <si>
    <t xml:space="preserve">Before the Wedding</t>
  </si>
  <si>
    <t xml:space="preserve">Seating Chart</t>
  </si>
  <si>
    <t xml:space="preserve">Wedding Day</t>
  </si>
  <si>
    <t xml:space="preserve">After the Wedding</t>
  </si>
  <si>
    <t xml:space="preserve">SAVE THE DATE</t>
  </si>
  <si>
    <t xml:space="preserve">Fully Automated</t>
  </si>
  <si>
    <t xml:space="preserve">3 Options</t>
  </si>
  <si>
    <t xml:space="preserve">Ready to Share</t>
  </si>
  <si>
    <t xml:space="preserve">[ Save the Date mockup 1 ]</t>
  </si>
  <si>
    <t xml:space="preserve">[ Save the Date mockup 2 ]</t>
  </si>
  <si>
    <t xml:space="preserve">[ Save the Date mockup 3 ]</t>
  </si>
  <si>
    <t xml:space="preserve">WORDING NOTES</t>
  </si>
  <si>
    <t xml:space="preserve">Draft your save the date wording here.</t>
  </si>
  <si>
    <t xml:space="preserve">MAILING TIMELINE NOTES</t>
  </si>
  <si>
    <t xml:space="preserve">Save the dates typically mail 6 to 8 months before the wedding, sooner for destination weddings.</t>
  </si>
  <si>
    <t xml:space="preserve">PRE-WEDDING: ENGAGEMENT PARTY</t>
  </si>
  <si>
    <t xml:space="preserve">OVERVIEW</t>
  </si>
  <si>
    <t xml:space="preserve">Date</t>
  </si>
  <si>
    <t xml:space="preserve">Theme</t>
  </si>
  <si>
    <t xml:space="preserve">COUNTDOWN</t>
  </si>
  <si>
    <t xml:space="preserve">Invitations</t>
  </si>
  <si>
    <t xml:space="preserve">GUEST LIST AND RSVP</t>
  </si>
  <si>
    <t xml:space="preserve">PRE-WEDDING: BRIDAL SHOWER</t>
  </si>
  <si>
    <t xml:space="preserve">Games and Activities</t>
  </si>
  <si>
    <t xml:space="preserve">PRE-WEDDING: BACHELOR(ETTE) PLANNER</t>
  </si>
  <si>
    <t xml:space="preserve">Party</t>
  </si>
  <si>
    <t xml:space="preserve">Date / # of Days</t>
  </si>
  <si>
    <t xml:space="preserve">Venue / Location</t>
  </si>
  <si>
    <t xml:space="preserve">ITINERARY</t>
  </si>
  <si>
    <t xml:space="preserve">Details</t>
  </si>
  <si>
    <t xml:space="preserve">BOOKINGS (ACCOMMODATION OPTIONS)</t>
  </si>
  <si>
    <t xml:space="preserve">Option</t>
  </si>
  <si>
    <t xml:space="preserve">Phone</t>
  </si>
  <si>
    <t xml:space="preserve">Booking Date</t>
  </si>
  <si>
    <t xml:space="preserve">Payment Info</t>
  </si>
  <si>
    <t xml:space="preserve">Reference</t>
  </si>
  <si>
    <t xml:space="preserve">Option 1</t>
  </si>
  <si>
    <t xml:space="preserve">Option 2</t>
  </si>
  <si>
    <t xml:space="preserve">TRAVEL ARRANGEMENT</t>
  </si>
  <si>
    <t xml:space="preserve">Traveler</t>
  </si>
  <si>
    <t xml:space="preserve">Mode</t>
  </si>
  <si>
    <t xml:space="preserve">Departure</t>
  </si>
  <si>
    <t xml:space="preserve">Arrival</t>
  </si>
  <si>
    <t xml:space="preserve">Confirmation #</t>
  </si>
  <si>
    <t xml:space="preserve">EXPENSE TRACKER</t>
  </si>
  <si>
    <t xml:space="preserve">Accommodation</t>
  </si>
  <si>
    <t xml:space="preserve">Travel</t>
  </si>
  <si>
    <t xml:space="preserve">Activities</t>
  </si>
  <si>
    <t xml:space="preserve">HONEYMOON PLANNER</t>
  </si>
  <si>
    <t xml:space="preserve">EXPENSES TRACKER</t>
  </si>
  <si>
    <t xml:space="preserve">Flights</t>
  </si>
  <si>
    <t xml:space="preserve">Activities and Excursions</t>
  </si>
  <si>
    <t xml:space="preserve">Shopping</t>
  </si>
  <si>
    <t xml:space="preserve">CURRENCY CALCULATOR</t>
  </si>
  <si>
    <t xml:space="preserve">From Currency</t>
  </si>
  <si>
    <t xml:space="preserve">To Currency</t>
  </si>
  <si>
    <t xml:space="preserve">Exchange Rate</t>
  </si>
  <si>
    <t xml:space="preserve">Converted Amount</t>
  </si>
  <si>
    <t xml:space="preserve">USD</t>
  </si>
  <si>
    <t xml:space="preserve">EUR</t>
  </si>
  <si>
    <t xml:space="preserve">TRANSACTION TRACKER</t>
  </si>
  <si>
    <t xml:space="preserve">HONEYMOON CHECKLIST</t>
  </si>
  <si>
    <t xml:space="preserve">Incomplete</t>
  </si>
  <si>
    <t xml:space="preserve">Book flights</t>
  </si>
  <si>
    <t xml:space="preserve">Book accommodation</t>
  </si>
  <si>
    <t xml:space="preserve">Confirm passport validity</t>
  </si>
  <si>
    <t xml:space="preserve">Arrange travel insurance</t>
  </si>
  <si>
    <t xml:space="preserve">Notify bank of travel dates</t>
  </si>
  <si>
    <t xml:space="preserve">Exchange currency</t>
  </si>
  <si>
    <t xml:space="preserve">Confirm excursion reservations</t>
  </si>
  <si>
    <t xml:space="preserve">Pack luggage</t>
  </si>
  <si>
    <t xml:space="preserve">Print travel documents</t>
  </si>
  <si>
    <t xml:space="preserve">Arrange airport transportation</t>
  </si>
  <si>
    <t xml:space="preserve">Packing list reference: see the Packing List tab, Honeymoon section.</t>
  </si>
  <si>
    <t xml:space="preserve">GIFTS AND THANK YOU</t>
  </si>
  <si>
    <t xml:space="preserve">THANK YOU CARDS SENT</t>
  </si>
  <si>
    <t xml:space="preserve">Gift Received</t>
  </si>
  <si>
    <t xml:space="preserve">Estimated Value</t>
  </si>
  <si>
    <t xml:space="preserve">Thank You Card Sent</t>
  </si>
  <si>
    <t xml:space="preserve">Date Sent</t>
  </si>
  <si>
    <t xml:space="preserve">AssignedTo</t>
  </si>
  <si>
    <t xml:space="preserve">YesNo</t>
  </si>
  <si>
    <t xml:space="preserve">YesNoAwaited</t>
  </si>
  <si>
    <t xml:space="preserve">GuestTag</t>
  </si>
  <si>
    <t xml:space="preserve">GuestType</t>
  </si>
  <si>
    <t xml:space="preserve">MealPref</t>
  </si>
  <si>
    <t xml:space="preserve">VendorCategory</t>
  </si>
  <si>
    <t xml:space="preserve">AttireStatus</t>
  </si>
  <si>
    <t xml:space="preserve">WeddingPartyRole</t>
  </si>
  <si>
    <t xml:space="preserve">GiftStatus</t>
  </si>
  <si>
    <t xml:space="preserve">DecorLocation</t>
  </si>
  <si>
    <t xml:space="preserve">DecorStatus</t>
  </si>
  <si>
    <t xml:space="preserve">BuyRent</t>
  </si>
  <si>
    <t xml:space="preserve">FloralStatus</t>
  </si>
  <si>
    <t xml:space="preserve">AttireCategory</t>
  </si>
  <si>
    <t xml:space="preserve">AccommodationList</t>
  </si>
  <si>
    <t xml:space="preserve">StationeryCategory</t>
  </si>
  <si>
    <t xml:space="preserve">DesignStatus</t>
  </si>
  <si>
    <t xml:space="preserve">PrintStatus</t>
  </si>
  <si>
    <t xml:space="preserve">PaymentStatus</t>
  </si>
  <si>
    <t xml:space="preserve">PaymentType</t>
  </si>
  <si>
    <t xml:space="preserve">TrueFalse</t>
  </si>
  <si>
    <t xml:space="preserve">BachelorType</t>
  </si>
  <si>
    <t xml:space="preserve">CurrencyList</t>
  </si>
  <si>
    <t xml:space="preserve">BookingStatus</t>
  </si>
  <si>
    <t xml:space="preserve">MonthNames</t>
  </si>
  <si>
    <t xml:space="preserve">ChecklistSections</t>
  </si>
  <si>
    <t xml:space="preserve">Low</t>
  </si>
  <si>
    <t xml:space="preserve">Family</t>
  </si>
  <si>
    <t xml:space="preserve">Buy</t>
  </si>
  <si>
    <t xml:space="preserve">Grand Hotel</t>
  </si>
  <si>
    <t xml:space="preserve">Not Due</t>
  </si>
  <si>
    <t xml:space="preserve">Researching</t>
  </si>
  <si>
    <t xml:space="preserve">January</t>
  </si>
  <si>
    <t xml:space="preserve">Friend</t>
  </si>
  <si>
    <t xml:space="preserve">Bridesmaid</t>
  </si>
  <si>
    <t xml:space="preserve">Rent</t>
  </si>
  <si>
    <t xml:space="preserve">Hair</t>
  </si>
  <si>
    <t xml:space="preserve">Riverside Inn</t>
  </si>
  <si>
    <t xml:space="preserve">Due Soon</t>
  </si>
  <si>
    <t xml:space="preserve">Trip</t>
  </si>
  <si>
    <t xml:space="preserve">Contacted</t>
  </si>
  <si>
    <t xml:space="preserve">February</t>
  </si>
  <si>
    <t xml:space="preserve">High</t>
  </si>
  <si>
    <t xml:space="preserve">Colleague</t>
  </si>
  <si>
    <t xml:space="preserve">Cancelled</t>
  </si>
  <si>
    <t xml:space="preserve">Makeup</t>
  </si>
  <si>
    <t xml:space="preserve">Airport Marriott</t>
  </si>
  <si>
    <t xml:space="preserve">Paid</t>
  </si>
  <si>
    <t xml:space="preserve">Final Payment</t>
  </si>
  <si>
    <t xml:space="preserve">GBP</t>
  </si>
  <si>
    <t xml:space="preserve">Booked</t>
  </si>
  <si>
    <t xml:space="preserve">March</t>
  </si>
  <si>
    <t xml:space="preserve">Urgent</t>
  </si>
  <si>
    <t xml:space="preserve">Neighbor</t>
  </si>
  <si>
    <t xml:space="preserve">Groomsman</t>
  </si>
  <si>
    <t xml:space="preserve">Delivered</t>
  </si>
  <si>
    <t xml:space="preserve">Shoes &amp; Accessories</t>
  </si>
  <si>
    <t xml:space="preserve">Boutique B and B</t>
  </si>
  <si>
    <t xml:space="preserve">Gratuity</t>
  </si>
  <si>
    <t xml:space="preserve">CAD</t>
  </si>
  <si>
    <t xml:space="preserve">April</t>
  </si>
  <si>
    <t xml:space="preserve">Flower Girl</t>
  </si>
  <si>
    <t xml:space="preserve">Nails</t>
  </si>
  <si>
    <t xml:space="preserve">Guest House</t>
  </si>
  <si>
    <t xml:space="preserve">AUD</t>
  </si>
  <si>
    <t xml:space="preserve">May</t>
  </si>
  <si>
    <t xml:space="preserve">Ring Bearer</t>
  </si>
  <si>
    <t xml:space="preserve">MXN</t>
  </si>
  <si>
    <t xml:space="preserve">June</t>
  </si>
  <si>
    <t xml:space="preserve">Usher</t>
  </si>
  <si>
    <t xml:space="preserve">JPY</t>
  </si>
  <si>
    <t xml:space="preserve">July</t>
  </si>
  <si>
    <t xml:space="preserve">Parent of Bride</t>
  </si>
  <si>
    <t xml:space="preserve">September</t>
  </si>
  <si>
    <t xml:space="preserve">Parent of Groom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</si>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</sst>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General"/>
    <numFmt numFmtId="167" formatCode="\$#,##0.00"/>
    <numFmt numFmtId="168" formatCode="0%"/>
    <numFmt numFmtId="169" formatCode="\☑;;\☐"/>
    <numFmt numFmtId="170" formatCode="d"/>
    <numFmt numFmtId="171" formatCode="dd\-mmm\-yyyy\ hh:mm"/>
    <numFmt numFmtId="172" formatCode="hh:mm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2E2E"/>
      <name val="Calibri"/>
      <family val="0"/>
      <charset val="1"/>
    </font>
    <font>
      <b val="true"/>
      <sz val="9"/>
      <color rgb="FF2E2E2E"/>
      <name val="Calibri"/>
      <family val="0"/>
      <charset val="1"/>
    </font>
    <font>
      <b val="true"/>
      <sz val="12"/>
      <color rgb="FF2E2E2E"/>
      <name val="Calibri"/>
      <family val="0"/>
      <charset val="1"/>
    </font>
    <font>
      <b val="true"/>
      <sz val="11"/>
      <color rgb="FF2E2E2E"/>
      <name val="Calibri"/>
      <family val="0"/>
      <charset val="1"/>
    </font>
    <font>
      <i val="true"/>
      <sz val="10"/>
      <color rgb="FF9A9A9A"/>
      <name val="Calibri"/>
      <family val="0"/>
      <charset val="1"/>
    </font>
    <font>
      <sz val="10"/>
      <color rgb="FF2E2E2E"/>
      <name val="Calibri"/>
      <family val="0"/>
      <charset val="1"/>
    </font>
    <font>
      <b val="true"/>
      <sz val="14"/>
      <color rgb="FF2E2E2E"/>
      <name val="Calibri"/>
      <family val="0"/>
      <charset val="1"/>
    </font>
    <font>
      <u val="single"/>
      <sz val="10"/>
      <color rgb="FF6B5CA5"/>
      <name val="Calibri"/>
      <family val="0"/>
      <charset val="1"/>
    </font>
    <font>
      <b val="true"/>
      <sz val="16"/>
      <color rgb="FF2E2E2E"/>
      <name val="Calibri"/>
      <family val="0"/>
      <charset val="1"/>
    </font>
    <font>
      <b val="true"/>
      <sz val="30"/>
      <color rgb="FF2E2E2E"/>
      <name val="Calibri"/>
      <family val="0"/>
      <charset val="1"/>
    </font>
    <font>
      <b val="true"/>
      <sz val="13"/>
      <color rgb="FF2E2E2E"/>
      <name val="Calibri"/>
      <family val="0"/>
      <charset val="1"/>
    </font>
    <font>
      <b val="true"/>
      <sz val="10"/>
      <color rgb="FF2E2E2E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8"/>
      <color rgb="FF2E2E2E"/>
      <name val="Calibri"/>
      <family val="0"/>
      <charset val="1"/>
    </font>
    <font>
      <sz val="9"/>
      <color rgb="FF2E2E2E"/>
      <name val="Calibri"/>
      <family val="0"/>
      <charset val="1"/>
    </font>
    <font>
      <sz val="8"/>
      <color rgb="FF2E2E2E"/>
      <name val="Calibri"/>
      <family val="0"/>
      <charset val="1"/>
    </font>
    <font>
      <i val="true"/>
      <sz val="9"/>
      <color rgb="FF2E2E2E"/>
      <name val="Calibri"/>
      <family val="0"/>
      <charset val="1"/>
    </font>
    <font>
      <b val="true"/>
      <sz val="15"/>
      <color rgb="FF2E2E2E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8D3F0"/>
        <bgColor rgb="FFD9D9D9"/>
      </patternFill>
    </fill>
    <fill>
      <patternFill patternType="solid">
        <fgColor rgb="FFF6D9DE"/>
        <bgColor rgb="FFF5DFD0"/>
      </patternFill>
    </fill>
    <fill>
      <patternFill patternType="solid">
        <fgColor rgb="FFFFFFFF"/>
        <bgColor rgb="FFFBF9F6"/>
      </patternFill>
    </fill>
    <fill>
      <patternFill patternType="solid">
        <fgColor rgb="FFDCE8D8"/>
        <bgColor rgb="FFE5E1DA"/>
      </patternFill>
    </fill>
    <fill>
      <patternFill patternType="solid">
        <fgColor rgb="FFD8E6F0"/>
        <bgColor rgb="FFDCE8D8"/>
      </patternFill>
    </fill>
    <fill>
      <patternFill patternType="solid">
        <fgColor rgb="FFFBF9F6"/>
        <bgColor rgb="FFF9F9F9"/>
      </patternFill>
    </fill>
    <fill>
      <patternFill patternType="solid">
        <fgColor rgb="FFF5EFD6"/>
        <bgColor rgb="FFF5EFC6"/>
      </patternFill>
    </fill>
    <fill>
      <patternFill patternType="solid">
        <fgColor rgb="FFF5DFD0"/>
        <bgColor rgb="FFF6D9DE"/>
      </patternFill>
    </fill>
    <fill>
      <patternFill patternType="solid">
        <fgColor rgb="FFF5EFC6"/>
        <bgColor rgb="FFF5EFD6"/>
      </patternFill>
    </fill>
    <fill>
      <patternFill patternType="solid">
        <fgColor rgb="FFF5C6C6"/>
        <bgColor rgb="FFEFBCC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1DA"/>
      </left>
      <right style="thin">
        <color rgb="FFE5E1DA"/>
      </right>
      <top style="thin">
        <color rgb="FFE5E1DA"/>
      </top>
      <bottom style="thin">
        <color rgb="FFE5E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5EFC6"/>
        </patternFill>
      </fill>
    </dxf>
    <dxf>
      <fill>
        <patternFill>
          <bgColor rgb="FFF5C6C6"/>
        </patternFill>
      </fill>
    </dxf>
    <dxf>
      <fill>
        <patternFill>
          <bgColor rgb="FFDCE8D8"/>
        </patternFill>
      </fill>
    </dxf>
    <dxf>
      <fill>
        <patternFill>
          <bgColor rgb="FFF5DFD0"/>
        </patternFill>
      </fill>
    </dxf>
    <dxf>
      <fill>
        <patternFill>
          <bgColor rgb="FFC9E4CA"/>
        </patternFill>
      </fill>
    </dxf>
    <dxf>
      <fill>
        <patternFill>
          <bgColor rgb="FFE5E1DA"/>
        </patternFill>
      </fill>
    </dxf>
    <dxf>
      <fill>
        <patternFill>
          <bgColor rgb="FFF5EFD6"/>
        </patternFill>
      </fill>
    </dxf>
    <dxf>
      <fill>
        <patternFill>
          <bgColor rgb="FFD8E6F0"/>
        </patternFill>
      </fill>
    </dxf>
    <dxf>
      <fill>
        <patternFill>
          <bgColor rgb="FFD8D3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F9F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BDD"/>
      <rgbColor rgb="FF878787"/>
      <rgbColor rgb="FFE5E1DA"/>
      <rgbColor rgb="FF993366"/>
      <rgbColor rgb="FFF5EFC6"/>
      <rgbColor rgb="FFD8E6F0"/>
      <rgbColor rgb="FF660066"/>
      <rgbColor rgb="FFF6D9DE"/>
      <rgbColor rgb="FF0066CC"/>
      <rgbColor rgb="FFD8D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CE8D8"/>
      <rgbColor rgb="FFF5EFD6"/>
      <rgbColor rgb="FFC9E4CA"/>
      <rgbColor rgb="FFEFBCC6"/>
      <rgbColor rgb="FFD9D9D9"/>
      <rgbColor rgb="FFF5C6C6"/>
      <rgbColor rgb="FF4F81BD"/>
      <rgbColor rgb="FF33CCCC"/>
      <rgbColor rgb="FF99CC00"/>
      <rgbColor rgb="FFF5DFD0"/>
      <rgbColor rgb="FFFF9900"/>
      <rgbColor rgb="FFFF6600"/>
      <rgbColor rgb="FF6B5CA5"/>
      <rgbColor rgb="FF9A9A9A"/>
      <rgbColor rgb="FF003366"/>
      <rgbColor rgb="FF339966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Checklist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5e1d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Dashboard!$P$5:$P$6</c:f>
              <c:strCache>
                <c:ptCount val="2"/>
                <c:pt idx="0">
                  <c:v>Done</c:v>
                </c:pt>
                <c:pt idx="1">
                  <c:v>Remaining</c:v>
                </c:pt>
              </c:strCache>
            </c:strRef>
          </c:cat>
          <c:val>
            <c:numRef>
              <c:f>Dashboard!$Q$5:$Q$6</c:f>
              <c:numCache>
                <c:formatCode>General</c:formatCode>
                <c:ptCount val="2"/>
                <c:pt idx="0">
                  <c:v>0</c:v>
                </c:pt>
                <c:pt idx="1">
                  <c:v>851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Guest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d3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Dashboard!$P$8:$P$10</c:f>
              <c:strCache>
                <c:ptCount val="3"/>
                <c:pt idx="0">
                  <c:v>Bride</c:v>
                </c:pt>
                <c:pt idx="1">
                  <c:v>Groom</c:v>
                </c:pt>
                <c:pt idx="2">
                  <c:v>Both</c:v>
                </c:pt>
              </c:strCache>
            </c:strRef>
          </c:cat>
          <c:val>
            <c:numRef>
              <c:f>Dashboard!$Q$8:$Q$10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Save the Dates Sent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5e1d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Dashboard!$P$12:$P$13</c:f>
              <c:strCache>
                <c:ptCount val="2"/>
                <c:pt idx="0">
                  <c:v>STD Sent</c:v>
                </c:pt>
                <c:pt idx="1">
                  <c:v>STD Not Sent</c:v>
                </c:pt>
              </c:strCache>
            </c:strRef>
          </c:cat>
          <c:val>
            <c:numRef>
              <c:f>Dashboard!$Q$12:$Q$13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Invitations Sent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e6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5e1d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Dashboard!$P$15:$P$16</c:f>
              <c:strCache>
                <c:ptCount val="2"/>
                <c:pt idx="0">
                  <c:v>Invites Sent</c:v>
                </c:pt>
                <c:pt idx="1">
                  <c:v>Invites Not Sent</c:v>
                </c:pt>
              </c:strCache>
            </c:strRef>
          </c:cat>
          <c:val>
            <c:numRef>
              <c:f>Dashboard!$Q$15:$Q$16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Attire Checklist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Dashboard!Q18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Dashboard!$P$19:$P$24</c:f>
              <c:strCache>
                <c:ptCount val="6"/>
                <c:pt idx="0">
                  <c:v>Not Started</c:v>
                </c:pt>
                <c:pt idx="1">
                  <c:v>Ordered</c:v>
                </c:pt>
                <c:pt idx="2">
                  <c:v>Received</c:v>
                </c:pt>
                <c:pt idx="3">
                  <c:v>Fitting Scheduled</c:v>
                </c:pt>
                <c:pt idx="4">
                  <c:v>Alterations Needed</c:v>
                </c:pt>
                <c:pt idx="5">
                  <c:v>Ready</c:v>
                </c:pt>
              </c:strCache>
            </c:strRef>
          </c:cat>
          <c:val>
            <c:numRef>
              <c:f>Dashboard!$Q$19:$Q$24</c:f>
              <c:numCache>
                <c:formatCode>General</c:formatCode>
                <c:ptCount val="6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47473263"/>
        <c:axId val="7549795"/>
      </c:barChart>
      <c:catAx>
        <c:axId val="4747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9795"/>
        <c:crosses val="autoZero"/>
        <c:auto val="1"/>
        <c:lblAlgn val="ctr"/>
        <c:lblOffset val="100"/>
        <c:noMultiLvlLbl val="0"/>
      </c:catAx>
      <c:valAx>
        <c:axId val="75497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732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Vendor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'Wedding Budget'!C16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'Wedding Budget'!$A$17:$A$31</c:f>
              <c:strCache>
                <c:ptCount val="15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Videography</c:v>
                </c:pt>
                <c:pt idx="4">
                  <c:v>Florist</c:v>
                </c:pt>
                <c:pt idx="5">
                  <c:v>DJ/Band</c:v>
                </c:pt>
                <c:pt idx="6">
                  <c:v>Officiant</c:v>
                </c:pt>
                <c:pt idx="7">
                  <c:v>Rentals</c:v>
                </c:pt>
                <c:pt idx="8">
                  <c:v>Decor</c:v>
                </c:pt>
                <c:pt idx="9">
                  <c:v>Hair &amp; Makeup</c:v>
                </c:pt>
                <c:pt idx="10">
                  <c:v>Transportation</c:v>
                </c:pt>
                <c:pt idx="11">
                  <c:v>Cake</c:v>
                </c:pt>
                <c:pt idx="12">
                  <c:v>Stationery</c:v>
                </c:pt>
                <c:pt idx="13">
                  <c:v>Favors</c:v>
                </c:pt>
                <c:pt idx="14">
                  <c:v>Lighting</c:v>
                </c:pt>
              </c:strCache>
            </c:strRef>
          </c:cat>
          <c:val>
            <c:numRef>
              <c:f>'Wedding Budget'!$C$17:$C$31</c:f>
              <c:numCache>
                <c:formatCode>\$#,##0.00</c:formatCode>
                <c:ptCount val="15"/>
                <c:pt idx="0">
                  <c:v>6000</c:v>
                </c:pt>
                <c:pt idx="1">
                  <c:v>4200</c:v>
                </c:pt>
                <c:pt idx="2">
                  <c:v>3200</c:v>
                </c:pt>
                <c:pt idx="3">
                  <c:v>1500</c:v>
                </c:pt>
                <c:pt idx="4">
                  <c:v>900</c:v>
                </c:pt>
                <c:pt idx="5">
                  <c:v>800</c:v>
                </c:pt>
                <c:pt idx="6">
                  <c:v>400</c:v>
                </c:pt>
                <c:pt idx="7">
                  <c:v>500</c:v>
                </c:pt>
                <c:pt idx="8">
                  <c:v>400</c:v>
                </c:pt>
                <c:pt idx="9">
                  <c:v>350</c:v>
                </c:pt>
                <c:pt idx="10">
                  <c:v>250</c:v>
                </c:pt>
                <c:pt idx="11">
                  <c:v>350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</c:numCache>
            </c:numRef>
          </c:val>
        </c:ser>
        <c:ser>
          <c:idx val="1"/>
          <c:order val="1"/>
          <c:tx>
            <c:strRef>
              <c:f>'Wedding Budget'!D16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5dfd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'Wedding Budget'!$A$17:$A$31</c:f>
              <c:strCache>
                <c:ptCount val="15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Videography</c:v>
                </c:pt>
                <c:pt idx="4">
                  <c:v>Florist</c:v>
                </c:pt>
                <c:pt idx="5">
                  <c:v>DJ/Band</c:v>
                </c:pt>
                <c:pt idx="6">
                  <c:v>Officiant</c:v>
                </c:pt>
                <c:pt idx="7">
                  <c:v>Rentals</c:v>
                </c:pt>
                <c:pt idx="8">
                  <c:v>Decor</c:v>
                </c:pt>
                <c:pt idx="9">
                  <c:v>Hair &amp; Makeup</c:v>
                </c:pt>
                <c:pt idx="10">
                  <c:v>Transportation</c:v>
                </c:pt>
                <c:pt idx="11">
                  <c:v>Cake</c:v>
                </c:pt>
                <c:pt idx="12">
                  <c:v>Stationery</c:v>
                </c:pt>
                <c:pt idx="13">
                  <c:v>Favors</c:v>
                </c:pt>
                <c:pt idx="14">
                  <c:v>Lighting</c:v>
                </c:pt>
              </c:strCache>
            </c:strRef>
          </c:cat>
          <c:val>
            <c:numRef>
              <c:f>'Wedding Budget'!$D$17:$D$31</c:f>
              <c:numCache>
                <c:formatCode>\$#,##0.00</c:formatCode>
                <c:ptCount val="15"/>
                <c:pt idx="0">
                  <c:v>8500</c:v>
                </c:pt>
                <c:pt idx="1">
                  <c:v>6200</c:v>
                </c:pt>
                <c:pt idx="2">
                  <c:v>3200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91784001"/>
        <c:axId val="91221342"/>
      </c:barChart>
      <c:catAx>
        <c:axId val="91784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21342"/>
        <c:crosses val="autoZero"/>
        <c:auto val="1"/>
        <c:lblAlgn val="ctr"/>
        <c:lblOffset val="100"/>
        <c:noMultiLvlLbl val="0"/>
      </c:catAx>
      <c:valAx>
        <c:axId val="91221342"/>
        <c:scaling>
          <c:orientation val="minMax"/>
        </c:scaling>
        <c:delete val="0"/>
        <c:axPos val="l"/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84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Progress by Section (% Done)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'Wedding Checklist'!I5</c:f>
              <c:strCache>
                <c:ptCount val="1"/>
                <c:pt idx="0">
                  <c:v>% Done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'Wedding Checklist'!$H$6:$H$17</c:f>
              <c:strCache>
                <c:ptCount val="12"/>
                <c:pt idx="0">
                  <c:v>12+ Months Before</c:v>
                </c:pt>
                <c:pt idx="1">
                  <c:v>10-12 Months Before</c:v>
                </c:pt>
                <c:pt idx="2">
                  <c:v>8-10 Months Before</c:v>
                </c:pt>
                <c:pt idx="3">
                  <c:v>6-8 Months Before</c:v>
                </c:pt>
                <c:pt idx="4">
                  <c:v>4-6 Months Before</c:v>
                </c:pt>
                <c:pt idx="5">
                  <c:v>2-4 Months Before</c:v>
                </c:pt>
                <c:pt idx="6">
                  <c:v>1 Month Before</c:v>
                </c:pt>
                <c:pt idx="7">
                  <c:v>2 Weeks Before</c:v>
                </c:pt>
                <c:pt idx="8">
                  <c:v>1 Week Before</c:v>
                </c:pt>
                <c:pt idx="9">
                  <c:v>2 Days Before</c:v>
                </c:pt>
                <c:pt idx="10">
                  <c:v>1 Day Before</c:v>
                </c:pt>
                <c:pt idx="11">
                  <c:v>Legal Items</c:v>
                </c:pt>
              </c:strCache>
            </c:strRef>
          </c:cat>
          <c:val>
            <c:numRef>
              <c:f>'Wedding Checklist'!$I$6:$I$17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2673608"/>
        <c:axId val="89397668"/>
      </c:barChart>
      <c:catAx>
        <c:axId val="6267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97668"/>
        <c:crosses val="autoZero"/>
        <c:auto val="1"/>
        <c:lblAlgn val="ctr"/>
        <c:lblOffset val="100"/>
        <c:noMultiLvlLbl val="0"/>
      </c:catAx>
      <c:valAx>
        <c:axId val="893976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73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Tasks Remaining by 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d3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5efd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d8e6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5dfd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b4abd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efb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'Wedding Checklist'!$H$20:$H$27</c:f>
              <c:strCache>
                <c:ptCount val="8"/>
                <c:pt idx="0">
                  <c:v>Bride</c:v>
                </c:pt>
                <c:pt idx="1">
                  <c:v>Groom</c:v>
                </c:pt>
                <c:pt idx="2">
                  <c:v>Both</c:v>
                </c:pt>
                <c:pt idx="3">
                  <c:v>Wedding Planner</c:v>
                </c:pt>
                <c:pt idx="4">
                  <c:v>Maid of Honor</c:v>
                </c:pt>
                <c:pt idx="5">
                  <c:v>Best Man</c:v>
                </c:pt>
                <c:pt idx="6">
                  <c:v>Parent</c:v>
                </c:pt>
                <c:pt idx="7">
                  <c:v>Other</c:v>
                </c:pt>
              </c:strCache>
            </c:strRef>
          </c:cat>
          <c:val>
            <c:numRef>
              <c:f>'Wedding Checklist'!$I$20:$I$27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851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Expenses: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'Wedding Budget'!C16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'Wedding Budget'!$A$17:$A$31</c:f>
              <c:strCache>
                <c:ptCount val="15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Videography</c:v>
                </c:pt>
                <c:pt idx="4">
                  <c:v>Florist</c:v>
                </c:pt>
                <c:pt idx="5">
                  <c:v>DJ/Band</c:v>
                </c:pt>
                <c:pt idx="6">
                  <c:v>Officiant</c:v>
                </c:pt>
                <c:pt idx="7">
                  <c:v>Rentals</c:v>
                </c:pt>
                <c:pt idx="8">
                  <c:v>Decor</c:v>
                </c:pt>
                <c:pt idx="9">
                  <c:v>Hair &amp; Makeup</c:v>
                </c:pt>
                <c:pt idx="10">
                  <c:v>Transportation</c:v>
                </c:pt>
                <c:pt idx="11">
                  <c:v>Cake</c:v>
                </c:pt>
                <c:pt idx="12">
                  <c:v>Stationery</c:v>
                </c:pt>
                <c:pt idx="13">
                  <c:v>Favors</c:v>
                </c:pt>
                <c:pt idx="14">
                  <c:v>Lighting</c:v>
                </c:pt>
              </c:strCache>
            </c:strRef>
          </c:cat>
          <c:val>
            <c:numRef>
              <c:f>'Wedding Budget'!$C$17:$C$31</c:f>
              <c:numCache>
                <c:formatCode>\$#,##0.00</c:formatCode>
                <c:ptCount val="15"/>
                <c:pt idx="0">
                  <c:v>6000</c:v>
                </c:pt>
                <c:pt idx="1">
                  <c:v>4200</c:v>
                </c:pt>
                <c:pt idx="2">
                  <c:v>3200</c:v>
                </c:pt>
                <c:pt idx="3">
                  <c:v>1500</c:v>
                </c:pt>
                <c:pt idx="4">
                  <c:v>900</c:v>
                </c:pt>
                <c:pt idx="5">
                  <c:v>800</c:v>
                </c:pt>
                <c:pt idx="6">
                  <c:v>400</c:v>
                </c:pt>
                <c:pt idx="7">
                  <c:v>500</c:v>
                </c:pt>
                <c:pt idx="8">
                  <c:v>400</c:v>
                </c:pt>
                <c:pt idx="9">
                  <c:v>350</c:v>
                </c:pt>
                <c:pt idx="10">
                  <c:v>250</c:v>
                </c:pt>
                <c:pt idx="11">
                  <c:v>350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</c:numCache>
            </c:numRef>
          </c:val>
        </c:ser>
        <c:ser>
          <c:idx val="1"/>
          <c:order val="1"/>
          <c:tx>
            <c:strRef>
              <c:f>'Wedding Budget'!D16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5dfd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'Wedding Budget'!$A$17:$A$31</c:f>
              <c:strCache>
                <c:ptCount val="15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Videography</c:v>
                </c:pt>
                <c:pt idx="4">
                  <c:v>Florist</c:v>
                </c:pt>
                <c:pt idx="5">
                  <c:v>DJ/Band</c:v>
                </c:pt>
                <c:pt idx="6">
                  <c:v>Officiant</c:v>
                </c:pt>
                <c:pt idx="7">
                  <c:v>Rentals</c:v>
                </c:pt>
                <c:pt idx="8">
                  <c:v>Decor</c:v>
                </c:pt>
                <c:pt idx="9">
                  <c:v>Hair &amp; Makeup</c:v>
                </c:pt>
                <c:pt idx="10">
                  <c:v>Transportation</c:v>
                </c:pt>
                <c:pt idx="11">
                  <c:v>Cake</c:v>
                </c:pt>
                <c:pt idx="12">
                  <c:v>Stationery</c:v>
                </c:pt>
                <c:pt idx="13">
                  <c:v>Favors</c:v>
                </c:pt>
                <c:pt idx="14">
                  <c:v>Lighting</c:v>
                </c:pt>
              </c:strCache>
            </c:strRef>
          </c:cat>
          <c:val>
            <c:numRef>
              <c:f>'Wedding Budget'!$D$17:$D$31</c:f>
              <c:numCache>
                <c:formatCode>\$#,##0.00</c:formatCode>
                <c:ptCount val="15"/>
                <c:pt idx="0">
                  <c:v>8500</c:v>
                </c:pt>
                <c:pt idx="1">
                  <c:v>6200</c:v>
                </c:pt>
                <c:pt idx="2">
                  <c:v>3200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77788669"/>
        <c:axId val="87940702"/>
      </c:barChart>
      <c:catAx>
        <c:axId val="777886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40702"/>
        <c:crosses val="autoZero"/>
        <c:auto val="1"/>
        <c:lblAlgn val="ctr"/>
        <c:lblOffset val="100"/>
        <c:noMultiLvlLbl val="0"/>
      </c:catAx>
      <c:valAx>
        <c:axId val="87940702"/>
        <c:scaling>
          <c:orientation val="minMax"/>
        </c:scaling>
        <c:delete val="0"/>
        <c:axPos val="l"/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886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Vendor Cost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'Vendor Selection'!M3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'Vendor Selection'!$L$4:$L$18</c:f>
              <c:strCache>
                <c:ptCount val="15"/>
                <c:pt idx="0">
                  <c:v>Venue</c:v>
                </c:pt>
                <c:pt idx="1">
                  <c:v>Catering</c:v>
                </c:pt>
                <c:pt idx="2">
                  <c:v>Photography</c:v>
                </c:pt>
                <c:pt idx="3">
                  <c:v>Videography</c:v>
                </c:pt>
                <c:pt idx="4">
                  <c:v>Florist</c:v>
                </c:pt>
                <c:pt idx="5">
                  <c:v>DJ/Band</c:v>
                </c:pt>
                <c:pt idx="6">
                  <c:v>Officiant</c:v>
                </c:pt>
                <c:pt idx="7">
                  <c:v>Rentals</c:v>
                </c:pt>
                <c:pt idx="8">
                  <c:v>Decor</c:v>
                </c:pt>
                <c:pt idx="9">
                  <c:v>Hair &amp; Makeup</c:v>
                </c:pt>
                <c:pt idx="10">
                  <c:v>Transportation</c:v>
                </c:pt>
                <c:pt idx="11">
                  <c:v>Cake</c:v>
                </c:pt>
                <c:pt idx="12">
                  <c:v>Stationery</c:v>
                </c:pt>
                <c:pt idx="13">
                  <c:v>Favors</c:v>
                </c:pt>
                <c:pt idx="14">
                  <c:v>Lighting</c:v>
                </c:pt>
              </c:strCache>
            </c:strRef>
          </c:cat>
          <c:val>
            <c:numRef>
              <c:f>'Vendor Selection'!$M$4:$M$18</c:f>
              <c:numCache>
                <c:formatCode>\$#,##0.00</c:formatCode>
                <c:ptCount val="15"/>
                <c:pt idx="0">
                  <c:v>8500</c:v>
                </c:pt>
                <c:pt idx="1">
                  <c:v>6200</c:v>
                </c:pt>
                <c:pt idx="2">
                  <c:v>3200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38878953"/>
        <c:axId val="40988534"/>
      </c:barChart>
      <c:catAx>
        <c:axId val="388789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88534"/>
        <c:crosses val="autoZero"/>
        <c:auto val="1"/>
        <c:lblAlgn val="ctr"/>
        <c:lblOffset val="100"/>
        <c:noMultiLvlLbl val="0"/>
      </c:catAx>
      <c:valAx>
        <c:axId val="40988534"/>
        <c:scaling>
          <c:orientation val="minMax"/>
        </c:scaling>
        <c:delete val="0"/>
        <c:axPos val="l"/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78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Cost by Event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d3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'Food and Drinks'!$I$5:$I$6</c:f>
              <c:strCache>
                <c:ptCount val="2"/>
                <c:pt idx="0">
                  <c:v>Rehearsal Dinner</c:v>
                </c:pt>
                <c:pt idx="1">
                  <c:v>Reception</c:v>
                </c:pt>
              </c:strCache>
            </c:strRef>
          </c:cat>
          <c:val>
            <c:numRef>
              <c:f>'Food and Drinks'!$J$5:$J$6</c:f>
              <c:numCache>
                <c:formatCode>\$#,##0.00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Guest Of (Bride / Groom / Both)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d3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'Guest List'!$N$4:$N$6</c:f>
              <c:strCache>
                <c:ptCount val="3"/>
                <c:pt idx="0">
                  <c:v>Bride</c:v>
                </c:pt>
                <c:pt idx="1">
                  <c:v>Groom</c:v>
                </c:pt>
                <c:pt idx="2">
                  <c:v>Both</c:v>
                </c:pt>
              </c:strCache>
            </c:strRef>
          </c:cat>
          <c:val>
            <c:numRef>
              <c:f>'Guest List'!$O$4:$O$6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Meal Preference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'Guest List'!O8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'Guest List'!$N$9:$N$15</c:f>
              <c:strCache>
                <c:ptCount val="7"/>
                <c:pt idx="0">
                  <c:v>Chicken</c:v>
                </c:pt>
                <c:pt idx="1">
                  <c:v>Beef</c:v>
                </c:pt>
                <c:pt idx="2">
                  <c:v>Fish</c:v>
                </c:pt>
                <c:pt idx="3">
                  <c:v>Vegetarian</c:v>
                </c:pt>
                <c:pt idx="4">
                  <c:v>Vegan</c:v>
                </c:pt>
                <c:pt idx="5">
                  <c:v>Kids Meal</c:v>
                </c:pt>
                <c:pt idx="6">
                  <c:v>No Preference</c:v>
                </c:pt>
              </c:strCache>
            </c:strRef>
          </c:cat>
          <c:val>
            <c:numRef>
              <c:f>'Guest List'!$O$9:$O$15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24519509"/>
        <c:axId val="27446132"/>
      </c:barChart>
      <c:catAx>
        <c:axId val="24519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46132"/>
        <c:crosses val="autoZero"/>
        <c:auto val="1"/>
        <c:lblAlgn val="ctr"/>
        <c:lblOffset val="100"/>
        <c:noMultiLvlLbl val="0"/>
      </c:catAx>
      <c:valAx>
        <c:axId val="274461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19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Attire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'Wedding Party'!K3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'Wedding Party'!$J$4:$J$9</c:f>
              <c:strCache>
                <c:ptCount val="6"/>
                <c:pt idx="0">
                  <c:v>Not Started</c:v>
                </c:pt>
                <c:pt idx="1">
                  <c:v>Ordered</c:v>
                </c:pt>
                <c:pt idx="2">
                  <c:v>Received</c:v>
                </c:pt>
                <c:pt idx="3">
                  <c:v>Fitting Scheduled</c:v>
                </c:pt>
                <c:pt idx="4">
                  <c:v>Alterations Needed</c:v>
                </c:pt>
                <c:pt idx="5">
                  <c:v>Ready</c:v>
                </c:pt>
              </c:strCache>
            </c:strRef>
          </c:cat>
          <c:val>
            <c:numRef>
              <c:f>'Wedding Party'!$K$4:$K$9</c:f>
              <c:numCache>
                <c:formatCode>General</c:formatCode>
                <c:ptCount val="6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207982"/>
        <c:axId val="66285573"/>
      </c:barChart>
      <c:catAx>
        <c:axId val="92079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85573"/>
        <c:crosses val="autoZero"/>
        <c:auto val="1"/>
        <c:lblAlgn val="ctr"/>
        <c:lblOffset val="100"/>
        <c:noMultiLvlLbl val="0"/>
      </c:catAx>
      <c:valAx>
        <c:axId val="6628557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7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of Confirmed Items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'Decor Inventory'!L3</c:f>
              <c:strCache>
                <c:ptCount val="1"/>
                <c:pt idx="0">
                  <c:v>Confirmed Cost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'Decor Inventory'!$K$4:$K$12</c:f>
              <c:strCache>
                <c:ptCount val="9"/>
                <c:pt idx="0">
                  <c:v>Ceremony</c:v>
                </c:pt>
                <c:pt idx="1">
                  <c:v>Cocktail Hour</c:v>
                </c:pt>
                <c:pt idx="2">
                  <c:v>Reception Entrance</c:v>
                </c:pt>
                <c:pt idx="3">
                  <c:v>Reception Tables</c:v>
                </c:pt>
                <c:pt idx="4">
                  <c:v>Head Table</c:v>
                </c:pt>
                <c:pt idx="5">
                  <c:v>Cake Table</c:v>
                </c:pt>
                <c:pt idx="6">
                  <c:v>Photo Booth</c:v>
                </c:pt>
                <c:pt idx="7">
                  <c:v>Restrooms</c:v>
                </c:pt>
                <c:pt idx="8">
                  <c:v>Other</c:v>
                </c:pt>
              </c:strCache>
            </c:strRef>
          </c:cat>
          <c:val>
            <c:numRef>
              <c:f>'Decor Inventory'!$L$4:$L$12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32843247"/>
        <c:axId val="32541867"/>
      </c:barChart>
      <c:catAx>
        <c:axId val="3284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41867"/>
        <c:crosses val="autoZero"/>
        <c:auto val="1"/>
        <c:lblAlgn val="ctr"/>
        <c:lblOffset val="100"/>
        <c:noMultiLvlLbl val="0"/>
      </c:catAx>
      <c:valAx>
        <c:axId val="325418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432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by Vendor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'Flower Arrangements'!L3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'Flower Arrangements'!$K$4</c:f>
              <c:strCache>
                <c:ptCount val="1"/>
                <c:pt idx="0">
                  <c:v>Name</c:v>
                </c:pt>
              </c:strCache>
            </c:strRef>
          </c:cat>
          <c:val>
            <c:numRef>
              <c:f>'Flower Arrangements'!$L$4</c:f>
              <c:numCache>
                <c:formatCode>\$#,##0.00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40718426"/>
        <c:axId val="89730821"/>
      </c:barChart>
      <c:catAx>
        <c:axId val="407184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30821"/>
        <c:crosses val="autoZero"/>
        <c:auto val="1"/>
        <c:lblAlgn val="ctr"/>
        <c:lblOffset val="100"/>
        <c:noMultiLvlLbl val="0"/>
      </c:catAx>
      <c:valAx>
        <c:axId val="89730821"/>
        <c:scaling>
          <c:orientation val="minMax"/>
        </c:scaling>
        <c:delete val="0"/>
        <c:axPos val="l"/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184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Design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'Stationery Checklist'!N3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'Stationery Checklist'!$M$4:$M$6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'Stationery Checklist'!$N$4:$N$6</c:f>
              <c:numCache>
                <c:formatCode>General</c:formatCode>
                <c:ptCount val="3"/>
                <c:pt idx="0">
                  <c:v>20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4148650"/>
        <c:axId val="65435971"/>
      </c:barChart>
      <c:catAx>
        <c:axId val="54148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35971"/>
        <c:crosses val="autoZero"/>
        <c:auto val="1"/>
        <c:lblAlgn val="ctr"/>
        <c:lblOffset val="100"/>
        <c:noMultiLvlLbl val="0"/>
      </c:catAx>
      <c:valAx>
        <c:axId val="654359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48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'Stationery Checklist'!N8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'Stationery Checklist'!$M$9:$M$12</c:f>
              <c:strCache>
                <c:ptCount val="4"/>
                <c:pt idx="0">
                  <c:v>Not Needed</c:v>
                </c:pt>
                <c:pt idx="1">
                  <c:v>Not Ordered</c:v>
                </c:pt>
                <c:pt idx="2">
                  <c:v>Ordered</c:v>
                </c:pt>
                <c:pt idx="3">
                  <c:v>Printed</c:v>
                </c:pt>
              </c:strCache>
            </c:strRef>
          </c:cat>
          <c:val>
            <c:numRef>
              <c:f>'Stationery Checklist'!$N$9:$N$12</c:f>
              <c:numCache>
                <c:formatCode>General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8784587"/>
        <c:axId val="63623511"/>
      </c:barChart>
      <c:catAx>
        <c:axId val="58784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23511"/>
        <c:crosses val="autoZero"/>
        <c:auto val="1"/>
        <c:lblAlgn val="ctr"/>
        <c:lblOffset val="100"/>
        <c:noMultiLvlLbl val="0"/>
      </c:catAx>
      <c:valAx>
        <c:axId val="63623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84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d3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'Stationery Checklist'!$M$15:$M$17</c:f>
              <c:strCache>
                <c:ptCount val="3"/>
                <c:pt idx="0">
                  <c:v>Before the Wedding</c:v>
                </c:pt>
                <c:pt idx="1">
                  <c:v>Wedding Day</c:v>
                </c:pt>
                <c:pt idx="2">
                  <c:v>After the Wedding</c:v>
                </c:pt>
              </c:strCache>
            </c:strRef>
          </c:cat>
          <c:val>
            <c:numRef>
              <c:f>'Stationery Checklist'!$N$15:$N$17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d3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5efd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d8e6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5dfd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'Engagement Party'!$A$12:$A$17</c:f>
              <c:strCache>
                <c:ptCount val="6"/>
                <c:pt idx="0">
                  <c:v>Venue</c:v>
                </c:pt>
                <c:pt idx="1">
                  <c:v>Food and Drinks</c:v>
                </c:pt>
                <c:pt idx="2">
                  <c:v>Decor</c:v>
                </c:pt>
                <c:pt idx="3">
                  <c:v>Invitations</c:v>
                </c:pt>
                <c:pt idx="4">
                  <c:v>Favors</c:v>
                </c:pt>
                <c:pt idx="5">
                  <c:v>Other</c:v>
                </c:pt>
              </c:strCache>
            </c:strRef>
          </c:cat>
          <c:val>
            <c:numRef>
              <c:f>'Engagement Party'!$C$12:$C$17</c:f>
              <c:numCache>
                <c:formatCode>\$#,##0.00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d3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5efd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d8e6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5dfd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'Bridal Shower'!$A$12:$A$17</c:f>
              <c:strCache>
                <c:ptCount val="6"/>
                <c:pt idx="0">
                  <c:v>Venue</c:v>
                </c:pt>
                <c:pt idx="1">
                  <c:v>Food and Drinks</c:v>
                </c:pt>
                <c:pt idx="2">
                  <c:v>Decor</c:v>
                </c:pt>
                <c:pt idx="3">
                  <c:v>Games and Activities</c:v>
                </c:pt>
                <c:pt idx="4">
                  <c:v>Favors</c:v>
                </c:pt>
                <c:pt idx="5">
                  <c:v>Other</c:v>
                </c:pt>
              </c:strCache>
            </c:strRef>
          </c:cat>
          <c:val>
            <c:numRef>
              <c:f>'Bridal Shower'!$C$12:$C$17</c:f>
              <c:numCache>
                <c:formatCode>\$#,##0.00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d3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5efd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d8e6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5dfd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'Bachelor(ette) Planner'!$A$59:$A$64</c:f>
              <c:strCache>
                <c:ptCount val="6"/>
                <c:pt idx="0">
                  <c:v>Accommodation</c:v>
                </c:pt>
                <c:pt idx="1">
                  <c:v>Travel</c:v>
                </c:pt>
                <c:pt idx="2">
                  <c:v>Activities</c:v>
                </c:pt>
                <c:pt idx="3">
                  <c:v>Food and Drinks</c:v>
                </c:pt>
                <c:pt idx="4">
                  <c:v>Attire</c:v>
                </c:pt>
                <c:pt idx="5">
                  <c:v>Other</c:v>
                </c:pt>
              </c:strCache>
            </c:strRef>
          </c:cat>
          <c:val>
            <c:numRef>
              <c:f>'Bachelor(ette) Planner'!$C$59:$C$64</c:f>
              <c:numCache>
                <c:formatCode>\$#,##0.00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8d3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6d9d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f5efd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d8e6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5dfd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b4abd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'Honeymoon Planner'!$A$8:$A$14</c:f>
              <c:strCache>
                <c:ptCount val="7"/>
                <c:pt idx="0">
                  <c:v>Flights</c:v>
                </c:pt>
                <c:pt idx="1">
                  <c:v>Accommodation</c:v>
                </c:pt>
                <c:pt idx="2">
                  <c:v>Food and Drinks</c:v>
                </c:pt>
                <c:pt idx="3">
                  <c:v>Activities and Excursions</c:v>
                </c:pt>
                <c:pt idx="4">
                  <c:v>Shopping</c:v>
                </c:pt>
                <c:pt idx="5">
                  <c:v>Transportation</c:v>
                </c:pt>
                <c:pt idx="6">
                  <c:v>Other</c:v>
                </c:pt>
              </c:strCache>
            </c:strRef>
          </c:cat>
          <c:val>
            <c:numRef>
              <c:f>'Honeymoon Planner'!$C$8:$C$14</c:f>
              <c:numCache>
                <c:formatCode>\$#,##0.00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'Honeymoon Planner'!B7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'Honeymoon Planner'!$A$8:$A$14</c:f>
              <c:strCache>
                <c:ptCount val="7"/>
                <c:pt idx="0">
                  <c:v>Flights</c:v>
                </c:pt>
                <c:pt idx="1">
                  <c:v>Accommodation</c:v>
                </c:pt>
                <c:pt idx="2">
                  <c:v>Food and Drinks</c:v>
                </c:pt>
                <c:pt idx="3">
                  <c:v>Activities and Excursions</c:v>
                </c:pt>
                <c:pt idx="4">
                  <c:v>Shopping</c:v>
                </c:pt>
                <c:pt idx="5">
                  <c:v>Transportation</c:v>
                </c:pt>
                <c:pt idx="6">
                  <c:v>Other</c:v>
                </c:pt>
              </c:strCache>
            </c:strRef>
          </c:cat>
          <c:val>
            <c:numRef>
              <c:f>'Honeymoon Planner'!$B$8:$B$14</c:f>
              <c:numCache>
                <c:formatCode>\$#,##0.00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'Honeymoon Planner'!C7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5dfd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'Honeymoon Planner'!$A$8:$A$14</c:f>
              <c:strCache>
                <c:ptCount val="7"/>
                <c:pt idx="0">
                  <c:v>Flights</c:v>
                </c:pt>
                <c:pt idx="1">
                  <c:v>Accommodation</c:v>
                </c:pt>
                <c:pt idx="2">
                  <c:v>Food and Drinks</c:v>
                </c:pt>
                <c:pt idx="3">
                  <c:v>Activities and Excursions</c:v>
                </c:pt>
                <c:pt idx="4">
                  <c:v>Shopping</c:v>
                </c:pt>
                <c:pt idx="5">
                  <c:v>Transportation</c:v>
                </c:pt>
                <c:pt idx="6">
                  <c:v>Other</c:v>
                </c:pt>
              </c:strCache>
            </c:strRef>
          </c:cat>
          <c:val>
            <c:numRef>
              <c:f>'Honeymoon Planner'!$C$8:$C$14</c:f>
              <c:numCache>
                <c:formatCode>\$#,##0.00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38365897"/>
        <c:axId val="22492000"/>
      </c:barChart>
      <c:catAx>
        <c:axId val="383658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92000"/>
        <c:crosses val="autoZero"/>
        <c:auto val="1"/>
        <c:lblAlgn val="ctr"/>
        <c:lblOffset val="100"/>
        <c:noMultiLvlLbl val="0"/>
      </c:catAx>
      <c:valAx>
        <c:axId val="22492000"/>
        <c:scaling>
          <c:orientation val="minMax"/>
        </c:scaling>
        <c:delete val="0"/>
        <c:axPos val="l"/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65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Checklist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dce8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5e1d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'Honeymoon Planner'!$F$62:$F$63</c:f>
              <c:strCache>
                <c:ptCount val="2"/>
                <c:pt idx="0">
                  <c:v>Done</c:v>
                </c:pt>
                <c:pt idx="1">
                  <c:v>Incomplete</c:v>
                </c:pt>
              </c:strCache>
            </c:strRef>
          </c:cat>
          <c:val>
            <c:numRef>
              <c:f>'Honeymoon Planner'!$G$62:$G$63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Incomplete by Assigned 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'Honeymoon Planner'!J61</c:f>
              <c:strCache>
                <c:ptCount val="1"/>
                <c:pt idx="0">
                  <c:v>Incomplete</c:v>
                </c:pt>
              </c:strCache>
            </c:strRef>
          </c:tx>
          <c:spPr>
            <a:solidFill>
              <a:srgbClr val="d8d3f0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'Honeymoon Planner'!$I$62:$I$69</c:f>
              <c:strCache>
                <c:ptCount val="8"/>
                <c:pt idx="0">
                  <c:v>Bride</c:v>
                </c:pt>
                <c:pt idx="1">
                  <c:v>Groom</c:v>
                </c:pt>
                <c:pt idx="2">
                  <c:v>Both</c:v>
                </c:pt>
                <c:pt idx="3">
                  <c:v>Wedding Planner</c:v>
                </c:pt>
                <c:pt idx="4">
                  <c:v>Maid of Honor</c:v>
                </c:pt>
                <c:pt idx="5">
                  <c:v>Best Man</c:v>
                </c:pt>
                <c:pt idx="6">
                  <c:v>Parent</c:v>
                </c:pt>
                <c:pt idx="7">
                  <c:v>Other</c:v>
                </c:pt>
              </c:strCache>
            </c:strRef>
          </c:cat>
          <c:val>
            <c:numRef>
              <c:f>'Honeymoon Planner'!$J$62:$J$69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31051752"/>
        <c:axId val="44291506"/>
      </c:barChart>
      <c:catAx>
        <c:axId val="3105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91506"/>
        <c:crosses val="autoZero"/>
        <c:auto val="1"/>
        <c:lblAlgn val="ctr"/>
        <c:lblOffset val="100"/>
        <c:noMultiLvlLbl val="0"/>
      </c:catAx>
      <c:valAx>
        <c:axId val="442915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51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6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0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1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2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Relationship Id="rId4" Type="http://schemas.openxmlformats.org/officeDocument/2006/relationships/chart" Target="../charts/chart2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161280</xdr:rowOff>
    </xdr:from>
    <xdr:to>
      <xdr:col>2</xdr:col>
      <xdr:colOff>928080</xdr:colOff>
      <xdr:row>28</xdr:row>
      <xdr:rowOff>3240</xdr:rowOff>
    </xdr:to>
    <xdr:graphicFrame>
      <xdr:nvGraphicFramePr>
        <xdr:cNvPr id="0" name="Chart 1"/>
        <xdr:cNvGraphicFramePr/>
      </xdr:nvGraphicFramePr>
      <xdr:xfrm>
        <a:off x="0" y="282888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161280</xdr:rowOff>
    </xdr:from>
    <xdr:to>
      <xdr:col>9</xdr:col>
      <xdr:colOff>928080</xdr:colOff>
      <xdr:row>28</xdr:row>
      <xdr:rowOff>3240</xdr:rowOff>
    </xdr:to>
    <xdr:graphicFrame>
      <xdr:nvGraphicFramePr>
        <xdr:cNvPr id="1" name="Chart 2"/>
        <xdr:cNvGraphicFramePr/>
      </xdr:nvGraphicFramePr>
      <xdr:xfrm>
        <a:off x="8089920" y="282888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161280</xdr:rowOff>
    </xdr:from>
    <xdr:to>
      <xdr:col>2</xdr:col>
      <xdr:colOff>928080</xdr:colOff>
      <xdr:row>44</xdr:row>
      <xdr:rowOff>3600</xdr:rowOff>
    </xdr:to>
    <xdr:graphicFrame>
      <xdr:nvGraphicFramePr>
        <xdr:cNvPr id="2" name="Chart 3"/>
        <xdr:cNvGraphicFramePr/>
      </xdr:nvGraphicFramePr>
      <xdr:xfrm>
        <a:off x="0" y="587700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161280</xdr:rowOff>
    </xdr:from>
    <xdr:to>
      <xdr:col>9</xdr:col>
      <xdr:colOff>928080</xdr:colOff>
      <xdr:row>44</xdr:row>
      <xdr:rowOff>3600</xdr:rowOff>
    </xdr:to>
    <xdr:graphicFrame>
      <xdr:nvGraphicFramePr>
        <xdr:cNvPr id="3" name="Chart 4"/>
        <xdr:cNvGraphicFramePr/>
      </xdr:nvGraphicFramePr>
      <xdr:xfrm>
        <a:off x="8089920" y="587700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45</xdr:row>
      <xdr:rowOff>161280</xdr:rowOff>
    </xdr:from>
    <xdr:to>
      <xdr:col>4</xdr:col>
      <xdr:colOff>416880</xdr:colOff>
      <xdr:row>60</xdr:row>
      <xdr:rowOff>183240</xdr:rowOff>
    </xdr:to>
    <xdr:graphicFrame>
      <xdr:nvGraphicFramePr>
        <xdr:cNvPr id="4" name="Chart 5"/>
        <xdr:cNvGraphicFramePr/>
      </xdr:nvGraphicFramePr>
      <xdr:xfrm>
        <a:off x="0" y="89247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45</xdr:row>
      <xdr:rowOff>161280</xdr:rowOff>
    </xdr:from>
    <xdr:to>
      <xdr:col>9</xdr:col>
      <xdr:colOff>1136520</xdr:colOff>
      <xdr:row>60</xdr:row>
      <xdr:rowOff>183240</xdr:rowOff>
    </xdr:to>
    <xdr:graphicFrame>
      <xdr:nvGraphicFramePr>
        <xdr:cNvPr id="5" name="Chart 6"/>
        <xdr:cNvGraphicFramePr/>
      </xdr:nvGraphicFramePr>
      <xdr:xfrm>
        <a:off x="5778360" y="89247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16</xdr:col>
      <xdr:colOff>448200</xdr:colOff>
      <xdr:row>19</xdr:row>
      <xdr:rowOff>77400</xdr:rowOff>
    </xdr:to>
    <xdr:graphicFrame>
      <xdr:nvGraphicFramePr>
        <xdr:cNvPr id="6" name="Chart 1"/>
        <xdr:cNvGraphicFramePr/>
      </xdr:nvGraphicFramePr>
      <xdr:xfrm>
        <a:off x="13478040" y="733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14</xdr:col>
      <xdr:colOff>525600</xdr:colOff>
      <xdr:row>36</xdr:row>
      <xdr:rowOff>22320</xdr:rowOff>
    </xdr:to>
    <xdr:graphicFrame>
      <xdr:nvGraphicFramePr>
        <xdr:cNvPr id="7" name="Chart 2"/>
        <xdr:cNvGraphicFramePr/>
      </xdr:nvGraphicFramePr>
      <xdr:xfrm>
        <a:off x="13478040" y="42768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14</xdr:row>
      <xdr:rowOff>176040</xdr:rowOff>
    </xdr:from>
    <xdr:to>
      <xdr:col>13</xdr:col>
      <xdr:colOff>701280</xdr:colOff>
      <xdr:row>33</xdr:row>
      <xdr:rowOff>99000</xdr:rowOff>
    </xdr:to>
    <xdr:graphicFrame>
      <xdr:nvGraphicFramePr>
        <xdr:cNvPr id="8" name="Chart 1"/>
        <xdr:cNvGraphicFramePr/>
      </xdr:nvGraphicFramePr>
      <xdr:xfrm>
        <a:off x="11823840" y="30765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</xdr:row>
      <xdr:rowOff>0</xdr:rowOff>
    </xdr:from>
    <xdr:to>
      <xdr:col>20</xdr:col>
      <xdr:colOff>447840</xdr:colOff>
      <xdr:row>19</xdr:row>
      <xdr:rowOff>45000</xdr:rowOff>
    </xdr:to>
    <xdr:graphicFrame>
      <xdr:nvGraphicFramePr>
        <xdr:cNvPr id="9" name="Chart 1"/>
        <xdr:cNvGraphicFramePr/>
      </xdr:nvGraphicFramePr>
      <xdr:xfrm>
        <a:off x="16500600" y="733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6</xdr:row>
      <xdr:rowOff>176040</xdr:rowOff>
    </xdr:from>
    <xdr:to>
      <xdr:col>12</xdr:col>
      <xdr:colOff>564120</xdr:colOff>
      <xdr:row>19</xdr:row>
      <xdr:rowOff>104760</xdr:rowOff>
    </xdr:to>
    <xdr:graphicFrame>
      <xdr:nvGraphicFramePr>
        <xdr:cNvPr id="10" name="Chart 1"/>
        <xdr:cNvGraphicFramePr/>
      </xdr:nvGraphicFramePr>
      <xdr:xfrm>
        <a:off x="8807400" y="15526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3</xdr:row>
      <xdr:rowOff>0</xdr:rowOff>
    </xdr:from>
    <xdr:to>
      <xdr:col>19</xdr:col>
      <xdr:colOff>564480</xdr:colOff>
      <xdr:row>15</xdr:row>
      <xdr:rowOff>131400</xdr:rowOff>
    </xdr:to>
    <xdr:graphicFrame>
      <xdr:nvGraphicFramePr>
        <xdr:cNvPr id="11" name="Chart 1"/>
        <xdr:cNvGraphicFramePr/>
      </xdr:nvGraphicFramePr>
      <xdr:xfrm>
        <a:off x="17970480" y="73332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16</xdr:row>
      <xdr:rowOff>145440</xdr:rowOff>
    </xdr:from>
    <xdr:to>
      <xdr:col>20</xdr:col>
      <xdr:colOff>525600</xdr:colOff>
      <xdr:row>31</xdr:row>
      <xdr:rowOff>167400</xdr:rowOff>
    </xdr:to>
    <xdr:graphicFrame>
      <xdr:nvGraphicFramePr>
        <xdr:cNvPr id="12" name="Chart 2"/>
        <xdr:cNvGraphicFramePr/>
      </xdr:nvGraphicFramePr>
      <xdr:xfrm>
        <a:off x="17970480" y="3457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15</xdr:col>
      <xdr:colOff>486720</xdr:colOff>
      <xdr:row>17</xdr:row>
      <xdr:rowOff>125640</xdr:rowOff>
    </xdr:to>
    <xdr:graphicFrame>
      <xdr:nvGraphicFramePr>
        <xdr:cNvPr id="13" name="Chart 1"/>
        <xdr:cNvGraphicFramePr/>
      </xdr:nvGraphicFramePr>
      <xdr:xfrm>
        <a:off x="13382640" y="7333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17</xdr:col>
      <xdr:colOff>448200</xdr:colOff>
      <xdr:row>19</xdr:row>
      <xdr:rowOff>104400</xdr:rowOff>
    </xdr:to>
    <xdr:graphicFrame>
      <xdr:nvGraphicFramePr>
        <xdr:cNvPr id="14" name="Chart 1"/>
        <xdr:cNvGraphicFramePr/>
      </xdr:nvGraphicFramePr>
      <xdr:xfrm>
        <a:off x="12493800" y="733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16</xdr:col>
      <xdr:colOff>486720</xdr:colOff>
      <xdr:row>17</xdr:row>
      <xdr:rowOff>110160</xdr:rowOff>
    </xdr:to>
    <xdr:graphicFrame>
      <xdr:nvGraphicFramePr>
        <xdr:cNvPr id="15" name="Chart 1"/>
        <xdr:cNvGraphicFramePr/>
      </xdr:nvGraphicFramePr>
      <xdr:xfrm>
        <a:off x="13382640" y="7333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17</xdr:col>
      <xdr:colOff>525600</xdr:colOff>
      <xdr:row>15</xdr:row>
      <xdr:rowOff>131400</xdr:rowOff>
    </xdr:to>
    <xdr:graphicFrame>
      <xdr:nvGraphicFramePr>
        <xdr:cNvPr id="16" name="Chart 1"/>
        <xdr:cNvGraphicFramePr/>
      </xdr:nvGraphicFramePr>
      <xdr:xfrm>
        <a:off x="14982840" y="7333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15</xdr:row>
      <xdr:rowOff>145440</xdr:rowOff>
    </xdr:from>
    <xdr:to>
      <xdr:col>17</xdr:col>
      <xdr:colOff>525600</xdr:colOff>
      <xdr:row>28</xdr:row>
      <xdr:rowOff>188640</xdr:rowOff>
    </xdr:to>
    <xdr:graphicFrame>
      <xdr:nvGraphicFramePr>
        <xdr:cNvPr id="17" name="Chart 2"/>
        <xdr:cNvGraphicFramePr/>
      </xdr:nvGraphicFramePr>
      <xdr:xfrm>
        <a:off x="14982840" y="3267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3</xdr:row>
      <xdr:rowOff>0</xdr:rowOff>
    </xdr:from>
    <xdr:to>
      <xdr:col>21</xdr:col>
      <xdr:colOff>564120</xdr:colOff>
      <xdr:row>17</xdr:row>
      <xdr:rowOff>110160</xdr:rowOff>
    </xdr:to>
    <xdr:graphicFrame>
      <xdr:nvGraphicFramePr>
        <xdr:cNvPr id="18" name="Chart 3"/>
        <xdr:cNvGraphicFramePr/>
      </xdr:nvGraphicFramePr>
      <xdr:xfrm>
        <a:off x="18776880" y="73332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175680</xdr:rowOff>
    </xdr:from>
    <xdr:to>
      <xdr:col>8</xdr:col>
      <xdr:colOff>52200</xdr:colOff>
      <xdr:row>24</xdr:row>
      <xdr:rowOff>83520</xdr:rowOff>
    </xdr:to>
    <xdr:graphicFrame>
      <xdr:nvGraphicFramePr>
        <xdr:cNvPr id="19" name="Chart 1"/>
        <xdr:cNvGraphicFramePr/>
      </xdr:nvGraphicFramePr>
      <xdr:xfrm>
        <a:off x="7467480" y="20667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175680</xdr:rowOff>
    </xdr:from>
    <xdr:to>
      <xdr:col>8</xdr:col>
      <xdr:colOff>52200</xdr:colOff>
      <xdr:row>24</xdr:row>
      <xdr:rowOff>83520</xdr:rowOff>
    </xdr:to>
    <xdr:graphicFrame>
      <xdr:nvGraphicFramePr>
        <xdr:cNvPr id="20" name="Chart 1"/>
        <xdr:cNvGraphicFramePr/>
      </xdr:nvGraphicFramePr>
      <xdr:xfrm>
        <a:off x="7467480" y="20667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56</xdr:row>
      <xdr:rowOff>160560</xdr:rowOff>
    </xdr:from>
    <xdr:to>
      <xdr:col>8</xdr:col>
      <xdr:colOff>230040</xdr:colOff>
      <xdr:row>71</xdr:row>
      <xdr:rowOff>125640</xdr:rowOff>
    </xdr:to>
    <xdr:graphicFrame>
      <xdr:nvGraphicFramePr>
        <xdr:cNvPr id="21" name="Chart 1"/>
        <xdr:cNvGraphicFramePr/>
      </xdr:nvGraphicFramePr>
      <xdr:xfrm>
        <a:off x="7467480" y="113061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10</xdr:col>
      <xdr:colOff>165600</xdr:colOff>
      <xdr:row>17</xdr:row>
      <xdr:rowOff>95760</xdr:rowOff>
    </xdr:to>
    <xdr:graphicFrame>
      <xdr:nvGraphicFramePr>
        <xdr:cNvPr id="22" name="Chart 1"/>
        <xdr:cNvGraphicFramePr/>
      </xdr:nvGraphicFramePr>
      <xdr:xfrm>
        <a:off x="7112160" y="73332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</xdr:row>
      <xdr:rowOff>0</xdr:rowOff>
    </xdr:from>
    <xdr:to>
      <xdr:col>17</xdr:col>
      <xdr:colOff>486720</xdr:colOff>
      <xdr:row>17</xdr:row>
      <xdr:rowOff>95760</xdr:rowOff>
    </xdr:to>
    <xdr:graphicFrame>
      <xdr:nvGraphicFramePr>
        <xdr:cNvPr id="23" name="Chart 2"/>
        <xdr:cNvGraphicFramePr/>
      </xdr:nvGraphicFramePr>
      <xdr:xfrm>
        <a:off x="11665080" y="7333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63</xdr:row>
      <xdr:rowOff>130680</xdr:rowOff>
    </xdr:from>
    <xdr:to>
      <xdr:col>9</xdr:col>
      <xdr:colOff>564480</xdr:colOff>
      <xdr:row>76</xdr:row>
      <xdr:rowOff>173880</xdr:rowOff>
    </xdr:to>
    <xdr:graphicFrame>
      <xdr:nvGraphicFramePr>
        <xdr:cNvPr id="24" name="Chart 3"/>
        <xdr:cNvGraphicFramePr/>
      </xdr:nvGraphicFramePr>
      <xdr:xfrm>
        <a:off x="7112160" y="1263960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63</xdr:row>
      <xdr:rowOff>130680</xdr:rowOff>
    </xdr:from>
    <xdr:to>
      <xdr:col>14</xdr:col>
      <xdr:colOff>486720</xdr:colOff>
      <xdr:row>78</xdr:row>
      <xdr:rowOff>153000</xdr:rowOff>
    </xdr:to>
    <xdr:graphicFrame>
      <xdr:nvGraphicFramePr>
        <xdr:cNvPr id="25" name="Chart 4"/>
        <xdr:cNvGraphicFramePr/>
      </xdr:nvGraphicFramePr>
      <xdr:xfrm>
        <a:off x="9388440" y="126396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Wedding-Planner-All-In-One.xlsx" TargetMode="External"/><Relationship Id="rId2" Type="http://schemas.openxmlformats.org/officeDocument/2006/relationships/hyperlink" Target="Wedding-Planner-All-In-One.xlsx" TargetMode="External"/><Relationship Id="rId3" Type="http://schemas.openxmlformats.org/officeDocument/2006/relationships/hyperlink" Target="Wedding-Planner-All-In-One.xlsx" TargetMode="External"/><Relationship Id="rId4" Type="http://schemas.openxmlformats.org/officeDocument/2006/relationships/hyperlink" Target="Wedding-Planner-All-In-One.xlsx" TargetMode="External"/><Relationship Id="rId5" Type="http://schemas.openxmlformats.org/officeDocument/2006/relationships/hyperlink" Target="Wedding-Planner-All-In-One.xlsx" TargetMode="External"/><Relationship Id="rId6" Type="http://schemas.openxmlformats.org/officeDocument/2006/relationships/hyperlink" Target="Wedding-Planner-All-In-One.xlsx" TargetMode="External"/><Relationship Id="rId7" Type="http://schemas.openxmlformats.org/officeDocument/2006/relationships/hyperlink" Target="Wedding-Planner-All-In-One.xlsx" TargetMode="External"/><Relationship Id="rId8" Type="http://schemas.openxmlformats.org/officeDocument/2006/relationships/hyperlink" Target="Wedding-Planner-All-In-One.xlsx" TargetMode="External"/><Relationship Id="rId9" Type="http://schemas.openxmlformats.org/officeDocument/2006/relationships/hyperlink" Target="Wedding-Planner-All-In-One.xlsx" TargetMode="External"/><Relationship Id="rId10" Type="http://schemas.openxmlformats.org/officeDocument/2006/relationships/hyperlink" Target="Wedding-Planner-All-In-One.xlsx" TargetMode="External"/><Relationship Id="rId11" Type="http://schemas.openxmlformats.org/officeDocument/2006/relationships/hyperlink" Target="Wedding-Planner-All-In-One.xlsx" TargetMode="External"/><Relationship Id="rId12" Type="http://schemas.openxmlformats.org/officeDocument/2006/relationships/hyperlink" Target="Wedding-Planner-All-In-One.xlsx" TargetMode="External"/><Relationship Id="rId13" Type="http://schemas.openxmlformats.org/officeDocument/2006/relationships/hyperlink" Target="Wedding-Planner-All-In-One.xlsx" TargetMode="External"/><Relationship Id="rId14" Type="http://schemas.openxmlformats.org/officeDocument/2006/relationships/hyperlink" Target="Wedding-Planner-All-In-One.xlsx" TargetMode="External"/><Relationship Id="rId15" Type="http://schemas.openxmlformats.org/officeDocument/2006/relationships/hyperlink" Target="Wedding-Planner-All-In-One.xlsx" TargetMode="External"/><Relationship Id="rId16" Type="http://schemas.openxmlformats.org/officeDocument/2006/relationships/hyperlink" Target="Wedding-Planner-All-In-One.xlsx" TargetMode="External"/><Relationship Id="rId17" Type="http://schemas.openxmlformats.org/officeDocument/2006/relationships/hyperlink" Target="Wedding-Planner-All-In-One.xlsx" TargetMode="External"/><Relationship Id="rId18" Type="http://schemas.openxmlformats.org/officeDocument/2006/relationships/hyperlink" Target="Wedding-Planner-All-In-One.xlsx" TargetMode="External"/><Relationship Id="rId19" Type="http://schemas.openxmlformats.org/officeDocument/2006/relationships/hyperlink" Target="Wedding-Planner-All-In-One.xlsx" TargetMode="External"/><Relationship Id="rId20" Type="http://schemas.openxmlformats.org/officeDocument/2006/relationships/hyperlink" Target="Wedding-Planner-All-In-One.xlsx" TargetMode="External"/><Relationship Id="rId21" Type="http://schemas.openxmlformats.org/officeDocument/2006/relationships/hyperlink" Target="Wedding-Planner-All-In-One.xlsx" TargetMode="External"/><Relationship Id="rId22" Type="http://schemas.openxmlformats.org/officeDocument/2006/relationships/hyperlink" Target="Wedding-Planner-All-In-One.xlsx" TargetMode="External"/><Relationship Id="rId23" Type="http://schemas.openxmlformats.org/officeDocument/2006/relationships/hyperlink" Target="Wedding-Planner-All-In-One.xlsx" TargetMode="External"/><Relationship Id="rId24" Type="http://schemas.openxmlformats.org/officeDocument/2006/relationships/hyperlink" Target="Wedding-Planner-All-In-One.xlsx" TargetMode="External"/><Relationship Id="rId25" Type="http://schemas.openxmlformats.org/officeDocument/2006/relationships/hyperlink" Target="Wedding-Planner-All-In-One.xlsx" TargetMode="External"/><Relationship Id="rId26" Type="http://schemas.openxmlformats.org/officeDocument/2006/relationships/hyperlink" Target="Wedding-Planner-All-In-One.xlsx" TargetMode="External"/><Relationship Id="rId27" Type="http://schemas.openxmlformats.org/officeDocument/2006/relationships/hyperlink" Target="Wedding-Planner-All-In-One.xlsx" TargetMode="External"/><Relationship Id="rId28" Type="http://schemas.openxmlformats.org/officeDocument/2006/relationships/hyperlink" Target="Wedding-Planner-All-In-One.xlsx" TargetMode="External"/><Relationship Id="rId29" Type="http://schemas.openxmlformats.org/officeDocument/2006/relationships/hyperlink" Target="Wedding-Planner-All-In-One.xlsx" TargetMode="External"/><Relationship Id="rId30" Type="http://schemas.openxmlformats.org/officeDocument/2006/relationships/hyperlink" Target="Wedding-Planner-All-In-One.xlsx" TargetMode="External"/><Relationship Id="rId31" Type="http://schemas.openxmlformats.org/officeDocument/2006/relationships/hyperlink" Target="Wedding-Planner-All-In-One.xlsx" TargetMode="External"/><Relationship Id="rId32" Type="http://schemas.openxmlformats.org/officeDocument/2006/relationships/hyperlink" Target="Wedding-Planner-All-In-On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Wedding-Planner-All-In-One.xlsx" TargetMode="External"/><Relationship Id="rId2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3F0"/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8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21.75" hidden="false" customHeight="true" outlineLevel="0" collapsed="false">
      <c r="A4" s="3" t="s">
        <v>5</v>
      </c>
      <c r="B4" s="3" t="s">
        <v>6</v>
      </c>
      <c r="C4" s="4" t="n">
        <v>46552</v>
      </c>
      <c r="D4" s="3" t="s">
        <v>7</v>
      </c>
    </row>
    <row r="6" customFormat="false" ht="15" hidden="false" customHeight="false" outlineLevel="0" collapsed="false">
      <c r="A6" s="5" t="s">
        <v>8</v>
      </c>
      <c r="B6" s="5"/>
      <c r="C6" s="5"/>
      <c r="E6" s="6" t="s">
        <v>9</v>
      </c>
      <c r="F6" s="6"/>
      <c r="G6" s="6"/>
      <c r="H6" s="6"/>
    </row>
    <row r="7" customFormat="false" ht="15" hidden="false" customHeight="true" outlineLevel="0" collapsed="false">
      <c r="A7" s="7" t="s">
        <v>10</v>
      </c>
      <c r="B7" s="7"/>
      <c r="C7" s="7"/>
      <c r="E7" s="8" t="s">
        <v>11</v>
      </c>
      <c r="F7" s="8"/>
      <c r="G7" s="8"/>
      <c r="H7" s="8"/>
    </row>
    <row r="8" customFormat="false" ht="15" hidden="false" customHeight="true" outlineLevel="0" collapsed="false">
      <c r="A8" s="7"/>
      <c r="B8" s="7"/>
      <c r="C8" s="7"/>
      <c r="E8" s="8" t="s">
        <v>12</v>
      </c>
      <c r="F8" s="8"/>
      <c r="G8" s="8"/>
      <c r="H8" s="8"/>
    </row>
    <row r="9" customFormat="false" ht="15" hidden="false" customHeight="true" outlineLevel="0" collapsed="false">
      <c r="A9" s="7"/>
      <c r="B9" s="7"/>
      <c r="C9" s="7"/>
      <c r="E9" s="8" t="s">
        <v>13</v>
      </c>
      <c r="F9" s="8"/>
      <c r="G9" s="8"/>
      <c r="H9" s="8"/>
    </row>
    <row r="10" customFormat="false" ht="23.85" hidden="false" customHeight="true" outlineLevel="0" collapsed="false">
      <c r="A10" s="7"/>
      <c r="B10" s="7"/>
      <c r="C10" s="7"/>
      <c r="E10" s="8" t="s">
        <v>14</v>
      </c>
      <c r="F10" s="8"/>
      <c r="G10" s="8"/>
      <c r="H10" s="8"/>
    </row>
    <row r="11" customFormat="false" ht="15" hidden="false" customHeight="true" outlineLevel="0" collapsed="false">
      <c r="A11" s="7"/>
      <c r="B11" s="7"/>
      <c r="C11" s="7"/>
      <c r="E11" s="8" t="s">
        <v>15</v>
      </c>
      <c r="F11" s="8"/>
      <c r="G11" s="8"/>
      <c r="H11" s="8"/>
    </row>
    <row r="12" customFormat="false" ht="15" hidden="false" customHeight="true" outlineLevel="0" collapsed="false">
      <c r="A12" s="7"/>
      <c r="B12" s="7"/>
      <c r="C12" s="7"/>
      <c r="E12" s="8" t="s">
        <v>16</v>
      </c>
      <c r="F12" s="8"/>
      <c r="G12" s="8"/>
      <c r="H12" s="8"/>
    </row>
    <row r="13" customFormat="false" ht="23.85" hidden="false" customHeight="true" outlineLevel="0" collapsed="false">
      <c r="A13" s="7"/>
      <c r="B13" s="7"/>
      <c r="C13" s="7"/>
      <c r="E13" s="8" t="s">
        <v>17</v>
      </c>
      <c r="F13" s="8"/>
      <c r="G13" s="8"/>
      <c r="H13" s="8"/>
    </row>
    <row r="14" customFormat="false" ht="15" hidden="false" customHeight="true" outlineLevel="0" collapsed="false">
      <c r="E14" s="8" t="s">
        <v>18</v>
      </c>
      <c r="F14" s="8"/>
      <c r="G14" s="8"/>
      <c r="H14" s="8"/>
    </row>
    <row r="17" customFormat="false" ht="17.35" hidden="false" customHeight="false" outlineLevel="0" collapsed="false">
      <c r="A17" s="9" t="s">
        <v>19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10" t="s">
        <v>20</v>
      </c>
      <c r="C18" s="10" t="s">
        <v>21</v>
      </c>
    </row>
    <row r="19" customFormat="false" ht="15" hidden="false" customHeight="false" outlineLevel="0" collapsed="false">
      <c r="A19" s="10" t="s">
        <v>22</v>
      </c>
      <c r="C19" s="10" t="s">
        <v>23</v>
      </c>
    </row>
    <row r="20" customFormat="false" ht="15" hidden="false" customHeight="false" outlineLevel="0" collapsed="false">
      <c r="A20" s="10" t="s">
        <v>24</v>
      </c>
      <c r="C20" s="10" t="s">
        <v>25</v>
      </c>
    </row>
    <row r="21" customFormat="false" ht="15" hidden="false" customHeight="false" outlineLevel="0" collapsed="false">
      <c r="A21" s="10" t="s">
        <v>26</v>
      </c>
      <c r="C21" s="10" t="s">
        <v>27</v>
      </c>
    </row>
    <row r="22" customFormat="false" ht="15" hidden="false" customHeight="false" outlineLevel="0" collapsed="false">
      <c r="A22" s="10" t="s">
        <v>28</v>
      </c>
      <c r="C22" s="10" t="s">
        <v>29</v>
      </c>
    </row>
    <row r="23" customFormat="false" ht="15" hidden="false" customHeight="false" outlineLevel="0" collapsed="false">
      <c r="A23" s="10" t="s">
        <v>30</v>
      </c>
      <c r="C23" s="10" t="s">
        <v>31</v>
      </c>
    </row>
    <row r="24" customFormat="false" ht="15" hidden="false" customHeight="false" outlineLevel="0" collapsed="false">
      <c r="A24" s="10" t="s">
        <v>32</v>
      </c>
      <c r="C24" s="10" t="s">
        <v>33</v>
      </c>
    </row>
    <row r="25" customFormat="false" ht="15" hidden="false" customHeight="false" outlineLevel="0" collapsed="false">
      <c r="A25" s="10" t="s">
        <v>34</v>
      </c>
      <c r="C25" s="10" t="s">
        <v>35</v>
      </c>
    </row>
    <row r="26" customFormat="false" ht="15" hidden="false" customHeight="false" outlineLevel="0" collapsed="false">
      <c r="A26" s="10" t="s">
        <v>36</v>
      </c>
      <c r="C26" s="10" t="s">
        <v>37</v>
      </c>
    </row>
    <row r="27" customFormat="false" ht="15" hidden="false" customHeight="false" outlineLevel="0" collapsed="false">
      <c r="A27" s="10" t="s">
        <v>38</v>
      </c>
      <c r="C27" s="10" t="s">
        <v>39</v>
      </c>
    </row>
    <row r="28" customFormat="false" ht="15" hidden="false" customHeight="false" outlineLevel="0" collapsed="false">
      <c r="A28" s="10" t="s">
        <v>40</v>
      </c>
      <c r="C28" s="10" t="s">
        <v>41</v>
      </c>
    </row>
    <row r="29" customFormat="false" ht="15" hidden="false" customHeight="false" outlineLevel="0" collapsed="false">
      <c r="A29" s="10" t="s">
        <v>42</v>
      </c>
      <c r="C29" s="10" t="s">
        <v>43</v>
      </c>
    </row>
    <row r="30" customFormat="false" ht="15" hidden="false" customHeight="false" outlineLevel="0" collapsed="false">
      <c r="A30" s="10" t="s">
        <v>44</v>
      </c>
      <c r="C30" s="10" t="s">
        <v>45</v>
      </c>
    </row>
    <row r="31" customFormat="false" ht="15" hidden="false" customHeight="false" outlineLevel="0" collapsed="false">
      <c r="A31" s="10" t="s">
        <v>46</v>
      </c>
      <c r="C31" s="10" t="s">
        <v>47</v>
      </c>
    </row>
    <row r="32" customFormat="false" ht="15" hidden="false" customHeight="false" outlineLevel="0" collapsed="false">
      <c r="A32" s="10" t="s">
        <v>48</v>
      </c>
      <c r="C32" s="10" t="s">
        <v>49</v>
      </c>
    </row>
    <row r="33" customFormat="false" ht="15" hidden="false" customHeight="false" outlineLevel="0" collapsed="false">
      <c r="A33" s="10" t="s">
        <v>50</v>
      </c>
    </row>
    <row r="34" customFormat="false" ht="15" hidden="false" customHeight="false" outlineLevel="0" collapsed="false">
      <c r="A34" s="10" t="s">
        <v>51</v>
      </c>
    </row>
  </sheetData>
  <mergeCells count="13">
    <mergeCell ref="A1:H1"/>
    <mergeCell ref="A6:C6"/>
    <mergeCell ref="E6:H6"/>
    <mergeCell ref="A7:C13"/>
    <mergeCell ref="E7:H7"/>
    <mergeCell ref="E8:H8"/>
    <mergeCell ref="E9:H9"/>
    <mergeCell ref="E10:H10"/>
    <mergeCell ref="E11:H11"/>
    <mergeCell ref="E12:H12"/>
    <mergeCell ref="E13:H13"/>
    <mergeCell ref="E14:H14"/>
    <mergeCell ref="A17:H17"/>
  </mergeCells>
  <hyperlinks>
    <hyperlink ref="A18" r:id="rId1" location="'Dashboard'!A1" display="1. Dashboard"/>
    <hyperlink ref="C18" r:id="rId2" location="'Aisle%20Order'!A1" display="18. Aisle Order"/>
    <hyperlink ref="A19" r:id="rId3" location="'Smart%20Calendar'!A1" display="2. Smart Calendar"/>
    <hyperlink ref="C19" r:id="rId4" location="'Wedding%20Party%20Gifts'!A1" display="19. Wedding Party Gifts"/>
    <hyperlink ref="A20" r:id="rId5" location="'Wedding%20Checklist'!A1" display="3. Wedding Checklist"/>
    <hyperlink ref="C20" r:id="rId6" location="'Moodboard'!A1" display="20. Moodboard"/>
    <hyperlink ref="A21" r:id="rId7" location="'Wedding%20Itinerary'!A1" display="4. Wedding Itinerary"/>
    <hyperlink ref="C21" r:id="rId8" location="'Decor%20Inventory'!A1" display="21. Decor Inventory"/>
    <hyperlink ref="A22" r:id="rId9" location="'Wedding%20Activities'!A1" display="5. Wedding Activities"/>
    <hyperlink ref="C22" r:id="rId10" location="'Flower%20Arrangements'!A1" display="22. Flower Arrangements"/>
    <hyperlink ref="A23" r:id="rId11" location="'Music%20Planner'!A1" display="6. Music Planner"/>
    <hyperlink ref="C23" r:id="rId12" location="'Attire%20and%20Makeup'!A1" display="23. Attire and Makeup"/>
    <hyperlink ref="A24" r:id="rId13" location="'Packing%20List'!A1" display="7. Packing List"/>
    <hyperlink ref="C24" r:id="rId14" location="'Accommodation'!A1" display="24. Accommodation"/>
    <hyperlink ref="A25" r:id="rId15" location="'Wedding%20Budget'!A1" display="8. Wedding Budget"/>
    <hyperlink ref="C25" r:id="rId16" location="'Transportation'!A1" display="25. Transportation"/>
    <hyperlink ref="A26" r:id="rId17" location="'Vendor%20Selection'!A1" display="9. Vendor Selection"/>
    <hyperlink ref="C26" r:id="rId18" location="'Stationery%20Checklist'!A1" display="26. Stationery Checklist"/>
    <hyperlink ref="A27" r:id="rId19" location="'Venue%20Comparison'!A1" display="10. Venue Comparison"/>
    <hyperlink ref="C27" r:id="rId20" location="'Save%20the%20Date'!A1" display="27. Save the Date"/>
    <hyperlink ref="A28" r:id="rId21" location="'Food%20and%20Drinks'!A1" display="11. Food and Drinks"/>
    <hyperlink ref="C28" r:id="rId22" location="'Engagement%20Party'!A1" display="28. Engagement Party"/>
    <hyperlink ref="A29" r:id="rId23" location="'Photo%20and%20Video%20Shot%20List'!A1" display="12. Photo and Video Shot List"/>
    <hyperlink ref="C29" r:id="rId24" location="'Bridal%20Shower'!A1" display="29. Bridal Shower"/>
    <hyperlink ref="A30" r:id="rId25" location="'Guest%20List'!A1" display="13. Guest List"/>
    <hyperlink ref="C30" r:id="rId26" location="'Bachelor(ette)%20Planner'!A1" display="30. Bachelor(ette) Planner"/>
    <hyperlink ref="A31" r:id="rId27" location="'Reception%20Seating%20Plan'!A1" display="14. Reception Seating Plan"/>
    <hyperlink ref="C31" r:id="rId28" location="'Honeymoon%20Planner'!A1" display="31. Honeymoon Planner"/>
    <hyperlink ref="A32" r:id="rId29" location="'Rehearsal%20Dinner%20Seating'!A1" display="15. Rehearsal Dinner Seating"/>
    <hyperlink ref="C32" r:id="rId30" location="'Gifts%20and%20Thank%20You'!A1" display="32. Gifts and Thank You"/>
    <hyperlink ref="A33" r:id="rId31" location="'Wedding%20Registry'!A1" display="16. Wedding Registry"/>
    <hyperlink ref="A34" r:id="rId32" location="'Wedding%20Party'!A1" display="17. Wedding Part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3F0"/>
    <pageSetUpPr fitToPage="false"/>
  </sheetPr>
  <dimension ref="A1:Q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4" min="1" style="0" width="13"/>
  </cols>
  <sheetData>
    <row r="1" customFormat="false" ht="27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11" t="str">
        <f aca="false">'Get Started'!$A$4&amp;" &amp; "&amp;'Get Started'!$B$4</f>
        <v>Taylor &amp; Jordan</v>
      </c>
      <c r="B3" s="11"/>
      <c r="C3" s="11"/>
      <c r="D3" s="12" t="s">
        <v>53</v>
      </c>
      <c r="E3" s="12"/>
      <c r="F3" s="12"/>
      <c r="G3" s="13" t="s">
        <v>54</v>
      </c>
      <c r="H3" s="13"/>
      <c r="I3" s="7" t="s">
        <v>55</v>
      </c>
      <c r="J3" s="7"/>
      <c r="K3" s="7"/>
    </row>
    <row r="4" customFormat="false" ht="15" hidden="false" customHeight="false" outlineLevel="0" collapsed="false">
      <c r="A4" s="11"/>
      <c r="B4" s="11"/>
      <c r="C4" s="11"/>
      <c r="D4" s="14" t="n">
        <f aca="true">DATEDIF(TODAY(),'Get Started'!$C$4,"d")</f>
        <v>300</v>
      </c>
      <c r="E4" s="14"/>
      <c r="F4" s="14"/>
      <c r="G4" s="15" t="n">
        <f aca="false">'Get Started'!$C$4</f>
        <v>46552</v>
      </c>
      <c r="H4" s="15"/>
      <c r="I4" s="7"/>
      <c r="J4" s="7"/>
      <c r="K4" s="7"/>
      <c r="P4" s="16" t="s">
        <v>56</v>
      </c>
      <c r="Q4" s="17" t="s">
        <v>57</v>
      </c>
    </row>
    <row r="5" customFormat="false" ht="15" hidden="false" customHeight="false" outlineLevel="0" collapsed="false">
      <c r="A5" s="11"/>
      <c r="B5" s="11"/>
      <c r="C5" s="11"/>
      <c r="D5" s="14"/>
      <c r="E5" s="14"/>
      <c r="F5" s="14"/>
      <c r="G5" s="15"/>
      <c r="H5" s="15"/>
      <c r="I5" s="7"/>
      <c r="J5" s="7"/>
      <c r="K5" s="7"/>
      <c r="P5" s="17" t="s">
        <v>58</v>
      </c>
      <c r="Q5" s="17" t="n">
        <f aca="false">COUNTIFS('Wedding Checklist'!A5:A855,TRUE())</f>
        <v>0</v>
      </c>
    </row>
    <row r="6" customFormat="false" ht="15" hidden="false" customHeight="false" outlineLevel="0" collapsed="false">
      <c r="A6" s="11"/>
      <c r="B6" s="11"/>
      <c r="C6" s="11"/>
      <c r="D6" s="14"/>
      <c r="E6" s="14"/>
      <c r="F6" s="14"/>
      <c r="G6" s="15"/>
      <c r="H6" s="15"/>
      <c r="I6" s="7"/>
      <c r="J6" s="7"/>
      <c r="K6" s="7"/>
      <c r="P6" s="17" t="s">
        <v>59</v>
      </c>
      <c r="Q6" s="17" t="n">
        <f aca="false">COUNTIFS('Wedding Checklist'!A5:A855,FALSE())</f>
        <v>851</v>
      </c>
    </row>
    <row r="8" customFormat="false" ht="15" hidden="false" customHeight="false" outlineLevel="0" collapsed="false">
      <c r="A8" s="18" t="s">
        <v>60</v>
      </c>
      <c r="B8" s="18"/>
      <c r="C8" s="19" t="s">
        <v>61</v>
      </c>
      <c r="D8" s="19"/>
      <c r="E8" s="20" t="s">
        <v>62</v>
      </c>
      <c r="F8" s="20"/>
      <c r="G8" s="21" t="s">
        <v>63</v>
      </c>
      <c r="H8" s="21"/>
      <c r="P8" s="22" t="s">
        <v>64</v>
      </c>
      <c r="Q8" s="17" t="n">
        <f aca="false">COUNTIFS('Guest List'!B7:B206,"Bride")</f>
        <v>2</v>
      </c>
    </row>
    <row r="9" customFormat="false" ht="16.15" hidden="false" customHeight="false" outlineLevel="0" collapsed="false">
      <c r="A9" s="23" t="n">
        <f aca="false">'Wedding Budget'!A4</f>
        <v>21000</v>
      </c>
      <c r="B9" s="23"/>
      <c r="C9" s="23" t="n">
        <f aca="false">'Wedding Budget'!E4</f>
        <v>17900</v>
      </c>
      <c r="D9" s="23"/>
      <c r="E9" s="23" t="n">
        <f aca="false">'Wedding Budget'!G4</f>
        <v>3100</v>
      </c>
      <c r="F9" s="23"/>
      <c r="G9" s="23" t="n">
        <f aca="false">'Wedding Budget'!I4</f>
        <v>1600</v>
      </c>
      <c r="H9" s="23"/>
      <c r="P9" s="17" t="s">
        <v>65</v>
      </c>
      <c r="Q9" s="17" t="n">
        <f aca="false">COUNTIFS('Guest List'!B7:B206,"Groom")</f>
        <v>2</v>
      </c>
    </row>
    <row r="10" customFormat="false" ht="15" hidden="false" customHeight="false" outlineLevel="0" collapsed="false">
      <c r="P10" s="0" t="s">
        <v>66</v>
      </c>
      <c r="Q10" s="0" t="n">
        <f aca="false">COUNTIFS('Guest List'!B7:B206,"Both")</f>
        <v>2</v>
      </c>
    </row>
    <row r="11" customFormat="false" ht="15" hidden="false" customHeight="false" outlineLevel="0" collapsed="false">
      <c r="A11" s="24" t="s">
        <v>67</v>
      </c>
      <c r="B11" s="24"/>
      <c r="C11" s="25" t="s">
        <v>68</v>
      </c>
      <c r="D11" s="25"/>
      <c r="E11" s="20" t="s">
        <v>69</v>
      </c>
      <c r="F11" s="20"/>
      <c r="G11" s="19" t="s">
        <v>70</v>
      </c>
      <c r="H11" s="19"/>
    </row>
    <row r="12" customFormat="false" ht="16.15" hidden="false" customHeight="false" outlineLevel="0" collapsed="false">
      <c r="A12" s="26" t="n">
        <f aca="false">'Guest List'!G4</f>
        <v>2</v>
      </c>
      <c r="B12" s="26"/>
      <c r="C12" s="26" t="n">
        <f aca="false">'Reception Seating Plan'!E4</f>
        <v>0</v>
      </c>
      <c r="D12" s="26"/>
      <c r="E12" s="26" t="n">
        <f aca="false">'Reception Seating Plan'!G4</f>
        <v>2</v>
      </c>
      <c r="F12" s="26"/>
      <c r="G12" s="26" t="n">
        <f aca="false">'Reception Seating Plan'!I4</f>
        <v>80</v>
      </c>
      <c r="H12" s="26"/>
      <c r="P12" s="22" t="s">
        <v>71</v>
      </c>
      <c r="Q12" s="17" t="n">
        <f aca="false">'Guest List'!C4</f>
        <v>6</v>
      </c>
    </row>
    <row r="13" customFormat="false" ht="15" hidden="false" customHeight="false" outlineLevel="0" collapsed="false">
      <c r="P13" s="0" t="s">
        <v>72</v>
      </c>
      <c r="Q13" s="0" t="n">
        <f aca="false">'Guest List'!A4-'Guest List'!C4</f>
        <v>0</v>
      </c>
    </row>
    <row r="14" customFormat="false" ht="15" hidden="false" customHeight="false" outlineLevel="0" collapsed="false">
      <c r="A14" s="27" t="s">
        <v>73</v>
      </c>
      <c r="B14" s="27"/>
      <c r="C14" s="27"/>
      <c r="D14" s="27"/>
    </row>
    <row r="15" customFormat="false" ht="15" hidden="false" customHeight="false" outlineLevel="0" collapsed="false">
      <c r="P15" s="0" t="s">
        <v>74</v>
      </c>
      <c r="Q15" s="0" t="n">
        <f aca="false">'Guest List'!E4</f>
        <v>6</v>
      </c>
    </row>
    <row r="16" customFormat="false" ht="15" hidden="false" customHeight="false" outlineLevel="0" collapsed="false">
      <c r="P16" s="0" t="s">
        <v>75</v>
      </c>
      <c r="Q16" s="0" t="n">
        <f aca="false">'Guest List'!A4-'Guest List'!E4</f>
        <v>0</v>
      </c>
    </row>
    <row r="18" customFormat="false" ht="15" hidden="false" customHeight="false" outlineLevel="0" collapsed="false">
      <c r="P18" s="16" t="s">
        <v>76</v>
      </c>
      <c r="Q18" s="17" t="s">
        <v>77</v>
      </c>
    </row>
    <row r="19" customFormat="false" ht="15" hidden="false" customHeight="false" outlineLevel="0" collapsed="false">
      <c r="P19" s="0" t="s">
        <v>78</v>
      </c>
      <c r="Q19" s="0" t="n">
        <f aca="false">COUNTIFS('Wedding Party'!G$9:G$60,P19)</f>
        <v>20</v>
      </c>
    </row>
    <row r="20" customFormat="false" ht="15" hidden="false" customHeight="false" outlineLevel="0" collapsed="false">
      <c r="P20" s="0" t="s">
        <v>79</v>
      </c>
      <c r="Q20" s="0" t="n">
        <f aca="false">COUNTIFS('Wedding Party'!G$9:G$60,P20)</f>
        <v>0</v>
      </c>
    </row>
    <row r="21" customFormat="false" ht="15" hidden="false" customHeight="false" outlineLevel="0" collapsed="false">
      <c r="P21" s="0" t="s">
        <v>80</v>
      </c>
      <c r="Q21" s="0" t="n">
        <f aca="false">COUNTIFS('Wedding Party'!G$9:G$60,P21)</f>
        <v>0</v>
      </c>
    </row>
    <row r="22" customFormat="false" ht="15" hidden="false" customHeight="false" outlineLevel="0" collapsed="false">
      <c r="P22" s="0" t="s">
        <v>81</v>
      </c>
      <c r="Q22" s="0" t="n">
        <f aca="false">COUNTIFS('Wedding Party'!G$9:G$60,P22)</f>
        <v>0</v>
      </c>
    </row>
    <row r="23" customFormat="false" ht="15" hidden="false" customHeight="false" outlineLevel="0" collapsed="false">
      <c r="P23" s="0" t="s">
        <v>82</v>
      </c>
      <c r="Q23" s="0" t="n">
        <f aca="false">COUNTIFS('Wedding Party'!G$9:G$60,P23)</f>
        <v>0</v>
      </c>
    </row>
    <row r="24" customFormat="false" ht="15" hidden="false" customHeight="false" outlineLevel="0" collapsed="false">
      <c r="P24" s="0" t="s">
        <v>83</v>
      </c>
      <c r="Q24" s="0" t="n">
        <f aca="false">COUNTIFS('Wedding Party'!G$9:G$60,P24)</f>
        <v>0</v>
      </c>
    </row>
    <row r="64" customFormat="false" ht="15" hidden="false" customHeight="false" outlineLevel="0" collapsed="false">
      <c r="A64" s="28" t="s">
        <v>84</v>
      </c>
      <c r="B64" s="28"/>
      <c r="C64" s="28"/>
      <c r="D64" s="28"/>
      <c r="F64" s="6" t="s">
        <v>85</v>
      </c>
      <c r="G64" s="6"/>
      <c r="H64" s="6"/>
      <c r="I64" s="6"/>
    </row>
    <row r="65" customFormat="false" ht="16.15" hidden="false" customHeight="false" outlineLevel="0" collapsed="false">
      <c r="A65" s="29" t="s">
        <v>86</v>
      </c>
      <c r="C65" s="30" t="n">
        <f aca="true">COUNTIFS('Wedding Checklist'!C5:C855,TODAY(),'Wedding Checklist'!A5:A855,FALSE())</f>
        <v>0</v>
      </c>
      <c r="F65" s="29" t="s">
        <v>87</v>
      </c>
      <c r="I65" s="31" t="n">
        <f aca="false">'Vendor Selection'!A4</f>
        <v>0.6</v>
      </c>
    </row>
    <row r="66" customFormat="false" ht="16.15" hidden="false" customHeight="false" outlineLevel="0" collapsed="false">
      <c r="A66" s="29" t="s">
        <v>88</v>
      </c>
      <c r="C66" s="30" t="n">
        <f aca="true">COUNTIFS('Wedding Budget'!C36:C75,TODAY())</f>
        <v>0</v>
      </c>
      <c r="F66" s="29" t="s">
        <v>89</v>
      </c>
      <c r="I66" s="31" t="n">
        <f aca="false">IFERROR(COUNTIF('Wedding Party'!A8:A60,TRUE())/COUNTA('Wedding Party'!B8:B60),0)</f>
        <v>0.666666666666667</v>
      </c>
    </row>
    <row r="67" customFormat="false" ht="15" hidden="false" customHeight="false" outlineLevel="0" collapsed="false">
      <c r="F67" s="29" t="s">
        <v>90</v>
      </c>
      <c r="I67" s="31" t="n">
        <f aca="false">IFERROR(COUNTIF('Gifts and Thank You'!D8:D400,TRUE())/COUNTA('Gifts and Thank You'!A8:A400),0)</f>
        <v>0</v>
      </c>
    </row>
  </sheetData>
  <mergeCells count="26">
    <mergeCell ref="A1:N1"/>
    <mergeCell ref="A3:C6"/>
    <mergeCell ref="D3:F3"/>
    <mergeCell ref="G3:H3"/>
    <mergeCell ref="I3:K6"/>
    <mergeCell ref="D4:F6"/>
    <mergeCell ref="G4:H6"/>
    <mergeCell ref="A8:B8"/>
    <mergeCell ref="C8:D8"/>
    <mergeCell ref="E8:F8"/>
    <mergeCell ref="G8:H8"/>
    <mergeCell ref="A9:B9"/>
    <mergeCell ref="C9:D9"/>
    <mergeCell ref="E9:F9"/>
    <mergeCell ref="G9:H9"/>
    <mergeCell ref="A11:B11"/>
    <mergeCell ref="C11:D11"/>
    <mergeCell ref="E11:F11"/>
    <mergeCell ref="G11:H11"/>
    <mergeCell ref="A12:B12"/>
    <mergeCell ref="C12:D12"/>
    <mergeCell ref="E12:F12"/>
    <mergeCell ref="G12:H12"/>
    <mergeCell ref="A14:D14"/>
    <mergeCell ref="A64:D64"/>
    <mergeCell ref="F64:I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E6F0"/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15"/>
  </cols>
  <sheetData>
    <row r="1" customFormat="false" ht="27.75" hidden="false" customHeight="true" outlineLevel="0" collapsed="false">
      <c r="A1" s="32" t="s">
        <v>91</v>
      </c>
      <c r="B1" s="32"/>
      <c r="C1" s="32"/>
      <c r="D1" s="32"/>
      <c r="E1" s="32"/>
      <c r="F1" s="32"/>
      <c r="G1" s="32"/>
    </row>
    <row r="3" customFormat="false" ht="15" hidden="false" customHeight="false" outlineLevel="0" collapsed="false">
      <c r="A3" s="33" t="s">
        <v>92</v>
      </c>
      <c r="B3" s="34" t="s">
        <v>93</v>
      </c>
      <c r="C3" s="33" t="s">
        <v>94</v>
      </c>
      <c r="D3" s="34" t="n">
        <v>2026</v>
      </c>
    </row>
    <row r="4" customFormat="false" ht="15" hidden="false" customHeight="false" outlineLevel="0" collapsed="false">
      <c r="B4" s="35" t="s">
        <v>95</v>
      </c>
      <c r="C4" s="35" t="s">
        <v>56</v>
      </c>
      <c r="D4" s="35" t="s">
        <v>96</v>
      </c>
      <c r="E4" s="35" t="s">
        <v>97</v>
      </c>
      <c r="F4" s="35" t="s">
        <v>98</v>
      </c>
    </row>
    <row r="5" customFormat="false" ht="15" hidden="false" customHeight="false" outlineLevel="0" collapsed="false">
      <c r="A5" s="36" t="s">
        <v>99</v>
      </c>
      <c r="B5" s="37" t="n">
        <f aca="false">TRUE()</f>
        <v>1</v>
      </c>
      <c r="C5" s="37" t="n">
        <f aca="false">TRUE()</f>
        <v>1</v>
      </c>
      <c r="D5" s="37" t="n">
        <f aca="false">TRUE()</f>
        <v>1</v>
      </c>
      <c r="E5" s="37" t="n">
        <f aca="false">TRUE()</f>
        <v>1</v>
      </c>
      <c r="F5" s="37" t="n">
        <f aca="false">TRUE()</f>
        <v>1</v>
      </c>
    </row>
    <row r="7" customFormat="false" ht="15" hidden="false" customHeight="false" outlineLevel="0" collapsed="false">
      <c r="A7" s="36" t="s">
        <v>100</v>
      </c>
      <c r="B7" s="38" t="s">
        <v>101</v>
      </c>
      <c r="C7" s="39" t="s">
        <v>102</v>
      </c>
      <c r="D7" s="40" t="s">
        <v>103</v>
      </c>
    </row>
    <row r="9" customFormat="false" ht="15" hidden="false" customHeight="false" outlineLevel="0" collapsed="false">
      <c r="A9" s="41" t="s">
        <v>104</v>
      </c>
      <c r="B9" s="41" t="s">
        <v>105</v>
      </c>
      <c r="C9" s="41" t="s">
        <v>106</v>
      </c>
      <c r="D9" s="41" t="s">
        <v>107</v>
      </c>
      <c r="E9" s="41" t="s">
        <v>108</v>
      </c>
      <c r="F9" s="41" t="s">
        <v>109</v>
      </c>
      <c r="G9" s="41" t="s">
        <v>110</v>
      </c>
    </row>
    <row r="10" customFormat="false" ht="13.5" hidden="false" customHeight="true" outlineLevel="0" collapsed="false">
      <c r="A10" s="42" t="n">
        <f aca="false">DATE($D$3,MATCH($B$3,MonthNames,0),1)-WEEKDAY(DATE($D$3,MATCH($B$3,MonthNames,0),1))+0+1</f>
        <v>46229</v>
      </c>
      <c r="B10" s="42" t="n">
        <f aca="false">DATE($D$3,MATCH($B$3,MonthNames,0),1)-WEEKDAY(DATE($D$3,MATCH($B$3,MonthNames,0),1))+1+1</f>
        <v>46230</v>
      </c>
      <c r="C10" s="42" t="n">
        <f aca="false">DATE($D$3,MATCH($B$3,MonthNames,0),1)-WEEKDAY(DATE($D$3,MATCH($B$3,MonthNames,0),1))+2+1</f>
        <v>46231</v>
      </c>
      <c r="D10" s="42" t="n">
        <f aca="false">DATE($D$3,MATCH($B$3,MonthNames,0),1)-WEEKDAY(DATE($D$3,MATCH($B$3,MonthNames,0),1))+3+1</f>
        <v>46232</v>
      </c>
      <c r="E10" s="42" t="n">
        <f aca="false">DATE($D$3,MATCH($B$3,MonthNames,0),1)-WEEKDAY(DATE($D$3,MATCH($B$3,MonthNames,0),1))+4+1</f>
        <v>46233</v>
      </c>
      <c r="F10" s="42" t="n">
        <f aca="false">DATE($D$3,MATCH($B$3,MonthNames,0),1)-WEEKDAY(DATE($D$3,MATCH($B$3,MonthNames,0),1))+5+1</f>
        <v>46234</v>
      </c>
      <c r="G10" s="42" t="n">
        <f aca="false">DATE($D$3,MATCH($B$3,MonthNames,0),1)-WEEKDAY(DATE($D$3,MATCH($B$3,MonthNames,0),1))+6+1</f>
        <v>46235</v>
      </c>
    </row>
    <row r="11" customFormat="false" ht="30" hidden="false" customHeight="true" outlineLevel="0" collapsed="false">
      <c r="A11" s="43" t="str">
        <f aca="false">TRIM(IF(AND($C5,COUNTIFS('Wedding Checklist'!$C$5:$C$855,A10,'Wedding Checklist'!$A$5:$A$855,FALSE())&gt;0),COUNTIFS('Wedding Checklist'!$C$5:$C$855,A10,'Wedding Checklist'!$A$5:$A$855,FALSE())&amp;" checklist item(s)"&amp;CHAR(10),"")&amp;IF(AND($B5,COUNTIFS('Wedding Budget'!$C$36:$C$75,A10)&gt;0),COUNTIFS('Wedding Budget'!$C$36:$C$75,A10)&amp;" payment(s) due"&amp;CHAR(10),""))</f>
        <v/>
      </c>
      <c r="B11" s="43" t="str">
        <f aca="false">TRIM(IF(AND($C5,COUNTIFS('Wedding Checklist'!$C$5:$C$855,B10,'Wedding Checklist'!$A$5:$A$855,FALSE())&gt;0),COUNTIFS('Wedding Checklist'!$C$5:$C$855,B10,'Wedding Checklist'!$A$5:$A$855,FALSE())&amp;" checklist item(s)"&amp;CHAR(10),"")&amp;IF(AND($B5,COUNTIFS('Wedding Budget'!$C$36:$C$75,B10)&gt;0),COUNTIFS('Wedding Budget'!$C$36:$C$75,B10)&amp;" payment(s) due"&amp;CHAR(10),""))</f>
        <v/>
      </c>
      <c r="C11" s="43" t="str">
        <f aca="false">TRIM(IF(AND($C5,COUNTIFS('Wedding Checklist'!$C$5:$C$855,C10,'Wedding Checklist'!$A$5:$A$855,FALSE())&gt;0),COUNTIFS('Wedding Checklist'!$C$5:$C$855,C10,'Wedding Checklist'!$A$5:$A$855,FALSE())&amp;" checklist item(s)"&amp;CHAR(10),"")&amp;IF(AND($B5,COUNTIFS('Wedding Budget'!$C$36:$C$75,C10)&gt;0),COUNTIFS('Wedding Budget'!$C$36:$C$75,C10)&amp;" payment(s) due"&amp;CHAR(10),""))</f>
        <v/>
      </c>
      <c r="D11" s="43" t="str">
        <f aca="false">TRIM(IF(AND($C5,COUNTIFS('Wedding Checklist'!$C$5:$C$855,D10,'Wedding Checklist'!$A$5:$A$855,FALSE())&gt;0),COUNTIFS('Wedding Checklist'!$C$5:$C$855,D10,'Wedding Checklist'!$A$5:$A$855,FALSE())&amp;" checklist item(s)"&amp;CHAR(10),"")&amp;IF(AND($B5,COUNTIFS('Wedding Budget'!$C$36:$C$75,D10)&gt;0),COUNTIFS('Wedding Budget'!$C$36:$C$75,D10)&amp;" payment(s) due"&amp;CHAR(10),""))</f>
        <v/>
      </c>
      <c r="E11" s="43" t="str">
        <f aca="false">TRIM(IF(AND($C5,COUNTIFS('Wedding Checklist'!$C$5:$C$855,E10,'Wedding Checklist'!$A$5:$A$855,FALSE())&gt;0),COUNTIFS('Wedding Checklist'!$C$5:$C$855,E10,'Wedding Checklist'!$A$5:$A$855,FALSE())&amp;" checklist item(s)"&amp;CHAR(10),"")&amp;IF(AND($B5,COUNTIFS('Wedding Budget'!$C$36:$C$75,E10)&gt;0),COUNTIFS('Wedding Budget'!$C$36:$C$75,E10)&amp;" payment(s) due"&amp;CHAR(10),""))</f>
        <v/>
      </c>
      <c r="F11" s="43" t="str">
        <f aca="false">TRIM(IF(AND($C5,COUNTIFS('Wedding Checklist'!$C$5:$C$855,F10,'Wedding Checklist'!$A$5:$A$855,FALSE())&gt;0),COUNTIFS('Wedding Checklist'!$C$5:$C$855,F10,'Wedding Checklist'!$A$5:$A$855,FALSE())&amp;" checklist item(s)"&amp;CHAR(10),"")&amp;IF(AND($B5,COUNTIFS('Wedding Budget'!$C$36:$C$75,F10)&gt;0),COUNTIFS('Wedding Budget'!$C$36:$C$75,F10)&amp;" payment(s) due"&amp;CHAR(10),""))</f>
        <v/>
      </c>
      <c r="G11" s="43" t="str">
        <f aca="false">TRIM(IF(AND($C5,COUNTIFS('Wedding Checklist'!$C$5:$C$855,G10,'Wedding Checklist'!$A$5:$A$855,FALSE())&gt;0),COUNTIFS('Wedding Checklist'!$C$5:$C$855,G10,'Wedding Checklist'!$A$5:$A$855,FALSE())&amp;" checklist item(s)"&amp;CHAR(10),"")&amp;IF(AND($B5,COUNTIFS('Wedding Budget'!$C$36:$C$75,G10)&gt;0),COUNTIFS('Wedding Budget'!$C$36:$C$75,G10)&amp;" payment(s) due"&amp;CHAR(10),""))</f>
        <v/>
      </c>
    </row>
    <row r="12" customFormat="false" ht="15" hidden="false" customHeight="false" outlineLevel="0" collapsed="false">
      <c r="A12" s="43"/>
      <c r="B12" s="43"/>
      <c r="C12" s="43"/>
      <c r="D12" s="43"/>
      <c r="E12" s="43"/>
      <c r="F12" s="43"/>
      <c r="G12" s="43"/>
    </row>
    <row r="13" customFormat="false" ht="13.5" hidden="false" customHeight="true" outlineLevel="0" collapsed="false">
      <c r="A13" s="42" t="n">
        <f aca="false">DATE($D$3,MATCH($B$3,MonthNames,0),1)-WEEKDAY(DATE($D$3,MATCH($B$3,MonthNames,0),1))+7+1</f>
        <v>46236</v>
      </c>
      <c r="B13" s="42" t="n">
        <f aca="false">DATE($D$3,MATCH($B$3,MonthNames,0),1)-WEEKDAY(DATE($D$3,MATCH($B$3,MonthNames,0),1))+8+1</f>
        <v>46237</v>
      </c>
      <c r="C13" s="42" t="n">
        <f aca="false">DATE($D$3,MATCH($B$3,MonthNames,0),1)-WEEKDAY(DATE($D$3,MATCH($B$3,MonthNames,0),1))+9+1</f>
        <v>46238</v>
      </c>
      <c r="D13" s="42" t="n">
        <f aca="false">DATE($D$3,MATCH($B$3,MonthNames,0),1)-WEEKDAY(DATE($D$3,MATCH($B$3,MonthNames,0),1))+10+1</f>
        <v>46239</v>
      </c>
      <c r="E13" s="42" t="n">
        <f aca="false">DATE($D$3,MATCH($B$3,MonthNames,0),1)-WEEKDAY(DATE($D$3,MATCH($B$3,MonthNames,0),1))+11+1</f>
        <v>46240</v>
      </c>
      <c r="F13" s="42" t="n">
        <f aca="false">DATE($D$3,MATCH($B$3,MonthNames,0),1)-WEEKDAY(DATE($D$3,MATCH($B$3,MonthNames,0),1))+12+1</f>
        <v>46241</v>
      </c>
      <c r="G13" s="42" t="n">
        <f aca="false">DATE($D$3,MATCH($B$3,MonthNames,0),1)-WEEKDAY(DATE($D$3,MATCH($B$3,MonthNames,0),1))+13+1</f>
        <v>46242</v>
      </c>
    </row>
    <row r="14" customFormat="false" ht="30" hidden="false" customHeight="true" outlineLevel="0" collapsed="false">
      <c r="A14" s="43" t="str">
        <f aca="false">TRIM(IF(AND($C5,COUNTIFS('Wedding Checklist'!$C$5:$C$855,A13,'Wedding Checklist'!$A$5:$A$855,FALSE())&gt;0),COUNTIFS('Wedding Checklist'!$C$5:$C$855,A13,'Wedding Checklist'!$A$5:$A$855,FALSE())&amp;" checklist item(s)"&amp;CHAR(10),"")&amp;IF(AND($B5,COUNTIFS('Wedding Budget'!$C$36:$C$75,A13)&gt;0),COUNTIFS('Wedding Budget'!$C$36:$C$75,A13)&amp;" payment(s) due"&amp;CHAR(10),""))</f>
        <v/>
      </c>
      <c r="B14" s="43" t="str">
        <f aca="false">TRIM(IF(AND($C5,COUNTIFS('Wedding Checklist'!$C$5:$C$855,B13,'Wedding Checklist'!$A$5:$A$855,FALSE())&gt;0),COUNTIFS('Wedding Checklist'!$C$5:$C$855,B13,'Wedding Checklist'!$A$5:$A$855,FALSE())&amp;" checklist item(s)"&amp;CHAR(10),"")&amp;IF(AND($B5,COUNTIFS('Wedding Budget'!$C$36:$C$75,B13)&gt;0),COUNTIFS('Wedding Budget'!$C$36:$C$75,B13)&amp;" payment(s) due"&amp;CHAR(10),""))</f>
        <v/>
      </c>
      <c r="C14" s="43" t="str">
        <f aca="false">TRIM(IF(AND($C5,COUNTIFS('Wedding Checklist'!$C$5:$C$855,C13,'Wedding Checklist'!$A$5:$A$855,FALSE())&gt;0),COUNTIFS('Wedding Checklist'!$C$5:$C$855,C13,'Wedding Checklist'!$A$5:$A$855,FALSE())&amp;" checklist item(s)"&amp;CHAR(10),"")&amp;IF(AND($B5,COUNTIFS('Wedding Budget'!$C$36:$C$75,C13)&gt;0),COUNTIFS('Wedding Budget'!$C$36:$C$75,C13)&amp;" payment(s) due"&amp;CHAR(10),""))</f>
        <v/>
      </c>
      <c r="D14" s="43" t="str">
        <f aca="false">TRIM(IF(AND($C5,COUNTIFS('Wedding Checklist'!$C$5:$C$855,D13,'Wedding Checklist'!$A$5:$A$855,FALSE())&gt;0),COUNTIFS('Wedding Checklist'!$C$5:$C$855,D13,'Wedding Checklist'!$A$5:$A$855,FALSE())&amp;" checklist item(s)"&amp;CHAR(10),"")&amp;IF(AND($B5,COUNTIFS('Wedding Budget'!$C$36:$C$75,D13)&gt;0),COUNTIFS('Wedding Budget'!$C$36:$C$75,D13)&amp;" payment(s) due"&amp;CHAR(10),""))</f>
        <v/>
      </c>
      <c r="E14" s="43" t="str">
        <f aca="false">TRIM(IF(AND($C5,COUNTIFS('Wedding Checklist'!$C$5:$C$855,E13,'Wedding Checklist'!$A$5:$A$855,FALSE())&gt;0),COUNTIFS('Wedding Checklist'!$C$5:$C$855,E13,'Wedding Checklist'!$A$5:$A$855,FALSE())&amp;" checklist item(s)"&amp;CHAR(10),"")&amp;IF(AND($B5,COUNTIFS('Wedding Budget'!$C$36:$C$75,E13)&gt;0),COUNTIFS('Wedding Budget'!$C$36:$C$75,E13)&amp;" payment(s) due"&amp;CHAR(10),""))</f>
        <v/>
      </c>
      <c r="F14" s="43" t="str">
        <f aca="false">TRIM(IF(AND($C5,COUNTIFS('Wedding Checklist'!$C$5:$C$855,F13,'Wedding Checklist'!$A$5:$A$855,FALSE())&gt;0),COUNTIFS('Wedding Checklist'!$C$5:$C$855,F13,'Wedding Checklist'!$A$5:$A$855,FALSE())&amp;" checklist item(s)"&amp;CHAR(10),"")&amp;IF(AND($B5,COUNTIFS('Wedding Budget'!$C$36:$C$75,F13)&gt;0),COUNTIFS('Wedding Budget'!$C$36:$C$75,F13)&amp;" payment(s) due"&amp;CHAR(10),""))</f>
        <v/>
      </c>
      <c r="G14" s="43" t="str">
        <f aca="false">TRIM(IF(AND($C5,COUNTIFS('Wedding Checklist'!$C$5:$C$855,G13,'Wedding Checklist'!$A$5:$A$855,FALSE())&gt;0),COUNTIFS('Wedding Checklist'!$C$5:$C$855,G13,'Wedding Checklist'!$A$5:$A$855,FALSE())&amp;" checklist item(s)"&amp;CHAR(10),"")&amp;IF(AND($B5,COUNTIFS('Wedding Budget'!$C$36:$C$75,G13)&gt;0),COUNTIFS('Wedding Budget'!$C$36:$C$75,G13)&amp;" payment(s) due"&amp;CHAR(10),""))</f>
        <v/>
      </c>
    </row>
    <row r="15" customFormat="false" ht="15" hidden="false" customHeight="false" outlineLevel="0" collapsed="false">
      <c r="A15" s="43"/>
      <c r="B15" s="43"/>
      <c r="C15" s="43"/>
      <c r="D15" s="43"/>
      <c r="E15" s="43"/>
      <c r="F15" s="43"/>
      <c r="G15" s="43"/>
    </row>
    <row r="16" customFormat="false" ht="13.5" hidden="false" customHeight="true" outlineLevel="0" collapsed="false">
      <c r="A16" s="42" t="n">
        <f aca="false">DATE($D$3,MATCH($B$3,MonthNames,0),1)-WEEKDAY(DATE($D$3,MATCH($B$3,MonthNames,0),1))+14+1</f>
        <v>46243</v>
      </c>
      <c r="B16" s="42" t="n">
        <f aca="false">DATE($D$3,MATCH($B$3,MonthNames,0),1)-WEEKDAY(DATE($D$3,MATCH($B$3,MonthNames,0),1))+15+1</f>
        <v>46244</v>
      </c>
      <c r="C16" s="42" t="n">
        <f aca="false">DATE($D$3,MATCH($B$3,MonthNames,0),1)-WEEKDAY(DATE($D$3,MATCH($B$3,MonthNames,0),1))+16+1</f>
        <v>46245</v>
      </c>
      <c r="D16" s="42" t="n">
        <f aca="false">DATE($D$3,MATCH($B$3,MonthNames,0),1)-WEEKDAY(DATE($D$3,MATCH($B$3,MonthNames,0),1))+17+1</f>
        <v>46246</v>
      </c>
      <c r="E16" s="42" t="n">
        <f aca="false">DATE($D$3,MATCH($B$3,MonthNames,0),1)-WEEKDAY(DATE($D$3,MATCH($B$3,MonthNames,0),1))+18+1</f>
        <v>46247</v>
      </c>
      <c r="F16" s="42" t="n">
        <f aca="false">DATE($D$3,MATCH($B$3,MonthNames,0),1)-WEEKDAY(DATE($D$3,MATCH($B$3,MonthNames,0),1))+19+1</f>
        <v>46248</v>
      </c>
      <c r="G16" s="42" t="n">
        <f aca="false">DATE($D$3,MATCH($B$3,MonthNames,0),1)-WEEKDAY(DATE($D$3,MATCH($B$3,MonthNames,0),1))+20+1</f>
        <v>46249</v>
      </c>
    </row>
    <row r="17" customFormat="false" ht="30" hidden="false" customHeight="true" outlineLevel="0" collapsed="false">
      <c r="A17" s="43" t="str">
        <f aca="false">TRIM(IF(AND($C5,COUNTIFS('Wedding Checklist'!$C$5:$C$855,A16,'Wedding Checklist'!$A$5:$A$855,FALSE())&gt;0),COUNTIFS('Wedding Checklist'!$C$5:$C$855,A16,'Wedding Checklist'!$A$5:$A$855,FALSE())&amp;" checklist item(s)"&amp;CHAR(10),"")&amp;IF(AND($B5,COUNTIFS('Wedding Budget'!$C$36:$C$75,A16)&gt;0),COUNTIFS('Wedding Budget'!$C$36:$C$75,A16)&amp;" payment(s) due"&amp;CHAR(10),""))</f>
        <v/>
      </c>
      <c r="B17" s="43" t="str">
        <f aca="false">TRIM(IF(AND($C5,COUNTIFS('Wedding Checklist'!$C$5:$C$855,B16,'Wedding Checklist'!$A$5:$A$855,FALSE())&gt;0),COUNTIFS('Wedding Checklist'!$C$5:$C$855,B16,'Wedding Checklist'!$A$5:$A$855,FALSE())&amp;" checklist item(s)"&amp;CHAR(10),"")&amp;IF(AND($B5,COUNTIFS('Wedding Budget'!$C$36:$C$75,B16)&gt;0),COUNTIFS('Wedding Budget'!$C$36:$C$75,B16)&amp;" payment(s) due"&amp;CHAR(10),""))</f>
        <v/>
      </c>
      <c r="C17" s="43" t="str">
        <f aca="false">TRIM(IF(AND($C5,COUNTIFS('Wedding Checklist'!$C$5:$C$855,C16,'Wedding Checklist'!$A$5:$A$855,FALSE())&gt;0),COUNTIFS('Wedding Checklist'!$C$5:$C$855,C16,'Wedding Checklist'!$A$5:$A$855,FALSE())&amp;" checklist item(s)"&amp;CHAR(10),"")&amp;IF(AND($B5,COUNTIFS('Wedding Budget'!$C$36:$C$75,C16)&gt;0),COUNTIFS('Wedding Budget'!$C$36:$C$75,C16)&amp;" payment(s) due"&amp;CHAR(10),""))</f>
        <v/>
      </c>
      <c r="D17" s="43" t="str">
        <f aca="false">TRIM(IF(AND($C5,COUNTIFS('Wedding Checklist'!$C$5:$C$855,D16,'Wedding Checklist'!$A$5:$A$855,FALSE())&gt;0),COUNTIFS('Wedding Checklist'!$C$5:$C$855,D16,'Wedding Checklist'!$A$5:$A$855,FALSE())&amp;" checklist item(s)"&amp;CHAR(10),"")&amp;IF(AND($B5,COUNTIFS('Wedding Budget'!$C$36:$C$75,D16)&gt;0),COUNTIFS('Wedding Budget'!$C$36:$C$75,D16)&amp;" payment(s) due"&amp;CHAR(10),""))</f>
        <v/>
      </c>
      <c r="E17" s="43" t="str">
        <f aca="false">TRIM(IF(AND($C5,COUNTIFS('Wedding Checklist'!$C$5:$C$855,E16,'Wedding Checklist'!$A$5:$A$855,FALSE())&gt;0),COUNTIFS('Wedding Checklist'!$C$5:$C$855,E16,'Wedding Checklist'!$A$5:$A$855,FALSE())&amp;" checklist item(s)"&amp;CHAR(10),"")&amp;IF(AND($B5,COUNTIFS('Wedding Budget'!$C$36:$C$75,E16)&gt;0),COUNTIFS('Wedding Budget'!$C$36:$C$75,E16)&amp;" payment(s) due"&amp;CHAR(10),""))</f>
        <v/>
      </c>
      <c r="F17" s="43" t="str">
        <f aca="false">TRIM(IF(AND($C5,COUNTIFS('Wedding Checklist'!$C$5:$C$855,F16,'Wedding Checklist'!$A$5:$A$855,FALSE())&gt;0),COUNTIFS('Wedding Checklist'!$C$5:$C$855,F16,'Wedding Checklist'!$A$5:$A$855,FALSE())&amp;" checklist item(s)"&amp;CHAR(10),"")&amp;IF(AND($B5,COUNTIFS('Wedding Budget'!$C$36:$C$75,F16)&gt;0),COUNTIFS('Wedding Budget'!$C$36:$C$75,F16)&amp;" payment(s) due"&amp;CHAR(10),""))</f>
        <v/>
      </c>
      <c r="G17" s="43" t="str">
        <f aca="false">TRIM(IF(AND($C5,COUNTIFS('Wedding Checklist'!$C$5:$C$855,G16,'Wedding Checklist'!$A$5:$A$855,FALSE())&gt;0),COUNTIFS('Wedding Checklist'!$C$5:$C$855,G16,'Wedding Checklist'!$A$5:$A$855,FALSE())&amp;" checklist item(s)"&amp;CHAR(10),"")&amp;IF(AND($B5,COUNTIFS('Wedding Budget'!$C$36:$C$75,G16)&gt;0),COUNTIFS('Wedding Budget'!$C$36:$C$75,G16)&amp;" payment(s) due"&amp;CHAR(10),""))</f>
        <v/>
      </c>
    </row>
    <row r="18" customFormat="false" ht="15" hidden="false" customHeight="false" outlineLevel="0" collapsed="false">
      <c r="A18" s="43"/>
      <c r="B18" s="43"/>
      <c r="C18" s="43"/>
      <c r="D18" s="43"/>
      <c r="E18" s="43"/>
      <c r="F18" s="43"/>
      <c r="G18" s="43"/>
    </row>
    <row r="19" customFormat="false" ht="13.5" hidden="false" customHeight="true" outlineLevel="0" collapsed="false">
      <c r="A19" s="42" t="n">
        <f aca="false">DATE($D$3,MATCH($B$3,MonthNames,0),1)-WEEKDAY(DATE($D$3,MATCH($B$3,MonthNames,0),1))+21+1</f>
        <v>46250</v>
      </c>
      <c r="B19" s="42" t="n">
        <f aca="false">DATE($D$3,MATCH($B$3,MonthNames,0),1)-WEEKDAY(DATE($D$3,MATCH($B$3,MonthNames,0),1))+22+1</f>
        <v>46251</v>
      </c>
      <c r="C19" s="42" t="n">
        <f aca="false">DATE($D$3,MATCH($B$3,MonthNames,0),1)-WEEKDAY(DATE($D$3,MATCH($B$3,MonthNames,0),1))+23+1</f>
        <v>46252</v>
      </c>
      <c r="D19" s="42" t="n">
        <f aca="false">DATE($D$3,MATCH($B$3,MonthNames,0),1)-WEEKDAY(DATE($D$3,MATCH($B$3,MonthNames,0),1))+24+1</f>
        <v>46253</v>
      </c>
      <c r="E19" s="42" t="n">
        <f aca="false">DATE($D$3,MATCH($B$3,MonthNames,0),1)-WEEKDAY(DATE($D$3,MATCH($B$3,MonthNames,0),1))+25+1</f>
        <v>46254</v>
      </c>
      <c r="F19" s="42" t="n">
        <f aca="false">DATE($D$3,MATCH($B$3,MonthNames,0),1)-WEEKDAY(DATE($D$3,MATCH($B$3,MonthNames,0),1))+26+1</f>
        <v>46255</v>
      </c>
      <c r="G19" s="42" t="n">
        <f aca="false">DATE($D$3,MATCH($B$3,MonthNames,0),1)-WEEKDAY(DATE($D$3,MATCH($B$3,MonthNames,0),1))+27+1</f>
        <v>46256</v>
      </c>
    </row>
    <row r="20" customFormat="false" ht="30" hidden="false" customHeight="true" outlineLevel="0" collapsed="false">
      <c r="A20" s="43" t="str">
        <f aca="false">TRIM(IF(AND($C5,COUNTIFS('Wedding Checklist'!$C$5:$C$855,A19,'Wedding Checklist'!$A$5:$A$855,FALSE())&gt;0),COUNTIFS('Wedding Checklist'!$C$5:$C$855,A19,'Wedding Checklist'!$A$5:$A$855,FALSE())&amp;" checklist item(s)"&amp;CHAR(10),"")&amp;IF(AND($B5,COUNTIFS('Wedding Budget'!$C$36:$C$75,A19)&gt;0),COUNTIFS('Wedding Budget'!$C$36:$C$75,A19)&amp;" payment(s) due"&amp;CHAR(10),""))</f>
        <v/>
      </c>
      <c r="B20" s="43" t="str">
        <f aca="false">TRIM(IF(AND($C5,COUNTIFS('Wedding Checklist'!$C$5:$C$855,B19,'Wedding Checklist'!$A$5:$A$855,FALSE())&gt;0),COUNTIFS('Wedding Checklist'!$C$5:$C$855,B19,'Wedding Checklist'!$A$5:$A$855,FALSE())&amp;" checklist item(s)"&amp;CHAR(10),"")&amp;IF(AND($B5,COUNTIFS('Wedding Budget'!$C$36:$C$75,B19)&gt;0),COUNTIFS('Wedding Budget'!$C$36:$C$75,B19)&amp;" payment(s) due"&amp;CHAR(10),""))</f>
        <v/>
      </c>
      <c r="C20" s="43" t="str">
        <f aca="false">TRIM(IF(AND($C5,COUNTIFS('Wedding Checklist'!$C$5:$C$855,C19,'Wedding Checklist'!$A$5:$A$855,FALSE())&gt;0),COUNTIFS('Wedding Checklist'!$C$5:$C$855,C19,'Wedding Checklist'!$A$5:$A$855,FALSE())&amp;" checklist item(s)"&amp;CHAR(10),"")&amp;IF(AND($B5,COUNTIFS('Wedding Budget'!$C$36:$C$75,C19)&gt;0),COUNTIFS('Wedding Budget'!$C$36:$C$75,C19)&amp;" payment(s) due"&amp;CHAR(10),""))</f>
        <v/>
      </c>
      <c r="D20" s="43" t="str">
        <f aca="false">TRIM(IF(AND($C5,COUNTIFS('Wedding Checklist'!$C$5:$C$855,D19,'Wedding Checklist'!$A$5:$A$855,FALSE())&gt;0),COUNTIFS('Wedding Checklist'!$C$5:$C$855,D19,'Wedding Checklist'!$A$5:$A$855,FALSE())&amp;" checklist item(s)"&amp;CHAR(10),"")&amp;IF(AND($B5,COUNTIFS('Wedding Budget'!$C$36:$C$75,D19)&gt;0),COUNTIFS('Wedding Budget'!$C$36:$C$75,D19)&amp;" payment(s) due"&amp;CHAR(10),""))</f>
        <v/>
      </c>
      <c r="E20" s="43" t="str">
        <f aca="false">TRIM(IF(AND($C5,COUNTIFS('Wedding Checklist'!$C$5:$C$855,E19,'Wedding Checklist'!$A$5:$A$855,FALSE())&gt;0),COUNTIFS('Wedding Checklist'!$C$5:$C$855,E19,'Wedding Checklist'!$A$5:$A$855,FALSE())&amp;" checklist item(s)"&amp;CHAR(10),"")&amp;IF(AND($B5,COUNTIFS('Wedding Budget'!$C$36:$C$75,E19)&gt;0),COUNTIFS('Wedding Budget'!$C$36:$C$75,E19)&amp;" payment(s) due"&amp;CHAR(10),""))</f>
        <v/>
      </c>
      <c r="F20" s="43" t="str">
        <f aca="false">TRIM(IF(AND($C5,COUNTIFS('Wedding Checklist'!$C$5:$C$855,F19,'Wedding Checklist'!$A$5:$A$855,FALSE())&gt;0),COUNTIFS('Wedding Checklist'!$C$5:$C$855,F19,'Wedding Checklist'!$A$5:$A$855,FALSE())&amp;" checklist item(s)"&amp;CHAR(10),"")&amp;IF(AND($B5,COUNTIFS('Wedding Budget'!$C$36:$C$75,F19)&gt;0),COUNTIFS('Wedding Budget'!$C$36:$C$75,F19)&amp;" payment(s) due"&amp;CHAR(10),""))</f>
        <v/>
      </c>
      <c r="G20" s="43" t="str">
        <f aca="false">TRIM(IF(AND($C5,COUNTIFS('Wedding Checklist'!$C$5:$C$855,G19,'Wedding Checklist'!$A$5:$A$855,FALSE())&gt;0),COUNTIFS('Wedding Checklist'!$C$5:$C$855,G19,'Wedding Checklist'!$A$5:$A$855,FALSE())&amp;" checklist item(s)"&amp;CHAR(10),"")&amp;IF(AND($B5,COUNTIFS('Wedding Budget'!$C$36:$C$75,G19)&gt;0),COUNTIFS('Wedding Budget'!$C$36:$C$75,G19)&amp;" payment(s) due"&amp;CHAR(10),""))</f>
        <v/>
      </c>
    </row>
    <row r="21" customFormat="false" ht="15" hidden="false" customHeight="false" outlineLevel="0" collapsed="false">
      <c r="A21" s="43"/>
      <c r="B21" s="43"/>
      <c r="C21" s="43"/>
      <c r="D21" s="43"/>
      <c r="E21" s="43"/>
      <c r="F21" s="43"/>
      <c r="G21" s="43"/>
    </row>
    <row r="22" customFormat="false" ht="13.5" hidden="false" customHeight="true" outlineLevel="0" collapsed="false">
      <c r="A22" s="42" t="n">
        <f aca="false">DATE($D$3,MATCH($B$3,MonthNames,0),1)-WEEKDAY(DATE($D$3,MATCH($B$3,MonthNames,0),1))+28+1</f>
        <v>46257</v>
      </c>
      <c r="B22" s="42" t="n">
        <f aca="false">DATE($D$3,MATCH($B$3,MonthNames,0),1)-WEEKDAY(DATE($D$3,MATCH($B$3,MonthNames,0),1))+29+1</f>
        <v>46258</v>
      </c>
      <c r="C22" s="42" t="n">
        <f aca="false">DATE($D$3,MATCH($B$3,MonthNames,0),1)-WEEKDAY(DATE($D$3,MATCH($B$3,MonthNames,0),1))+30+1</f>
        <v>46259</v>
      </c>
      <c r="D22" s="42" t="n">
        <f aca="false">DATE($D$3,MATCH($B$3,MonthNames,0),1)-WEEKDAY(DATE($D$3,MATCH($B$3,MonthNames,0),1))+31+1</f>
        <v>46260</v>
      </c>
      <c r="E22" s="42" t="n">
        <f aca="false">DATE($D$3,MATCH($B$3,MonthNames,0),1)-WEEKDAY(DATE($D$3,MATCH($B$3,MonthNames,0),1))+32+1</f>
        <v>46261</v>
      </c>
      <c r="F22" s="42" t="n">
        <f aca="false">DATE($D$3,MATCH($B$3,MonthNames,0),1)-WEEKDAY(DATE($D$3,MATCH($B$3,MonthNames,0),1))+33+1</f>
        <v>46262</v>
      </c>
      <c r="G22" s="42" t="n">
        <f aca="false">DATE($D$3,MATCH($B$3,MonthNames,0),1)-WEEKDAY(DATE($D$3,MATCH($B$3,MonthNames,0),1))+34+1</f>
        <v>46263</v>
      </c>
    </row>
    <row r="23" customFormat="false" ht="30" hidden="false" customHeight="true" outlineLevel="0" collapsed="false">
      <c r="A23" s="43" t="str">
        <f aca="false">TRIM(IF(AND($C5,COUNTIFS('Wedding Checklist'!$C$5:$C$855,A22,'Wedding Checklist'!$A$5:$A$855,FALSE())&gt;0),COUNTIFS('Wedding Checklist'!$C$5:$C$855,A22,'Wedding Checklist'!$A$5:$A$855,FALSE())&amp;" checklist item(s)"&amp;CHAR(10),"")&amp;IF(AND($B5,COUNTIFS('Wedding Budget'!$C$36:$C$75,A22)&gt;0),COUNTIFS('Wedding Budget'!$C$36:$C$75,A22)&amp;" payment(s) due"&amp;CHAR(10),""))</f>
        <v/>
      </c>
      <c r="B23" s="43" t="str">
        <f aca="false">TRIM(IF(AND($C5,COUNTIFS('Wedding Checklist'!$C$5:$C$855,B22,'Wedding Checklist'!$A$5:$A$855,FALSE())&gt;0),COUNTIFS('Wedding Checklist'!$C$5:$C$855,B22,'Wedding Checklist'!$A$5:$A$855,FALSE())&amp;" checklist item(s)"&amp;CHAR(10),"")&amp;IF(AND($B5,COUNTIFS('Wedding Budget'!$C$36:$C$75,B22)&gt;0),COUNTIFS('Wedding Budget'!$C$36:$C$75,B22)&amp;" payment(s) due"&amp;CHAR(10),""))</f>
        <v/>
      </c>
      <c r="C23" s="43" t="str">
        <f aca="false">TRIM(IF(AND($C5,COUNTIFS('Wedding Checklist'!$C$5:$C$855,C22,'Wedding Checklist'!$A$5:$A$855,FALSE())&gt;0),COUNTIFS('Wedding Checklist'!$C$5:$C$855,C22,'Wedding Checklist'!$A$5:$A$855,FALSE())&amp;" checklist item(s)"&amp;CHAR(10),"")&amp;IF(AND($B5,COUNTIFS('Wedding Budget'!$C$36:$C$75,C22)&gt;0),COUNTIFS('Wedding Budget'!$C$36:$C$75,C22)&amp;" payment(s) due"&amp;CHAR(10),""))</f>
        <v/>
      </c>
      <c r="D23" s="43" t="str">
        <f aca="false">TRIM(IF(AND($C5,COUNTIFS('Wedding Checklist'!$C$5:$C$855,D22,'Wedding Checklist'!$A$5:$A$855,FALSE())&gt;0),COUNTIFS('Wedding Checklist'!$C$5:$C$855,D22,'Wedding Checklist'!$A$5:$A$855,FALSE())&amp;" checklist item(s)"&amp;CHAR(10),"")&amp;IF(AND($B5,COUNTIFS('Wedding Budget'!$C$36:$C$75,D22)&gt;0),COUNTIFS('Wedding Budget'!$C$36:$C$75,D22)&amp;" payment(s) due"&amp;CHAR(10),""))</f>
        <v/>
      </c>
      <c r="E23" s="43" t="str">
        <f aca="false">TRIM(IF(AND($C5,COUNTIFS('Wedding Checklist'!$C$5:$C$855,E22,'Wedding Checklist'!$A$5:$A$855,FALSE())&gt;0),COUNTIFS('Wedding Checklist'!$C$5:$C$855,E22,'Wedding Checklist'!$A$5:$A$855,FALSE())&amp;" checklist item(s)"&amp;CHAR(10),"")&amp;IF(AND($B5,COUNTIFS('Wedding Budget'!$C$36:$C$75,E22)&gt;0),COUNTIFS('Wedding Budget'!$C$36:$C$75,E22)&amp;" payment(s) due"&amp;CHAR(10),""))</f>
        <v/>
      </c>
      <c r="F23" s="43" t="str">
        <f aca="false">TRIM(IF(AND($C5,COUNTIFS('Wedding Checklist'!$C$5:$C$855,F22,'Wedding Checklist'!$A$5:$A$855,FALSE())&gt;0),COUNTIFS('Wedding Checklist'!$C$5:$C$855,F22,'Wedding Checklist'!$A$5:$A$855,FALSE())&amp;" checklist item(s)"&amp;CHAR(10),"")&amp;IF(AND($B5,COUNTIFS('Wedding Budget'!$C$36:$C$75,F22)&gt;0),COUNTIFS('Wedding Budget'!$C$36:$C$75,F22)&amp;" payment(s) due"&amp;CHAR(10),""))</f>
        <v/>
      </c>
      <c r="G23" s="43" t="str">
        <f aca="false">TRIM(IF(AND($C5,COUNTIFS('Wedding Checklist'!$C$5:$C$855,G22,'Wedding Checklist'!$A$5:$A$855,FALSE())&gt;0),COUNTIFS('Wedding Checklist'!$C$5:$C$855,G22,'Wedding Checklist'!$A$5:$A$855,FALSE())&amp;" checklist item(s)"&amp;CHAR(10),"")&amp;IF(AND($B5,COUNTIFS('Wedding Budget'!$C$36:$C$75,G22)&gt;0),COUNTIFS('Wedding Budget'!$C$36:$C$75,G22)&amp;" payment(s) due"&amp;CHAR(10),""))</f>
        <v/>
      </c>
    </row>
    <row r="24" customFormat="false" ht="15" hidden="false" customHeight="false" outlineLevel="0" collapsed="false">
      <c r="A24" s="43"/>
      <c r="B24" s="43"/>
      <c r="C24" s="43"/>
      <c r="D24" s="43"/>
      <c r="E24" s="43"/>
      <c r="F24" s="43"/>
      <c r="G24" s="43"/>
    </row>
    <row r="25" customFormat="false" ht="13.5" hidden="false" customHeight="true" outlineLevel="0" collapsed="false">
      <c r="A25" s="42" t="n">
        <f aca="false">DATE($D$3,MATCH($B$3,MonthNames,0),1)-WEEKDAY(DATE($D$3,MATCH($B$3,MonthNames,0),1))+35+1</f>
        <v>46264</v>
      </c>
      <c r="B25" s="42" t="n">
        <f aca="false">DATE($D$3,MATCH($B$3,MonthNames,0),1)-WEEKDAY(DATE($D$3,MATCH($B$3,MonthNames,0),1))+36+1</f>
        <v>46265</v>
      </c>
      <c r="C25" s="42" t="n">
        <f aca="false">DATE($D$3,MATCH($B$3,MonthNames,0),1)-WEEKDAY(DATE($D$3,MATCH($B$3,MonthNames,0),1))+37+1</f>
        <v>46266</v>
      </c>
      <c r="D25" s="42" t="n">
        <f aca="false">DATE($D$3,MATCH($B$3,MonthNames,0),1)-WEEKDAY(DATE($D$3,MATCH($B$3,MonthNames,0),1))+38+1</f>
        <v>46267</v>
      </c>
      <c r="E25" s="42" t="n">
        <f aca="false">DATE($D$3,MATCH($B$3,MonthNames,0),1)-WEEKDAY(DATE($D$3,MATCH($B$3,MonthNames,0),1))+39+1</f>
        <v>46268</v>
      </c>
      <c r="F25" s="42" t="n">
        <f aca="false">DATE($D$3,MATCH($B$3,MonthNames,0),1)-WEEKDAY(DATE($D$3,MATCH($B$3,MonthNames,0),1))+40+1</f>
        <v>46269</v>
      </c>
      <c r="G25" s="42" t="n">
        <f aca="false">DATE($D$3,MATCH($B$3,MonthNames,0),1)-WEEKDAY(DATE($D$3,MATCH($B$3,MonthNames,0),1))+41+1</f>
        <v>46270</v>
      </c>
    </row>
    <row r="26" customFormat="false" ht="30" hidden="false" customHeight="true" outlineLevel="0" collapsed="false">
      <c r="A26" s="43" t="str">
        <f aca="false">TRIM(IF(AND($C5,COUNTIFS('Wedding Checklist'!$C$5:$C$855,A25,'Wedding Checklist'!$A$5:$A$855,FALSE())&gt;0),COUNTIFS('Wedding Checklist'!$C$5:$C$855,A25,'Wedding Checklist'!$A$5:$A$855,FALSE())&amp;" checklist item(s)"&amp;CHAR(10),"")&amp;IF(AND($B5,COUNTIFS('Wedding Budget'!$C$36:$C$75,A25)&gt;0),COUNTIFS('Wedding Budget'!$C$36:$C$75,A25)&amp;" payment(s) due"&amp;CHAR(10),""))</f>
        <v/>
      </c>
      <c r="B26" s="43" t="str">
        <f aca="false">TRIM(IF(AND($C5,COUNTIFS('Wedding Checklist'!$C$5:$C$855,B25,'Wedding Checklist'!$A$5:$A$855,FALSE())&gt;0),COUNTIFS('Wedding Checklist'!$C$5:$C$855,B25,'Wedding Checklist'!$A$5:$A$855,FALSE())&amp;" checklist item(s)"&amp;CHAR(10),"")&amp;IF(AND($B5,COUNTIFS('Wedding Budget'!$C$36:$C$75,B25)&gt;0),COUNTIFS('Wedding Budget'!$C$36:$C$75,B25)&amp;" payment(s) due"&amp;CHAR(10),""))</f>
        <v/>
      </c>
      <c r="C26" s="43" t="str">
        <f aca="false">TRIM(IF(AND($C5,COUNTIFS('Wedding Checklist'!$C$5:$C$855,C25,'Wedding Checklist'!$A$5:$A$855,FALSE())&gt;0),COUNTIFS('Wedding Checklist'!$C$5:$C$855,C25,'Wedding Checklist'!$A$5:$A$855,FALSE())&amp;" checklist item(s)"&amp;CHAR(10),"")&amp;IF(AND($B5,COUNTIFS('Wedding Budget'!$C$36:$C$75,C25)&gt;0),COUNTIFS('Wedding Budget'!$C$36:$C$75,C25)&amp;" payment(s) due"&amp;CHAR(10),""))</f>
        <v/>
      </c>
      <c r="D26" s="43" t="str">
        <f aca="false">TRIM(IF(AND($C5,COUNTIFS('Wedding Checklist'!$C$5:$C$855,D25,'Wedding Checklist'!$A$5:$A$855,FALSE())&gt;0),COUNTIFS('Wedding Checklist'!$C$5:$C$855,D25,'Wedding Checklist'!$A$5:$A$855,FALSE())&amp;" checklist item(s)"&amp;CHAR(10),"")&amp;IF(AND($B5,COUNTIFS('Wedding Budget'!$C$36:$C$75,D25)&gt;0),COUNTIFS('Wedding Budget'!$C$36:$C$75,D25)&amp;" payment(s) due"&amp;CHAR(10),""))</f>
        <v/>
      </c>
      <c r="E26" s="43" t="str">
        <f aca="false">TRIM(IF(AND($C5,COUNTIFS('Wedding Checklist'!$C$5:$C$855,E25,'Wedding Checklist'!$A$5:$A$855,FALSE())&gt;0),COUNTIFS('Wedding Checklist'!$C$5:$C$855,E25,'Wedding Checklist'!$A$5:$A$855,FALSE())&amp;" checklist item(s)"&amp;CHAR(10),"")&amp;IF(AND($B5,COUNTIFS('Wedding Budget'!$C$36:$C$75,E25)&gt;0),COUNTIFS('Wedding Budget'!$C$36:$C$75,E25)&amp;" payment(s) due"&amp;CHAR(10),""))</f>
        <v/>
      </c>
      <c r="F26" s="43" t="str">
        <f aca="false">TRIM(IF(AND($C5,COUNTIFS('Wedding Checklist'!$C$5:$C$855,F25,'Wedding Checklist'!$A$5:$A$855,FALSE())&gt;0),COUNTIFS('Wedding Checklist'!$C$5:$C$855,F25,'Wedding Checklist'!$A$5:$A$855,FALSE())&amp;" checklist item(s)"&amp;CHAR(10),"")&amp;IF(AND($B5,COUNTIFS('Wedding Budget'!$C$36:$C$75,F25)&gt;0),COUNTIFS('Wedding Budget'!$C$36:$C$75,F25)&amp;" payment(s) due"&amp;CHAR(10),""))</f>
        <v/>
      </c>
      <c r="G26" s="43" t="str">
        <f aca="false">TRIM(IF(AND($C5,COUNTIFS('Wedding Checklist'!$C$5:$C$855,G25,'Wedding Checklist'!$A$5:$A$855,FALSE())&gt;0),COUNTIFS('Wedding Checklist'!$C$5:$C$855,G25,'Wedding Checklist'!$A$5:$A$855,FALSE())&amp;" checklist item(s)"&amp;CHAR(10),"")&amp;IF(AND($B5,COUNTIFS('Wedding Budget'!$C$36:$C$75,G25)&gt;0),COUNTIFS('Wedding Budget'!$C$36:$C$75,G25)&amp;" payment(s) due"&amp;CHAR(10),""))</f>
        <v/>
      </c>
    </row>
    <row r="27" customFormat="false" ht="15" hidden="false" customHeight="false" outlineLevel="0" collapsed="false">
      <c r="A27" s="43"/>
      <c r="B27" s="43"/>
      <c r="C27" s="43"/>
      <c r="D27" s="43"/>
      <c r="E27" s="43"/>
      <c r="F27" s="43"/>
      <c r="G27" s="43"/>
    </row>
    <row r="29" customFormat="false" ht="15" hidden="false" customHeight="false" outlineLevel="0" collapsed="false">
      <c r="A29" s="28" t="s">
        <v>111</v>
      </c>
      <c r="B29" s="28"/>
      <c r="C29" s="28"/>
    </row>
    <row r="30" customFormat="false" ht="19.5" hidden="false" customHeight="true" outlineLevel="0" collapsed="false">
      <c r="A30" s="44" t="s">
        <v>112</v>
      </c>
      <c r="B30" s="44" t="s">
        <v>113</v>
      </c>
    </row>
    <row r="31" customFormat="false" ht="15" hidden="false" customHeight="false" outlineLevel="0" collapsed="false">
      <c r="A31" s="45" t="s">
        <v>114</v>
      </c>
      <c r="B31" s="46" t="n">
        <f aca="false">'Get Started'!$C$4+(-300)</f>
        <v>46252</v>
      </c>
    </row>
    <row r="32" customFormat="false" ht="15" hidden="false" customHeight="false" outlineLevel="0" collapsed="false">
      <c r="A32" s="47" t="s">
        <v>115</v>
      </c>
      <c r="B32" s="48" t="n">
        <f aca="false">'Get Started'!$C$4+(-180)</f>
        <v>46372</v>
      </c>
    </row>
    <row r="33" customFormat="false" ht="15" hidden="false" customHeight="false" outlineLevel="0" collapsed="false">
      <c r="A33" s="45" t="s">
        <v>116</v>
      </c>
      <c r="B33" s="46" t="n">
        <f aca="false">'Get Started'!$C$4+(-30)</f>
        <v>46522</v>
      </c>
    </row>
    <row r="34" customFormat="false" ht="15" hidden="false" customHeight="false" outlineLevel="0" collapsed="false">
      <c r="A34" s="47" t="s">
        <v>117</v>
      </c>
      <c r="B34" s="48" t="n">
        <f aca="false">'Get Started'!$C$4+(-14)</f>
        <v>46538</v>
      </c>
    </row>
    <row r="35" customFormat="false" ht="15" hidden="false" customHeight="false" outlineLevel="0" collapsed="false">
      <c r="A35" s="45" t="s">
        <v>118</v>
      </c>
      <c r="B35" s="46" t="n">
        <f aca="false">'Get Started'!$C$4+(-1)</f>
        <v>46551</v>
      </c>
    </row>
    <row r="36" customFormat="false" ht="15" hidden="false" customHeight="false" outlineLevel="0" collapsed="false">
      <c r="A36" s="47"/>
      <c r="B36" s="48"/>
    </row>
    <row r="37" customFormat="false" ht="15" hidden="false" customHeight="false" outlineLevel="0" collapsed="false">
      <c r="A37" s="45"/>
      <c r="B37" s="46"/>
    </row>
    <row r="38" customFormat="false" ht="15" hidden="false" customHeight="false" outlineLevel="0" collapsed="false">
      <c r="A38" s="47"/>
      <c r="B38" s="48"/>
    </row>
    <row r="39" customFormat="false" ht="15" hidden="false" customHeight="false" outlineLevel="0" collapsed="false">
      <c r="A39" s="45"/>
      <c r="B39" s="46"/>
    </row>
    <row r="40" customFormat="false" ht="15" hidden="false" customHeight="false" outlineLevel="0" collapsed="false">
      <c r="A40" s="47"/>
      <c r="B40" s="48"/>
    </row>
    <row r="41" customFormat="false" ht="15" hidden="false" customHeight="false" outlineLevel="0" collapsed="false">
      <c r="A41" s="45"/>
      <c r="B41" s="46"/>
    </row>
    <row r="42" customFormat="false" ht="15" hidden="false" customHeight="false" outlineLevel="0" collapsed="false">
      <c r="A42" s="47"/>
      <c r="B42" s="48"/>
    </row>
    <row r="43" customFormat="false" ht="15" hidden="false" customHeight="false" outlineLevel="0" collapsed="false">
      <c r="A43" s="45"/>
      <c r="B43" s="46"/>
    </row>
    <row r="44" customFormat="false" ht="15" hidden="false" customHeight="false" outlineLevel="0" collapsed="false">
      <c r="A44" s="47"/>
      <c r="B44" s="48"/>
    </row>
    <row r="45" customFormat="false" ht="15" hidden="false" customHeight="false" outlineLevel="0" collapsed="false">
      <c r="A45" s="45"/>
      <c r="B45" s="46"/>
    </row>
    <row r="46" customFormat="false" ht="15" hidden="false" customHeight="false" outlineLevel="0" collapsed="false">
      <c r="A46" s="47"/>
      <c r="B46" s="48"/>
    </row>
    <row r="47" customFormat="false" ht="15" hidden="false" customHeight="false" outlineLevel="0" collapsed="false">
      <c r="A47" s="45"/>
      <c r="B47" s="46"/>
    </row>
    <row r="48" customFormat="false" ht="15" hidden="false" customHeight="false" outlineLevel="0" collapsed="false">
      <c r="A48" s="47"/>
      <c r="B48" s="48"/>
    </row>
    <row r="49" customFormat="false" ht="15" hidden="false" customHeight="false" outlineLevel="0" collapsed="false">
      <c r="A49" s="45"/>
      <c r="B49" s="46"/>
    </row>
    <row r="50" customFormat="false" ht="15" hidden="false" customHeight="false" outlineLevel="0" collapsed="false">
      <c r="A50" s="47"/>
      <c r="B50" s="48"/>
    </row>
  </sheetData>
  <mergeCells count="44">
    <mergeCell ref="A1:G1"/>
    <mergeCell ref="A11:A12"/>
    <mergeCell ref="B11:B12"/>
    <mergeCell ref="C11:C12"/>
    <mergeCell ref="D11:D12"/>
    <mergeCell ref="E11:E12"/>
    <mergeCell ref="F11:F12"/>
    <mergeCell ref="G11:G12"/>
    <mergeCell ref="A14:A15"/>
    <mergeCell ref="B14:B15"/>
    <mergeCell ref="C14:C15"/>
    <mergeCell ref="D14:D15"/>
    <mergeCell ref="E14:E15"/>
    <mergeCell ref="F14:F15"/>
    <mergeCell ref="G14:G15"/>
    <mergeCell ref="A17:A18"/>
    <mergeCell ref="B17:B18"/>
    <mergeCell ref="C17:C18"/>
    <mergeCell ref="D17:D18"/>
    <mergeCell ref="E17:E18"/>
    <mergeCell ref="F17:F18"/>
    <mergeCell ref="G17:G18"/>
    <mergeCell ref="A20:A21"/>
    <mergeCell ref="B20:B21"/>
    <mergeCell ref="C20:C21"/>
    <mergeCell ref="D20:D21"/>
    <mergeCell ref="E20:E21"/>
    <mergeCell ref="F20:F21"/>
    <mergeCell ref="G20:G21"/>
    <mergeCell ref="A23:A24"/>
    <mergeCell ref="B23:B24"/>
    <mergeCell ref="C23:C24"/>
    <mergeCell ref="D23:D24"/>
    <mergeCell ref="E23:E24"/>
    <mergeCell ref="F23:F24"/>
    <mergeCell ref="G23:G24"/>
    <mergeCell ref="A26:A27"/>
    <mergeCell ref="B26:B27"/>
    <mergeCell ref="C26:C27"/>
    <mergeCell ref="D26:D27"/>
    <mergeCell ref="E26:E27"/>
    <mergeCell ref="F26:F27"/>
    <mergeCell ref="G26:G27"/>
    <mergeCell ref="A29:C29"/>
  </mergeCells>
  <conditionalFormatting sqref="A10:A12">
    <cfRule type="expression" priority="2" aboveAverage="0" equalAverage="0" bottom="0" percent="0" rank="0" text="" dxfId="0">
      <formula>AND(A10=TODAY())</formula>
    </cfRule>
    <cfRule type="expression" priority="3" aboveAverage="0" equalAverage="0" bottom="0" percent="0" rank="0" text="" dxfId="1">
      <formula>AND(A10&lt;TODAY(),A11&lt;&gt;"")</formula>
    </cfRule>
    <cfRule type="expression" priority="4" aboveAverage="0" equalAverage="0" bottom="0" percent="0" rank="0" text="" dxfId="2">
      <formula>AND(A10&gt;TODAY(),A11&lt;&gt;"")</formula>
    </cfRule>
  </conditionalFormatting>
  <conditionalFormatting sqref="B10:B12">
    <cfRule type="expression" priority="5" aboveAverage="0" equalAverage="0" bottom="0" percent="0" rank="0" text="" dxfId="0">
      <formula>AND(B10=TODAY())</formula>
    </cfRule>
    <cfRule type="expression" priority="6" aboveAverage="0" equalAverage="0" bottom="0" percent="0" rank="0" text="" dxfId="1">
      <formula>AND(B10&lt;TODAY(),B11&lt;&gt;"")</formula>
    </cfRule>
    <cfRule type="expression" priority="7" aboveAverage="0" equalAverage="0" bottom="0" percent="0" rank="0" text="" dxfId="2">
      <formula>AND(B10&gt;TODAY(),B11&lt;&gt;"")</formula>
    </cfRule>
  </conditionalFormatting>
  <conditionalFormatting sqref="C10:C12">
    <cfRule type="expression" priority="8" aboveAverage="0" equalAverage="0" bottom="0" percent="0" rank="0" text="" dxfId="0">
      <formula>AND(C10=TODAY())</formula>
    </cfRule>
    <cfRule type="expression" priority="9" aboveAverage="0" equalAverage="0" bottom="0" percent="0" rank="0" text="" dxfId="1">
      <formula>AND(C10&lt;TODAY(),C11&lt;&gt;"")</formula>
    </cfRule>
    <cfRule type="expression" priority="10" aboveAverage="0" equalAverage="0" bottom="0" percent="0" rank="0" text="" dxfId="2">
      <formula>AND(C10&gt;TODAY(),C11&lt;&gt;"")</formula>
    </cfRule>
  </conditionalFormatting>
  <conditionalFormatting sqref="D10:D12">
    <cfRule type="expression" priority="11" aboveAverage="0" equalAverage="0" bottom="0" percent="0" rank="0" text="" dxfId="0">
      <formula>AND(D10=TODAY())</formula>
    </cfRule>
    <cfRule type="expression" priority="12" aboveAverage="0" equalAverage="0" bottom="0" percent="0" rank="0" text="" dxfId="1">
      <formula>AND(D10&lt;TODAY(),D11&lt;&gt;"")</formula>
    </cfRule>
    <cfRule type="expression" priority="13" aboveAverage="0" equalAverage="0" bottom="0" percent="0" rank="0" text="" dxfId="2">
      <formula>AND(D10&gt;TODAY(),D11&lt;&gt;"")</formula>
    </cfRule>
  </conditionalFormatting>
  <conditionalFormatting sqref="E10:E12">
    <cfRule type="expression" priority="14" aboveAverage="0" equalAverage="0" bottom="0" percent="0" rank="0" text="" dxfId="0">
      <formula>AND(E10=TODAY())</formula>
    </cfRule>
    <cfRule type="expression" priority="15" aboveAverage="0" equalAverage="0" bottom="0" percent="0" rank="0" text="" dxfId="1">
      <formula>AND(E10&lt;TODAY(),E11&lt;&gt;"")</formula>
    </cfRule>
    <cfRule type="expression" priority="16" aboveAverage="0" equalAverage="0" bottom="0" percent="0" rank="0" text="" dxfId="2">
      <formula>AND(E10&gt;TODAY(),E11&lt;&gt;"")</formula>
    </cfRule>
  </conditionalFormatting>
  <conditionalFormatting sqref="F10:F12">
    <cfRule type="expression" priority="17" aboveAverage="0" equalAverage="0" bottom="0" percent="0" rank="0" text="" dxfId="0">
      <formula>AND(F10=TODAY())</formula>
    </cfRule>
    <cfRule type="expression" priority="18" aboveAverage="0" equalAverage="0" bottom="0" percent="0" rank="0" text="" dxfId="1">
      <formula>AND(F10&lt;TODAY(),F11&lt;&gt;"")</formula>
    </cfRule>
    <cfRule type="expression" priority="19" aboveAverage="0" equalAverage="0" bottom="0" percent="0" rank="0" text="" dxfId="2">
      <formula>AND(F10&gt;TODAY(),F11&lt;&gt;"")</formula>
    </cfRule>
  </conditionalFormatting>
  <conditionalFormatting sqref="G10:G12">
    <cfRule type="expression" priority="20" aboveAverage="0" equalAverage="0" bottom="0" percent="0" rank="0" text="" dxfId="0">
      <formula>AND(G10=TODAY())</formula>
    </cfRule>
    <cfRule type="expression" priority="21" aboveAverage="0" equalAverage="0" bottom="0" percent="0" rank="0" text="" dxfId="1">
      <formula>AND(G10&lt;TODAY(),G11&lt;&gt;"")</formula>
    </cfRule>
    <cfRule type="expression" priority="22" aboveAverage="0" equalAverage="0" bottom="0" percent="0" rank="0" text="" dxfId="2">
      <formula>AND(G10&gt;TODAY(),G11&lt;&gt;"")</formula>
    </cfRule>
  </conditionalFormatting>
  <conditionalFormatting sqref="A13:A15">
    <cfRule type="expression" priority="23" aboveAverage="0" equalAverage="0" bottom="0" percent="0" rank="0" text="" dxfId="0">
      <formula>AND(A13=TODAY())</formula>
    </cfRule>
    <cfRule type="expression" priority="24" aboveAverage="0" equalAverage="0" bottom="0" percent="0" rank="0" text="" dxfId="1">
      <formula>AND(A13&lt;TODAY(),A14&lt;&gt;"")</formula>
    </cfRule>
    <cfRule type="expression" priority="25" aboveAverage="0" equalAverage="0" bottom="0" percent="0" rank="0" text="" dxfId="2">
      <formula>AND(A13&gt;TODAY(),A14&lt;&gt;"")</formula>
    </cfRule>
  </conditionalFormatting>
  <conditionalFormatting sqref="B13:B15">
    <cfRule type="expression" priority="26" aboveAverage="0" equalAverage="0" bottom="0" percent="0" rank="0" text="" dxfId="0">
      <formula>AND(B13=TODAY())</formula>
    </cfRule>
    <cfRule type="expression" priority="27" aboveAverage="0" equalAverage="0" bottom="0" percent="0" rank="0" text="" dxfId="1">
      <formula>AND(B13&lt;TODAY(),B14&lt;&gt;"")</formula>
    </cfRule>
    <cfRule type="expression" priority="28" aboveAverage="0" equalAverage="0" bottom="0" percent="0" rank="0" text="" dxfId="2">
      <formula>AND(B13&gt;TODAY(),B14&lt;&gt;"")</formula>
    </cfRule>
  </conditionalFormatting>
  <conditionalFormatting sqref="C13:C15">
    <cfRule type="expression" priority="29" aboveAverage="0" equalAverage="0" bottom="0" percent="0" rank="0" text="" dxfId="0">
      <formula>AND(C13=TODAY())</formula>
    </cfRule>
    <cfRule type="expression" priority="30" aboveAverage="0" equalAverage="0" bottom="0" percent="0" rank="0" text="" dxfId="1">
      <formula>AND(C13&lt;TODAY(),C14&lt;&gt;"")</formula>
    </cfRule>
    <cfRule type="expression" priority="31" aboveAverage="0" equalAverage="0" bottom="0" percent="0" rank="0" text="" dxfId="2">
      <formula>AND(C13&gt;TODAY(),C14&lt;&gt;"")</formula>
    </cfRule>
  </conditionalFormatting>
  <conditionalFormatting sqref="D13:D15">
    <cfRule type="expression" priority="32" aboveAverage="0" equalAverage="0" bottom="0" percent="0" rank="0" text="" dxfId="0">
      <formula>AND(D13=TODAY())</formula>
    </cfRule>
    <cfRule type="expression" priority="33" aboveAverage="0" equalAverage="0" bottom="0" percent="0" rank="0" text="" dxfId="1">
      <formula>AND(D13&lt;TODAY(),D14&lt;&gt;"")</formula>
    </cfRule>
    <cfRule type="expression" priority="34" aboveAverage="0" equalAverage="0" bottom="0" percent="0" rank="0" text="" dxfId="2">
      <formula>AND(D13&gt;TODAY(),D14&lt;&gt;"")</formula>
    </cfRule>
  </conditionalFormatting>
  <conditionalFormatting sqref="E13:E15">
    <cfRule type="expression" priority="35" aboveAverage="0" equalAverage="0" bottom="0" percent="0" rank="0" text="" dxfId="0">
      <formula>AND(E13=TODAY())</formula>
    </cfRule>
    <cfRule type="expression" priority="36" aboveAverage="0" equalAverage="0" bottom="0" percent="0" rank="0" text="" dxfId="1">
      <formula>AND(E13&lt;TODAY(),E14&lt;&gt;"")</formula>
    </cfRule>
    <cfRule type="expression" priority="37" aboveAverage="0" equalAverage="0" bottom="0" percent="0" rank="0" text="" dxfId="2">
      <formula>AND(E13&gt;TODAY(),E14&lt;&gt;"")</formula>
    </cfRule>
  </conditionalFormatting>
  <conditionalFormatting sqref="F13:F15">
    <cfRule type="expression" priority="38" aboveAverage="0" equalAverage="0" bottom="0" percent="0" rank="0" text="" dxfId="0">
      <formula>AND(F13=TODAY())</formula>
    </cfRule>
    <cfRule type="expression" priority="39" aboveAverage="0" equalAverage="0" bottom="0" percent="0" rank="0" text="" dxfId="1">
      <formula>AND(F13&lt;TODAY(),F14&lt;&gt;"")</formula>
    </cfRule>
    <cfRule type="expression" priority="40" aboveAverage="0" equalAverage="0" bottom="0" percent="0" rank="0" text="" dxfId="2">
      <formula>AND(F13&gt;TODAY(),F14&lt;&gt;"")</formula>
    </cfRule>
  </conditionalFormatting>
  <conditionalFormatting sqref="G13:G15">
    <cfRule type="expression" priority="41" aboveAverage="0" equalAverage="0" bottom="0" percent="0" rank="0" text="" dxfId="0">
      <formula>AND(G13=TODAY())</formula>
    </cfRule>
    <cfRule type="expression" priority="42" aboveAverage="0" equalAverage="0" bottom="0" percent="0" rank="0" text="" dxfId="1">
      <formula>AND(G13&lt;TODAY(),G14&lt;&gt;"")</formula>
    </cfRule>
    <cfRule type="expression" priority="43" aboveAverage="0" equalAverage="0" bottom="0" percent="0" rank="0" text="" dxfId="2">
      <formula>AND(G13&gt;TODAY(),G14&lt;&gt;"")</formula>
    </cfRule>
  </conditionalFormatting>
  <conditionalFormatting sqref="A16:A18">
    <cfRule type="expression" priority="44" aboveAverage="0" equalAverage="0" bottom="0" percent="0" rank="0" text="" dxfId="0">
      <formula>AND(A16=TODAY())</formula>
    </cfRule>
    <cfRule type="expression" priority="45" aboveAverage="0" equalAverage="0" bottom="0" percent="0" rank="0" text="" dxfId="1">
      <formula>AND(A16&lt;TODAY(),A17&lt;&gt;"")</formula>
    </cfRule>
    <cfRule type="expression" priority="46" aboveAverage="0" equalAverage="0" bottom="0" percent="0" rank="0" text="" dxfId="2">
      <formula>AND(A16&gt;TODAY(),A17&lt;&gt;"")</formula>
    </cfRule>
  </conditionalFormatting>
  <conditionalFormatting sqref="B16:B18">
    <cfRule type="expression" priority="47" aboveAverage="0" equalAverage="0" bottom="0" percent="0" rank="0" text="" dxfId="0">
      <formula>AND(B16=TODAY())</formula>
    </cfRule>
    <cfRule type="expression" priority="48" aboveAverage="0" equalAverage="0" bottom="0" percent="0" rank="0" text="" dxfId="1">
      <formula>AND(B16&lt;TODAY(),B17&lt;&gt;"")</formula>
    </cfRule>
    <cfRule type="expression" priority="49" aboveAverage="0" equalAverage="0" bottom="0" percent="0" rank="0" text="" dxfId="2">
      <formula>AND(B16&gt;TODAY(),B17&lt;&gt;"")</formula>
    </cfRule>
  </conditionalFormatting>
  <conditionalFormatting sqref="C16:C18">
    <cfRule type="expression" priority="50" aboveAverage="0" equalAverage="0" bottom="0" percent="0" rank="0" text="" dxfId="0">
      <formula>AND(C16=TODAY())</formula>
    </cfRule>
    <cfRule type="expression" priority="51" aboveAverage="0" equalAverage="0" bottom="0" percent="0" rank="0" text="" dxfId="1">
      <formula>AND(C16&lt;TODAY(),C17&lt;&gt;"")</formula>
    </cfRule>
    <cfRule type="expression" priority="52" aboveAverage="0" equalAverage="0" bottom="0" percent="0" rank="0" text="" dxfId="2">
      <formula>AND(C16&gt;TODAY(),C17&lt;&gt;"")</formula>
    </cfRule>
  </conditionalFormatting>
  <conditionalFormatting sqref="D16:D18">
    <cfRule type="expression" priority="53" aboveAverage="0" equalAverage="0" bottom="0" percent="0" rank="0" text="" dxfId="0">
      <formula>AND(D16=TODAY())</formula>
    </cfRule>
    <cfRule type="expression" priority="54" aboveAverage="0" equalAverage="0" bottom="0" percent="0" rank="0" text="" dxfId="1">
      <formula>AND(D16&lt;TODAY(),D17&lt;&gt;"")</formula>
    </cfRule>
    <cfRule type="expression" priority="55" aboveAverage="0" equalAverage="0" bottom="0" percent="0" rank="0" text="" dxfId="2">
      <formula>AND(D16&gt;TODAY(),D17&lt;&gt;"")</formula>
    </cfRule>
  </conditionalFormatting>
  <conditionalFormatting sqref="E16:E18">
    <cfRule type="expression" priority="56" aboveAverage="0" equalAverage="0" bottom="0" percent="0" rank="0" text="" dxfId="0">
      <formula>AND(E16=TODAY())</formula>
    </cfRule>
    <cfRule type="expression" priority="57" aboveAverage="0" equalAverage="0" bottom="0" percent="0" rank="0" text="" dxfId="1">
      <formula>AND(E16&lt;TODAY(),E17&lt;&gt;"")</formula>
    </cfRule>
    <cfRule type="expression" priority="58" aboveAverage="0" equalAverage="0" bottom="0" percent="0" rank="0" text="" dxfId="2">
      <formula>AND(E16&gt;TODAY(),E17&lt;&gt;"")</formula>
    </cfRule>
  </conditionalFormatting>
  <conditionalFormatting sqref="F16:F18">
    <cfRule type="expression" priority="59" aboveAverage="0" equalAverage="0" bottom="0" percent="0" rank="0" text="" dxfId="0">
      <formula>AND(F16=TODAY())</formula>
    </cfRule>
    <cfRule type="expression" priority="60" aboveAverage="0" equalAverage="0" bottom="0" percent="0" rank="0" text="" dxfId="1">
      <formula>AND(F16&lt;TODAY(),F17&lt;&gt;"")</formula>
    </cfRule>
    <cfRule type="expression" priority="61" aboveAverage="0" equalAverage="0" bottom="0" percent="0" rank="0" text="" dxfId="2">
      <formula>AND(F16&gt;TODAY(),F17&lt;&gt;"")</formula>
    </cfRule>
  </conditionalFormatting>
  <conditionalFormatting sqref="G16:G18">
    <cfRule type="expression" priority="62" aboveAverage="0" equalAverage="0" bottom="0" percent="0" rank="0" text="" dxfId="0">
      <formula>AND(G16=TODAY())</formula>
    </cfRule>
    <cfRule type="expression" priority="63" aboveAverage="0" equalAverage="0" bottom="0" percent="0" rank="0" text="" dxfId="1">
      <formula>AND(G16&lt;TODAY(),G17&lt;&gt;"")</formula>
    </cfRule>
    <cfRule type="expression" priority="64" aboveAverage="0" equalAverage="0" bottom="0" percent="0" rank="0" text="" dxfId="2">
      <formula>AND(G16&gt;TODAY(),G17&lt;&gt;"")</formula>
    </cfRule>
  </conditionalFormatting>
  <conditionalFormatting sqref="A19:A21">
    <cfRule type="expression" priority="65" aboveAverage="0" equalAverage="0" bottom="0" percent="0" rank="0" text="" dxfId="0">
      <formula>AND(A19=TODAY())</formula>
    </cfRule>
    <cfRule type="expression" priority="66" aboveAverage="0" equalAverage="0" bottom="0" percent="0" rank="0" text="" dxfId="1">
      <formula>AND(A19&lt;TODAY(),A20&lt;&gt;"")</formula>
    </cfRule>
    <cfRule type="expression" priority="67" aboveAverage="0" equalAverage="0" bottom="0" percent="0" rank="0" text="" dxfId="2">
      <formula>AND(A19&gt;TODAY(),A20&lt;&gt;"")</formula>
    </cfRule>
  </conditionalFormatting>
  <conditionalFormatting sqref="B19:B21">
    <cfRule type="expression" priority="68" aboveAverage="0" equalAverage="0" bottom="0" percent="0" rank="0" text="" dxfId="0">
      <formula>AND(B19=TODAY())</formula>
    </cfRule>
    <cfRule type="expression" priority="69" aboveAverage="0" equalAverage="0" bottom="0" percent="0" rank="0" text="" dxfId="1">
      <formula>AND(B19&lt;TODAY(),B20&lt;&gt;"")</formula>
    </cfRule>
    <cfRule type="expression" priority="70" aboveAverage="0" equalAverage="0" bottom="0" percent="0" rank="0" text="" dxfId="2">
      <formula>AND(B19&gt;TODAY(),B20&lt;&gt;"")</formula>
    </cfRule>
  </conditionalFormatting>
  <conditionalFormatting sqref="C19:C21">
    <cfRule type="expression" priority="71" aboveAverage="0" equalAverage="0" bottom="0" percent="0" rank="0" text="" dxfId="0">
      <formula>AND(C19=TODAY())</formula>
    </cfRule>
    <cfRule type="expression" priority="72" aboveAverage="0" equalAverage="0" bottom="0" percent="0" rank="0" text="" dxfId="1">
      <formula>AND(C19&lt;TODAY(),C20&lt;&gt;"")</formula>
    </cfRule>
    <cfRule type="expression" priority="73" aboveAverage="0" equalAverage="0" bottom="0" percent="0" rank="0" text="" dxfId="2">
      <formula>AND(C19&gt;TODAY(),C20&lt;&gt;"")</formula>
    </cfRule>
  </conditionalFormatting>
  <conditionalFormatting sqref="D19:D21">
    <cfRule type="expression" priority="74" aboveAverage="0" equalAverage="0" bottom="0" percent="0" rank="0" text="" dxfId="0">
      <formula>AND(D19=TODAY())</formula>
    </cfRule>
    <cfRule type="expression" priority="75" aboveAverage="0" equalAverage="0" bottom="0" percent="0" rank="0" text="" dxfId="1">
      <formula>AND(D19&lt;TODAY(),D20&lt;&gt;"")</formula>
    </cfRule>
    <cfRule type="expression" priority="76" aboveAverage="0" equalAverage="0" bottom="0" percent="0" rank="0" text="" dxfId="2">
      <formula>AND(D19&gt;TODAY(),D20&lt;&gt;"")</formula>
    </cfRule>
  </conditionalFormatting>
  <conditionalFormatting sqref="E19:E21">
    <cfRule type="expression" priority="77" aboveAverage="0" equalAverage="0" bottom="0" percent="0" rank="0" text="" dxfId="0">
      <formula>AND(E19=TODAY())</formula>
    </cfRule>
    <cfRule type="expression" priority="78" aboveAverage="0" equalAverage="0" bottom="0" percent="0" rank="0" text="" dxfId="1">
      <formula>AND(E19&lt;TODAY(),E20&lt;&gt;"")</formula>
    </cfRule>
    <cfRule type="expression" priority="79" aboveAverage="0" equalAverage="0" bottom="0" percent="0" rank="0" text="" dxfId="2">
      <formula>AND(E19&gt;TODAY(),E20&lt;&gt;"")</formula>
    </cfRule>
  </conditionalFormatting>
  <conditionalFormatting sqref="F19:F21">
    <cfRule type="expression" priority="80" aboveAverage="0" equalAverage="0" bottom="0" percent="0" rank="0" text="" dxfId="0">
      <formula>AND(F19=TODAY())</formula>
    </cfRule>
    <cfRule type="expression" priority="81" aboveAverage="0" equalAverage="0" bottom="0" percent="0" rank="0" text="" dxfId="1">
      <formula>AND(F19&lt;TODAY(),F20&lt;&gt;"")</formula>
    </cfRule>
    <cfRule type="expression" priority="82" aboveAverage="0" equalAverage="0" bottom="0" percent="0" rank="0" text="" dxfId="2">
      <formula>AND(F19&gt;TODAY(),F20&lt;&gt;"")</formula>
    </cfRule>
  </conditionalFormatting>
  <conditionalFormatting sqref="G19:G21">
    <cfRule type="expression" priority="83" aboveAverage="0" equalAverage="0" bottom="0" percent="0" rank="0" text="" dxfId="0">
      <formula>AND(G19=TODAY())</formula>
    </cfRule>
    <cfRule type="expression" priority="84" aboveAverage="0" equalAverage="0" bottom="0" percent="0" rank="0" text="" dxfId="1">
      <formula>AND(G19&lt;TODAY(),G20&lt;&gt;"")</formula>
    </cfRule>
    <cfRule type="expression" priority="85" aboveAverage="0" equalAverage="0" bottom="0" percent="0" rank="0" text="" dxfId="2">
      <formula>AND(G19&gt;TODAY(),G20&lt;&gt;"")</formula>
    </cfRule>
  </conditionalFormatting>
  <conditionalFormatting sqref="A22:A24">
    <cfRule type="expression" priority="86" aboveAverage="0" equalAverage="0" bottom="0" percent="0" rank="0" text="" dxfId="0">
      <formula>AND(A22=TODAY())</formula>
    </cfRule>
    <cfRule type="expression" priority="87" aboveAverage="0" equalAverage="0" bottom="0" percent="0" rank="0" text="" dxfId="1">
      <formula>AND(A22&lt;TODAY(),A23&lt;&gt;"")</formula>
    </cfRule>
    <cfRule type="expression" priority="88" aboveAverage="0" equalAverage="0" bottom="0" percent="0" rank="0" text="" dxfId="2">
      <formula>AND(A22&gt;TODAY(),A23&lt;&gt;"")</formula>
    </cfRule>
  </conditionalFormatting>
  <conditionalFormatting sqref="B22:B24">
    <cfRule type="expression" priority="89" aboveAverage="0" equalAverage="0" bottom="0" percent="0" rank="0" text="" dxfId="0">
      <formula>AND(B22=TODAY())</formula>
    </cfRule>
    <cfRule type="expression" priority="90" aboveAverage="0" equalAverage="0" bottom="0" percent="0" rank="0" text="" dxfId="1">
      <formula>AND(B22&lt;TODAY(),B23&lt;&gt;"")</formula>
    </cfRule>
    <cfRule type="expression" priority="91" aboveAverage="0" equalAverage="0" bottom="0" percent="0" rank="0" text="" dxfId="2">
      <formula>AND(B22&gt;TODAY(),B23&lt;&gt;"")</formula>
    </cfRule>
  </conditionalFormatting>
  <conditionalFormatting sqref="C22:C24">
    <cfRule type="expression" priority="92" aboveAverage="0" equalAverage="0" bottom="0" percent="0" rank="0" text="" dxfId="0">
      <formula>AND(C22=TODAY())</formula>
    </cfRule>
    <cfRule type="expression" priority="93" aboveAverage="0" equalAverage="0" bottom="0" percent="0" rank="0" text="" dxfId="1">
      <formula>AND(C22&lt;TODAY(),C23&lt;&gt;"")</formula>
    </cfRule>
    <cfRule type="expression" priority="94" aboveAverage="0" equalAverage="0" bottom="0" percent="0" rank="0" text="" dxfId="2">
      <formula>AND(C22&gt;TODAY(),C23&lt;&gt;"")</formula>
    </cfRule>
  </conditionalFormatting>
  <conditionalFormatting sqref="D22:D24">
    <cfRule type="expression" priority="95" aboveAverage="0" equalAverage="0" bottom="0" percent="0" rank="0" text="" dxfId="0">
      <formula>AND(D22=TODAY())</formula>
    </cfRule>
    <cfRule type="expression" priority="96" aboveAverage="0" equalAverage="0" bottom="0" percent="0" rank="0" text="" dxfId="1">
      <formula>AND(D22&lt;TODAY(),D23&lt;&gt;"")</formula>
    </cfRule>
    <cfRule type="expression" priority="97" aboveAverage="0" equalAverage="0" bottom="0" percent="0" rank="0" text="" dxfId="2">
      <formula>AND(D22&gt;TODAY(),D23&lt;&gt;"")</formula>
    </cfRule>
  </conditionalFormatting>
  <conditionalFormatting sqref="E22:E24">
    <cfRule type="expression" priority="98" aboveAverage="0" equalAverage="0" bottom="0" percent="0" rank="0" text="" dxfId="0">
      <formula>AND(E22=TODAY())</formula>
    </cfRule>
    <cfRule type="expression" priority="99" aboveAverage="0" equalAverage="0" bottom="0" percent="0" rank="0" text="" dxfId="1">
      <formula>AND(E22&lt;TODAY(),E23&lt;&gt;"")</formula>
    </cfRule>
    <cfRule type="expression" priority="100" aboveAverage="0" equalAverage="0" bottom="0" percent="0" rank="0" text="" dxfId="2">
      <formula>AND(E22&gt;TODAY(),E23&lt;&gt;"")</formula>
    </cfRule>
  </conditionalFormatting>
  <conditionalFormatting sqref="F22:F24">
    <cfRule type="expression" priority="101" aboveAverage="0" equalAverage="0" bottom="0" percent="0" rank="0" text="" dxfId="0">
      <formula>AND(F22=TODAY())</formula>
    </cfRule>
    <cfRule type="expression" priority="102" aboveAverage="0" equalAverage="0" bottom="0" percent="0" rank="0" text="" dxfId="1">
      <formula>AND(F22&lt;TODAY(),F23&lt;&gt;"")</formula>
    </cfRule>
    <cfRule type="expression" priority="103" aboveAverage="0" equalAverage="0" bottom="0" percent="0" rank="0" text="" dxfId="2">
      <formula>AND(F22&gt;TODAY(),F23&lt;&gt;"")</formula>
    </cfRule>
  </conditionalFormatting>
  <conditionalFormatting sqref="G22:G24">
    <cfRule type="expression" priority="104" aboveAverage="0" equalAverage="0" bottom="0" percent="0" rank="0" text="" dxfId="0">
      <formula>AND(G22=TODAY())</formula>
    </cfRule>
    <cfRule type="expression" priority="105" aboveAverage="0" equalAverage="0" bottom="0" percent="0" rank="0" text="" dxfId="1">
      <formula>AND(G22&lt;TODAY(),G23&lt;&gt;"")</formula>
    </cfRule>
    <cfRule type="expression" priority="106" aboveAverage="0" equalAverage="0" bottom="0" percent="0" rank="0" text="" dxfId="2">
      <formula>AND(G22&gt;TODAY(),G23&lt;&gt;"")</formula>
    </cfRule>
  </conditionalFormatting>
  <conditionalFormatting sqref="A25:A27">
    <cfRule type="expression" priority="107" aboveAverage="0" equalAverage="0" bottom="0" percent="0" rank="0" text="" dxfId="0">
      <formula>AND(A25=TODAY())</formula>
    </cfRule>
    <cfRule type="expression" priority="108" aboveAverage="0" equalAverage="0" bottom="0" percent="0" rank="0" text="" dxfId="1">
      <formula>AND(A25&lt;TODAY(),A26&lt;&gt;"")</formula>
    </cfRule>
    <cfRule type="expression" priority="109" aboveAverage="0" equalAverage="0" bottom="0" percent="0" rank="0" text="" dxfId="2">
      <formula>AND(A25&gt;TODAY(),A26&lt;&gt;"")</formula>
    </cfRule>
  </conditionalFormatting>
  <conditionalFormatting sqref="B25:B27">
    <cfRule type="expression" priority="110" aboveAverage="0" equalAverage="0" bottom="0" percent="0" rank="0" text="" dxfId="0">
      <formula>AND(B25=TODAY())</formula>
    </cfRule>
    <cfRule type="expression" priority="111" aboveAverage="0" equalAverage="0" bottom="0" percent="0" rank="0" text="" dxfId="1">
      <formula>AND(B25&lt;TODAY(),B26&lt;&gt;"")</formula>
    </cfRule>
    <cfRule type="expression" priority="112" aboveAverage="0" equalAverage="0" bottom="0" percent="0" rank="0" text="" dxfId="2">
      <formula>AND(B25&gt;TODAY(),B26&lt;&gt;"")</formula>
    </cfRule>
  </conditionalFormatting>
  <conditionalFormatting sqref="C25:C27">
    <cfRule type="expression" priority="113" aboveAverage="0" equalAverage="0" bottom="0" percent="0" rank="0" text="" dxfId="0">
      <formula>AND(C25=TODAY())</formula>
    </cfRule>
    <cfRule type="expression" priority="114" aboveAverage="0" equalAverage="0" bottom="0" percent="0" rank="0" text="" dxfId="1">
      <formula>AND(C25&lt;TODAY(),C26&lt;&gt;"")</formula>
    </cfRule>
    <cfRule type="expression" priority="115" aboveAverage="0" equalAverage="0" bottom="0" percent="0" rank="0" text="" dxfId="2">
      <formula>AND(C25&gt;TODAY(),C26&lt;&gt;"")</formula>
    </cfRule>
  </conditionalFormatting>
  <conditionalFormatting sqref="D25:D27">
    <cfRule type="expression" priority="116" aboveAverage="0" equalAverage="0" bottom="0" percent="0" rank="0" text="" dxfId="0">
      <formula>AND(D25=TODAY())</formula>
    </cfRule>
    <cfRule type="expression" priority="117" aboveAverage="0" equalAverage="0" bottom="0" percent="0" rank="0" text="" dxfId="1">
      <formula>AND(D25&lt;TODAY(),D26&lt;&gt;"")</formula>
    </cfRule>
    <cfRule type="expression" priority="118" aboveAverage="0" equalAverage="0" bottom="0" percent="0" rank="0" text="" dxfId="2">
      <formula>AND(D25&gt;TODAY(),D26&lt;&gt;"")</formula>
    </cfRule>
  </conditionalFormatting>
  <conditionalFormatting sqref="E25:E27">
    <cfRule type="expression" priority="119" aboveAverage="0" equalAverage="0" bottom="0" percent="0" rank="0" text="" dxfId="0">
      <formula>AND(E25=TODAY())</formula>
    </cfRule>
    <cfRule type="expression" priority="120" aboveAverage="0" equalAverage="0" bottom="0" percent="0" rank="0" text="" dxfId="1">
      <formula>AND(E25&lt;TODAY(),E26&lt;&gt;"")</formula>
    </cfRule>
    <cfRule type="expression" priority="121" aboveAverage="0" equalAverage="0" bottom="0" percent="0" rank="0" text="" dxfId="2">
      <formula>AND(E25&gt;TODAY(),E26&lt;&gt;"")</formula>
    </cfRule>
  </conditionalFormatting>
  <conditionalFormatting sqref="F25:F27">
    <cfRule type="expression" priority="122" aboveAverage="0" equalAverage="0" bottom="0" percent="0" rank="0" text="" dxfId="0">
      <formula>AND(F25=TODAY())</formula>
    </cfRule>
    <cfRule type="expression" priority="123" aboveAverage="0" equalAverage="0" bottom="0" percent="0" rank="0" text="" dxfId="1">
      <formula>AND(F25&lt;TODAY(),F26&lt;&gt;"")</formula>
    </cfRule>
    <cfRule type="expression" priority="124" aboveAverage="0" equalAverage="0" bottom="0" percent="0" rank="0" text="" dxfId="2">
      <formula>AND(F25&gt;TODAY(),F26&lt;&gt;"")</formula>
    </cfRule>
  </conditionalFormatting>
  <conditionalFormatting sqref="G25:G27">
    <cfRule type="expression" priority="125" aboveAverage="0" equalAverage="0" bottom="0" percent="0" rank="0" text="" dxfId="0">
      <formula>AND(G25=TODAY())</formula>
    </cfRule>
    <cfRule type="expression" priority="126" aboveAverage="0" equalAverage="0" bottom="0" percent="0" rank="0" text="" dxfId="1">
      <formula>AND(G25&lt;TODAY(),G26&lt;&gt;"")</formula>
    </cfRule>
    <cfRule type="expression" priority="127" aboveAverage="0" equalAverage="0" bottom="0" percent="0" rank="0" text="" dxfId="2">
      <formula>AND(G25&gt;TODAY(),G26&lt;&gt;"")</formula>
    </cfRule>
  </conditionalFormatting>
  <conditionalFormatting sqref="B31:B50">
    <cfRule type="expression" priority="128" aboveAverage="0" equalAverage="0" bottom="0" percent="0" rank="0" text="" dxfId="1">
      <formula>AND(B31&lt;TODAY(),B31&lt;&gt;"")</formula>
    </cfRule>
  </conditionalFormatting>
  <dataValidations count="2">
    <dataValidation allowBlank="true" errorStyle="stop" operator="between" showDropDown="false" showErrorMessage="false" showInputMessage="false" sqref="B3" type="list">
      <formula1>MonthNames</formula1>
      <formula2>0</formula2>
    </dataValidation>
    <dataValidation allowBlank="true" errorStyle="stop" operator="between" showDropDown="false" showErrorMessage="false" showInputMessage="false" sqref="B5:F5" type="list">
      <formula1>TrueFalse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3F0"/>
    <pageSetUpPr fitToPage="false"/>
  </sheetPr>
  <dimension ref="A1:J8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49" t="s">
        <v>119</v>
      </c>
      <c r="B1" s="49"/>
      <c r="C1" s="49"/>
      <c r="D1" s="49"/>
      <c r="E1" s="49"/>
      <c r="F1" s="49"/>
    </row>
    <row r="2" customFormat="false" ht="15" hidden="false" customHeight="false" outlineLevel="0" collapsed="false">
      <c r="A2" s="50" t="s">
        <v>120</v>
      </c>
      <c r="B2" s="50"/>
      <c r="C2" s="50"/>
      <c r="D2" s="50"/>
      <c r="E2" s="50"/>
      <c r="F2" s="50"/>
    </row>
    <row r="4" customFormat="false" ht="19.5" hidden="false" customHeight="true" outlineLevel="0" collapsed="false">
      <c r="A4" s="51" t="s">
        <v>58</v>
      </c>
      <c r="B4" s="51" t="s">
        <v>121</v>
      </c>
      <c r="C4" s="51" t="s">
        <v>113</v>
      </c>
      <c r="D4" s="51" t="s">
        <v>122</v>
      </c>
      <c r="E4" s="51" t="s">
        <v>123</v>
      </c>
      <c r="F4" s="51" t="s">
        <v>124</v>
      </c>
      <c r="H4" s="52" t="s">
        <v>125</v>
      </c>
      <c r="I4" s="52"/>
      <c r="J4" s="52"/>
    </row>
    <row r="5" customFormat="false" ht="19.5" hidden="false" customHeight="true" outlineLevel="0" collapsed="false">
      <c r="A5" s="53" t="n">
        <f aca="false">FALSE()</f>
        <v>0</v>
      </c>
      <c r="B5" s="54" t="s">
        <v>126</v>
      </c>
      <c r="C5" s="48" t="n">
        <f aca="false">'Get Started'!$C$4-400+-5</f>
        <v>46147</v>
      </c>
      <c r="D5" s="47" t="s">
        <v>66</v>
      </c>
      <c r="E5" s="47" t="s">
        <v>127</v>
      </c>
      <c r="F5" s="47" t="s">
        <v>128</v>
      </c>
      <c r="H5" s="51" t="s">
        <v>124</v>
      </c>
      <c r="I5" s="51" t="s">
        <v>129</v>
      </c>
      <c r="J5" s="51" t="s">
        <v>77</v>
      </c>
    </row>
    <row r="6" customFormat="false" ht="15" hidden="false" customHeight="false" outlineLevel="0" collapsed="false">
      <c r="A6" s="55" t="n">
        <f aca="false">FALSE()</f>
        <v>0</v>
      </c>
      <c r="B6" s="56" t="s">
        <v>130</v>
      </c>
      <c r="C6" s="46" t="n">
        <f aca="false">'Get Started'!$C$4-400+-5</f>
        <v>46147</v>
      </c>
      <c r="D6" s="45" t="s">
        <v>66</v>
      </c>
      <c r="E6" s="45" t="s">
        <v>127</v>
      </c>
      <c r="F6" s="45" t="s">
        <v>128</v>
      </c>
      <c r="H6" s="57" t="s">
        <v>128</v>
      </c>
      <c r="I6" s="58" t="n">
        <f aca="false">COUNTIFS(A5:A91,TRUE())/COUNTA(B5:B91)</f>
        <v>0</v>
      </c>
      <c r="J6" s="57" t="n">
        <f aca="false">COUNTA(B5:B91)</f>
        <v>87</v>
      </c>
    </row>
    <row r="7" customFormat="false" ht="15" hidden="false" customHeight="false" outlineLevel="0" collapsed="false">
      <c r="A7" s="53" t="n">
        <f aca="false">FALSE()</f>
        <v>0</v>
      </c>
      <c r="B7" s="54" t="s">
        <v>131</v>
      </c>
      <c r="C7" s="48" t="n">
        <f aca="false">'Get Started'!$C$4-400+-5</f>
        <v>46147</v>
      </c>
      <c r="D7" s="47" t="s">
        <v>66</v>
      </c>
      <c r="E7" s="47" t="s">
        <v>127</v>
      </c>
      <c r="F7" s="47" t="s">
        <v>128</v>
      </c>
      <c r="H7" s="57" t="s">
        <v>132</v>
      </c>
      <c r="I7" s="58" t="n">
        <f aca="false">COUNTIFS(A92:A192,TRUE())/COUNTA(B92:B192)</f>
        <v>0</v>
      </c>
      <c r="J7" s="57" t="n">
        <f aca="false">COUNTA(B92:B192)</f>
        <v>101</v>
      </c>
    </row>
    <row r="8" customFormat="false" ht="15" hidden="false" customHeight="false" outlineLevel="0" collapsed="false">
      <c r="A8" s="55" t="n">
        <f aca="false">FALSE()</f>
        <v>0</v>
      </c>
      <c r="B8" s="56" t="s">
        <v>133</v>
      </c>
      <c r="C8" s="46" t="n">
        <f aca="false">'Get Started'!$C$4-400+-5</f>
        <v>46147</v>
      </c>
      <c r="D8" s="45" t="s">
        <v>66</v>
      </c>
      <c r="E8" s="45" t="s">
        <v>127</v>
      </c>
      <c r="F8" s="45" t="s">
        <v>128</v>
      </c>
      <c r="H8" s="57" t="s">
        <v>134</v>
      </c>
      <c r="I8" s="58" t="n">
        <f aca="false">COUNTIFS(A193:A324,TRUE())/COUNTA(B193:B324)</f>
        <v>0</v>
      </c>
      <c r="J8" s="57" t="n">
        <f aca="false">COUNTA(B193:B324)</f>
        <v>132</v>
      </c>
    </row>
    <row r="9" customFormat="false" ht="15" hidden="false" customHeight="false" outlineLevel="0" collapsed="false">
      <c r="A9" s="53" t="n">
        <f aca="false">FALSE()</f>
        <v>0</v>
      </c>
      <c r="B9" s="54" t="s">
        <v>135</v>
      </c>
      <c r="C9" s="48" t="n">
        <f aca="false">'Get Started'!$C$4-400+-5</f>
        <v>46147</v>
      </c>
      <c r="D9" s="47" t="s">
        <v>66</v>
      </c>
      <c r="E9" s="47" t="s">
        <v>127</v>
      </c>
      <c r="F9" s="47" t="s">
        <v>128</v>
      </c>
      <c r="H9" s="57" t="s">
        <v>136</v>
      </c>
      <c r="I9" s="58" t="n">
        <f aca="false">COUNTIFS(A325:A421,TRUE())/COUNTA(B325:B421)</f>
        <v>0</v>
      </c>
      <c r="J9" s="57" t="n">
        <f aca="false">COUNTA(B325:B421)</f>
        <v>97</v>
      </c>
    </row>
    <row r="10" customFormat="false" ht="15" hidden="false" customHeight="false" outlineLevel="0" collapsed="false">
      <c r="A10" s="55" t="n">
        <f aca="false">FALSE()</f>
        <v>0</v>
      </c>
      <c r="B10" s="56" t="s">
        <v>137</v>
      </c>
      <c r="C10" s="46" t="n">
        <f aca="false">'Get Started'!$C$4-400+-5</f>
        <v>46147</v>
      </c>
      <c r="D10" s="45" t="s">
        <v>66</v>
      </c>
      <c r="E10" s="45" t="s">
        <v>127</v>
      </c>
      <c r="F10" s="45" t="s">
        <v>128</v>
      </c>
      <c r="H10" s="57" t="s">
        <v>138</v>
      </c>
      <c r="I10" s="58" t="n">
        <f aca="false">COUNTIFS(A422:A513,TRUE())/COUNTA(B422:B513)</f>
        <v>0</v>
      </c>
      <c r="J10" s="57" t="n">
        <f aca="false">COUNTA(B422:B513)</f>
        <v>92</v>
      </c>
    </row>
    <row r="11" customFormat="false" ht="15" hidden="false" customHeight="false" outlineLevel="0" collapsed="false">
      <c r="A11" s="53" t="n">
        <f aca="false">FALSE()</f>
        <v>0</v>
      </c>
      <c r="B11" s="54" t="s">
        <v>139</v>
      </c>
      <c r="C11" s="48" t="n">
        <f aca="false">'Get Started'!$C$4-400+-5</f>
        <v>46147</v>
      </c>
      <c r="D11" s="47" t="s">
        <v>66</v>
      </c>
      <c r="E11" s="47" t="s">
        <v>127</v>
      </c>
      <c r="F11" s="47" t="s">
        <v>128</v>
      </c>
      <c r="H11" s="57" t="s">
        <v>140</v>
      </c>
      <c r="I11" s="58" t="n">
        <f aca="false">COUNTIFS(A514:A609,TRUE())/COUNTA(B514:B609)</f>
        <v>0</v>
      </c>
      <c r="J11" s="57" t="n">
        <f aca="false">COUNTA(B514:B609)</f>
        <v>96</v>
      </c>
    </row>
    <row r="12" customFormat="false" ht="15" hidden="false" customHeight="false" outlineLevel="0" collapsed="false">
      <c r="A12" s="55" t="n">
        <f aca="false">FALSE()</f>
        <v>0</v>
      </c>
      <c r="B12" s="56" t="s">
        <v>141</v>
      </c>
      <c r="C12" s="46" t="n">
        <f aca="false">'Get Started'!$C$4-400+-5</f>
        <v>46147</v>
      </c>
      <c r="D12" s="45" t="s">
        <v>66</v>
      </c>
      <c r="E12" s="45" t="s">
        <v>127</v>
      </c>
      <c r="F12" s="45" t="s">
        <v>128</v>
      </c>
      <c r="H12" s="57" t="s">
        <v>142</v>
      </c>
      <c r="I12" s="58" t="n">
        <f aca="false">COUNTIFS(A610:A666,TRUE())/COUNTA(B610:B666)</f>
        <v>0</v>
      </c>
      <c r="J12" s="57" t="n">
        <f aca="false">COUNTA(B610:B666)</f>
        <v>57</v>
      </c>
    </row>
    <row r="13" customFormat="false" ht="15" hidden="false" customHeight="false" outlineLevel="0" collapsed="false">
      <c r="A13" s="53" t="n">
        <f aca="false">FALSE()</f>
        <v>0</v>
      </c>
      <c r="B13" s="54" t="s">
        <v>143</v>
      </c>
      <c r="C13" s="48" t="n">
        <f aca="false">'Get Started'!$C$4-400+-5</f>
        <v>46147</v>
      </c>
      <c r="D13" s="47" t="s">
        <v>66</v>
      </c>
      <c r="E13" s="47" t="s">
        <v>127</v>
      </c>
      <c r="F13" s="47" t="s">
        <v>128</v>
      </c>
      <c r="H13" s="57" t="s">
        <v>144</v>
      </c>
      <c r="I13" s="58" t="n">
        <f aca="false">COUNTIFS(A667:A725,TRUE())/COUNTA(B667:B725)</f>
        <v>0</v>
      </c>
      <c r="J13" s="57" t="n">
        <f aca="false">COUNTA(B667:B725)</f>
        <v>59</v>
      </c>
    </row>
    <row r="14" customFormat="false" ht="15" hidden="false" customHeight="false" outlineLevel="0" collapsed="false">
      <c r="A14" s="55" t="n">
        <f aca="false">FALSE()</f>
        <v>0</v>
      </c>
      <c r="B14" s="56" t="s">
        <v>145</v>
      </c>
      <c r="C14" s="46" t="n">
        <f aca="false">'Get Started'!$C$4-400+-4</f>
        <v>46148</v>
      </c>
      <c r="D14" s="45" t="s">
        <v>66</v>
      </c>
      <c r="E14" s="45" t="s">
        <v>127</v>
      </c>
      <c r="F14" s="45" t="s">
        <v>128</v>
      </c>
      <c r="H14" s="57" t="s">
        <v>146</v>
      </c>
      <c r="I14" s="58" t="n">
        <f aca="false">COUNTIFS(A726:A772,TRUE())/COUNTA(B726:B772)</f>
        <v>0</v>
      </c>
      <c r="J14" s="57" t="n">
        <f aca="false">COUNTA(B726:B772)</f>
        <v>47</v>
      </c>
    </row>
    <row r="15" customFormat="false" ht="15" hidden="false" customHeight="false" outlineLevel="0" collapsed="false">
      <c r="A15" s="53" t="n">
        <f aca="false">FALSE()</f>
        <v>0</v>
      </c>
      <c r="B15" s="54" t="s">
        <v>147</v>
      </c>
      <c r="C15" s="48" t="n">
        <f aca="false">'Get Started'!$C$4-400+-4</f>
        <v>46148</v>
      </c>
      <c r="D15" s="47" t="s">
        <v>66</v>
      </c>
      <c r="E15" s="47" t="s">
        <v>127</v>
      </c>
      <c r="F15" s="47" t="s">
        <v>128</v>
      </c>
      <c r="H15" s="57" t="s">
        <v>148</v>
      </c>
      <c r="I15" s="58" t="n">
        <f aca="false">COUNTIFS(A773:A791,TRUE())/COUNTA(B773:B791)</f>
        <v>0</v>
      </c>
      <c r="J15" s="57" t="n">
        <f aca="false">COUNTA(B773:B791)</f>
        <v>19</v>
      </c>
    </row>
    <row r="16" customFormat="false" ht="15" hidden="false" customHeight="false" outlineLevel="0" collapsed="false">
      <c r="A16" s="55" t="n">
        <f aca="false">FALSE()</f>
        <v>0</v>
      </c>
      <c r="B16" s="56" t="s">
        <v>149</v>
      </c>
      <c r="C16" s="46" t="n">
        <f aca="false">'Get Started'!$C$4-400+-4</f>
        <v>46148</v>
      </c>
      <c r="D16" s="45" t="s">
        <v>66</v>
      </c>
      <c r="E16" s="45" t="s">
        <v>127</v>
      </c>
      <c r="F16" s="45" t="s">
        <v>128</v>
      </c>
      <c r="H16" s="57" t="s">
        <v>150</v>
      </c>
      <c r="I16" s="58" t="n">
        <f aca="false">COUNTIFS(A792:A804,TRUE())/COUNTA(B792:B804)</f>
        <v>0</v>
      </c>
      <c r="J16" s="57" t="n">
        <f aca="false">COUNTA(B792:B804)</f>
        <v>13</v>
      </c>
    </row>
    <row r="17" customFormat="false" ht="15" hidden="false" customHeight="false" outlineLevel="0" collapsed="false">
      <c r="A17" s="53" t="n">
        <f aca="false">FALSE()</f>
        <v>0</v>
      </c>
      <c r="B17" s="54" t="s">
        <v>151</v>
      </c>
      <c r="C17" s="48" t="n">
        <f aca="false">'Get Started'!$C$4-400+-4</f>
        <v>46148</v>
      </c>
      <c r="D17" s="47" t="s">
        <v>66</v>
      </c>
      <c r="E17" s="47" t="s">
        <v>127</v>
      </c>
      <c r="F17" s="47" t="s">
        <v>128</v>
      </c>
      <c r="H17" s="57" t="s">
        <v>152</v>
      </c>
      <c r="I17" s="58" t="n">
        <f aca="false">COUNTIFS(A805:A855,TRUE())/COUNTA(B805:B855)</f>
        <v>0</v>
      </c>
      <c r="J17" s="57" t="n">
        <f aca="false">COUNTA(B805:B855)</f>
        <v>51</v>
      </c>
    </row>
    <row r="18" customFormat="false" ht="15" hidden="false" customHeight="false" outlineLevel="0" collapsed="false">
      <c r="A18" s="55" t="n">
        <f aca="false">FALSE()</f>
        <v>0</v>
      </c>
      <c r="B18" s="56" t="s">
        <v>153</v>
      </c>
      <c r="C18" s="46" t="n">
        <f aca="false">'Get Started'!$C$4-400+-4</f>
        <v>46148</v>
      </c>
      <c r="D18" s="45" t="s">
        <v>66</v>
      </c>
      <c r="E18" s="45" t="s">
        <v>127</v>
      </c>
      <c r="F18" s="45" t="s">
        <v>128</v>
      </c>
    </row>
    <row r="19" customFormat="false" ht="15" hidden="false" customHeight="false" outlineLevel="0" collapsed="false">
      <c r="A19" s="53" t="n">
        <f aca="false">FALSE()</f>
        <v>0</v>
      </c>
      <c r="B19" s="54" t="s">
        <v>154</v>
      </c>
      <c r="C19" s="48" t="n">
        <f aca="false">'Get Started'!$C$4-400+-4</f>
        <v>46148</v>
      </c>
      <c r="D19" s="47" t="s">
        <v>66</v>
      </c>
      <c r="E19" s="47" t="s">
        <v>127</v>
      </c>
      <c r="F19" s="47" t="s">
        <v>128</v>
      </c>
      <c r="H19" s="59" t="s">
        <v>155</v>
      </c>
      <c r="I19" s="59"/>
      <c r="J19" s="59"/>
    </row>
    <row r="20" customFormat="false" ht="15" hidden="false" customHeight="false" outlineLevel="0" collapsed="false">
      <c r="A20" s="55" t="n">
        <f aca="false">FALSE()</f>
        <v>0</v>
      </c>
      <c r="B20" s="56" t="s">
        <v>156</v>
      </c>
      <c r="C20" s="46" t="n">
        <f aca="false">'Get Started'!$C$4-400+-4</f>
        <v>46148</v>
      </c>
      <c r="D20" s="45" t="s">
        <v>66</v>
      </c>
      <c r="E20" s="45" t="s">
        <v>127</v>
      </c>
      <c r="F20" s="45" t="s">
        <v>128</v>
      </c>
      <c r="H20" s="22" t="s">
        <v>64</v>
      </c>
      <c r="I20" s="22" t="n">
        <f aca="false">COUNTIFS($D$5:$D$855,H20,$A$5:$A$855,FALSE())</f>
        <v>0</v>
      </c>
    </row>
    <row r="21" customFormat="false" ht="15" hidden="false" customHeight="false" outlineLevel="0" collapsed="false">
      <c r="A21" s="53" t="n">
        <f aca="false">FALSE()</f>
        <v>0</v>
      </c>
      <c r="B21" s="54" t="s">
        <v>157</v>
      </c>
      <c r="C21" s="48" t="n">
        <f aca="false">'Get Started'!$C$4-400+-4</f>
        <v>46148</v>
      </c>
      <c r="D21" s="47" t="s">
        <v>66</v>
      </c>
      <c r="E21" s="47" t="s">
        <v>127</v>
      </c>
      <c r="F21" s="47" t="s">
        <v>128</v>
      </c>
      <c r="H21" s="22" t="s">
        <v>65</v>
      </c>
      <c r="I21" s="22" t="n">
        <f aca="false">COUNTIFS($D$5:$D$855,H21,$A$5:$A$855,FALSE())</f>
        <v>0</v>
      </c>
    </row>
    <row r="22" customFormat="false" ht="15" hidden="false" customHeight="false" outlineLevel="0" collapsed="false">
      <c r="A22" s="55" t="n">
        <f aca="false">FALSE()</f>
        <v>0</v>
      </c>
      <c r="B22" s="56" t="s">
        <v>158</v>
      </c>
      <c r="C22" s="46" t="n">
        <f aca="false">'Get Started'!$C$4-400+-4</f>
        <v>46148</v>
      </c>
      <c r="D22" s="45" t="s">
        <v>66</v>
      </c>
      <c r="E22" s="45" t="s">
        <v>127</v>
      </c>
      <c r="F22" s="45" t="s">
        <v>128</v>
      </c>
      <c r="H22" s="22" t="s">
        <v>66</v>
      </c>
      <c r="I22" s="22" t="n">
        <f aca="false">COUNTIFS($D$5:$D$855,H22,$A$5:$A$855,FALSE())</f>
        <v>851</v>
      </c>
    </row>
    <row r="23" customFormat="false" ht="15" hidden="false" customHeight="false" outlineLevel="0" collapsed="false">
      <c r="A23" s="53" t="n">
        <f aca="false">FALSE()</f>
        <v>0</v>
      </c>
      <c r="B23" s="54" t="s">
        <v>159</v>
      </c>
      <c r="C23" s="48" t="n">
        <f aca="false">'Get Started'!$C$4-400+-3</f>
        <v>46149</v>
      </c>
      <c r="D23" s="47" t="s">
        <v>66</v>
      </c>
      <c r="E23" s="47" t="s">
        <v>127</v>
      </c>
      <c r="F23" s="47" t="s">
        <v>128</v>
      </c>
      <c r="H23" s="22" t="s">
        <v>160</v>
      </c>
      <c r="I23" s="22" t="n">
        <f aca="false">COUNTIFS($D$5:$D$855,H23,$A$5:$A$855,FALSE())</f>
        <v>0</v>
      </c>
    </row>
    <row r="24" customFormat="false" ht="15" hidden="false" customHeight="false" outlineLevel="0" collapsed="false">
      <c r="A24" s="55" t="n">
        <f aca="false">FALSE()</f>
        <v>0</v>
      </c>
      <c r="B24" s="56" t="s">
        <v>161</v>
      </c>
      <c r="C24" s="46" t="n">
        <f aca="false">'Get Started'!$C$4-400+-3</f>
        <v>46149</v>
      </c>
      <c r="D24" s="45" t="s">
        <v>66</v>
      </c>
      <c r="E24" s="45" t="s">
        <v>127</v>
      </c>
      <c r="F24" s="45" t="s">
        <v>128</v>
      </c>
      <c r="H24" s="22" t="s">
        <v>162</v>
      </c>
      <c r="I24" s="22" t="n">
        <f aca="false">COUNTIFS($D$5:$D$855,H24,$A$5:$A$855,FALSE())</f>
        <v>0</v>
      </c>
    </row>
    <row r="25" customFormat="false" ht="15" hidden="false" customHeight="false" outlineLevel="0" collapsed="false">
      <c r="A25" s="53" t="n">
        <f aca="false">FALSE()</f>
        <v>0</v>
      </c>
      <c r="B25" s="54" t="s">
        <v>163</v>
      </c>
      <c r="C25" s="48" t="n">
        <f aca="false">'Get Started'!$C$4-400+-3</f>
        <v>46149</v>
      </c>
      <c r="D25" s="47" t="s">
        <v>66</v>
      </c>
      <c r="E25" s="47" t="s">
        <v>127</v>
      </c>
      <c r="F25" s="47" t="s">
        <v>128</v>
      </c>
      <c r="H25" s="22" t="s">
        <v>164</v>
      </c>
      <c r="I25" s="22" t="n">
        <f aca="false">COUNTIFS($D$5:$D$855,H25,$A$5:$A$855,FALSE())</f>
        <v>0</v>
      </c>
    </row>
    <row r="26" customFormat="false" ht="15" hidden="false" customHeight="false" outlineLevel="0" collapsed="false">
      <c r="A26" s="55" t="n">
        <f aca="false">FALSE()</f>
        <v>0</v>
      </c>
      <c r="B26" s="56" t="s">
        <v>165</v>
      </c>
      <c r="C26" s="46" t="n">
        <f aca="false">'Get Started'!$C$4-400+-3</f>
        <v>46149</v>
      </c>
      <c r="D26" s="45" t="s">
        <v>66</v>
      </c>
      <c r="E26" s="45" t="s">
        <v>127</v>
      </c>
      <c r="F26" s="45" t="s">
        <v>128</v>
      </c>
      <c r="H26" s="22" t="s">
        <v>166</v>
      </c>
      <c r="I26" s="22" t="n">
        <f aca="false">COUNTIFS($D$5:$D$855,H26,$A$5:$A$855,FALSE())</f>
        <v>0</v>
      </c>
    </row>
    <row r="27" customFormat="false" ht="15" hidden="false" customHeight="false" outlineLevel="0" collapsed="false">
      <c r="A27" s="53" t="n">
        <f aca="false">FALSE()</f>
        <v>0</v>
      </c>
      <c r="B27" s="54" t="s">
        <v>167</v>
      </c>
      <c r="C27" s="48" t="n">
        <f aca="false">'Get Started'!$C$4-400+-3</f>
        <v>46149</v>
      </c>
      <c r="D27" s="47" t="s">
        <v>66</v>
      </c>
      <c r="E27" s="47" t="s">
        <v>127</v>
      </c>
      <c r="F27" s="47" t="s">
        <v>128</v>
      </c>
      <c r="H27" s="22" t="s">
        <v>168</v>
      </c>
      <c r="I27" s="22" t="n">
        <f aca="false">COUNTIFS($D$5:$D$855,H27,$A$5:$A$855,FALSE())</f>
        <v>0</v>
      </c>
    </row>
    <row r="28" customFormat="false" ht="15" hidden="false" customHeight="false" outlineLevel="0" collapsed="false">
      <c r="A28" s="55" t="n">
        <f aca="false">FALSE()</f>
        <v>0</v>
      </c>
      <c r="B28" s="56" t="s">
        <v>169</v>
      </c>
      <c r="C28" s="46" t="n">
        <f aca="false">'Get Started'!$C$4-400+-3</f>
        <v>46149</v>
      </c>
      <c r="D28" s="45" t="s">
        <v>66</v>
      </c>
      <c r="E28" s="45" t="s">
        <v>127</v>
      </c>
      <c r="F28" s="45" t="s">
        <v>128</v>
      </c>
    </row>
    <row r="29" customFormat="false" ht="15" hidden="false" customHeight="false" outlineLevel="0" collapsed="false">
      <c r="A29" s="53" t="n">
        <f aca="false">FALSE()</f>
        <v>0</v>
      </c>
      <c r="B29" s="54" t="s">
        <v>170</v>
      </c>
      <c r="C29" s="48" t="n">
        <f aca="false">'Get Started'!$C$4-400+-3</f>
        <v>46149</v>
      </c>
      <c r="D29" s="47" t="s">
        <v>66</v>
      </c>
      <c r="E29" s="47" t="s">
        <v>127</v>
      </c>
      <c r="F29" s="47" t="s">
        <v>128</v>
      </c>
    </row>
    <row r="30" customFormat="false" ht="15" hidden="false" customHeight="false" outlineLevel="0" collapsed="false">
      <c r="A30" s="55" t="n">
        <f aca="false">FALSE()</f>
        <v>0</v>
      </c>
      <c r="B30" s="56" t="s">
        <v>171</v>
      </c>
      <c r="C30" s="46" t="n">
        <f aca="false">'Get Started'!$C$4-400+-3</f>
        <v>46149</v>
      </c>
      <c r="D30" s="45" t="s">
        <v>66</v>
      </c>
      <c r="E30" s="45" t="s">
        <v>127</v>
      </c>
      <c r="F30" s="45" t="s">
        <v>128</v>
      </c>
    </row>
    <row r="31" customFormat="false" ht="15" hidden="false" customHeight="false" outlineLevel="0" collapsed="false">
      <c r="A31" s="53" t="n">
        <f aca="false">FALSE()</f>
        <v>0</v>
      </c>
      <c r="B31" s="54" t="s">
        <v>172</v>
      </c>
      <c r="C31" s="48" t="n">
        <f aca="false">'Get Started'!$C$4-400+-2</f>
        <v>46150</v>
      </c>
      <c r="D31" s="47" t="s">
        <v>66</v>
      </c>
      <c r="E31" s="47" t="s">
        <v>127</v>
      </c>
      <c r="F31" s="47" t="s">
        <v>128</v>
      </c>
    </row>
    <row r="32" customFormat="false" ht="15" hidden="false" customHeight="false" outlineLevel="0" collapsed="false">
      <c r="A32" s="55" t="n">
        <f aca="false">FALSE()</f>
        <v>0</v>
      </c>
      <c r="B32" s="56" t="s">
        <v>173</v>
      </c>
      <c r="C32" s="46" t="n">
        <f aca="false">'Get Started'!$C$4-400+-2</f>
        <v>46150</v>
      </c>
      <c r="D32" s="45" t="s">
        <v>66</v>
      </c>
      <c r="E32" s="45" t="s">
        <v>127</v>
      </c>
      <c r="F32" s="45" t="s">
        <v>128</v>
      </c>
    </row>
    <row r="33" customFormat="false" ht="15" hidden="false" customHeight="false" outlineLevel="0" collapsed="false">
      <c r="A33" s="53" t="n">
        <f aca="false">FALSE()</f>
        <v>0</v>
      </c>
      <c r="B33" s="54" t="s">
        <v>174</v>
      </c>
      <c r="C33" s="48" t="n">
        <f aca="false">'Get Started'!$C$4-400+-2</f>
        <v>46150</v>
      </c>
      <c r="D33" s="47" t="s">
        <v>66</v>
      </c>
      <c r="E33" s="47" t="s">
        <v>127</v>
      </c>
      <c r="F33" s="47" t="s">
        <v>128</v>
      </c>
    </row>
    <row r="34" customFormat="false" ht="15" hidden="false" customHeight="false" outlineLevel="0" collapsed="false">
      <c r="A34" s="55" t="n">
        <f aca="false">FALSE()</f>
        <v>0</v>
      </c>
      <c r="B34" s="56" t="s">
        <v>175</v>
      </c>
      <c r="C34" s="46" t="n">
        <f aca="false">'Get Started'!$C$4-400+-2</f>
        <v>46150</v>
      </c>
      <c r="D34" s="45" t="s">
        <v>66</v>
      </c>
      <c r="E34" s="45" t="s">
        <v>127</v>
      </c>
      <c r="F34" s="45" t="s">
        <v>128</v>
      </c>
    </row>
    <row r="35" customFormat="false" ht="15" hidden="false" customHeight="false" outlineLevel="0" collapsed="false">
      <c r="A35" s="53" t="n">
        <f aca="false">FALSE()</f>
        <v>0</v>
      </c>
      <c r="B35" s="54" t="s">
        <v>176</v>
      </c>
      <c r="C35" s="48" t="n">
        <f aca="false">'Get Started'!$C$4-400+-2</f>
        <v>46150</v>
      </c>
      <c r="D35" s="47" t="s">
        <v>66</v>
      </c>
      <c r="E35" s="47" t="s">
        <v>127</v>
      </c>
      <c r="F35" s="47" t="s">
        <v>128</v>
      </c>
    </row>
    <row r="36" customFormat="false" ht="15" hidden="false" customHeight="false" outlineLevel="0" collapsed="false">
      <c r="A36" s="55" t="n">
        <f aca="false">FALSE()</f>
        <v>0</v>
      </c>
      <c r="B36" s="56" t="s">
        <v>177</v>
      </c>
      <c r="C36" s="46" t="n">
        <f aca="false">'Get Started'!$C$4-400+-2</f>
        <v>46150</v>
      </c>
      <c r="D36" s="45" t="s">
        <v>66</v>
      </c>
      <c r="E36" s="45" t="s">
        <v>127</v>
      </c>
      <c r="F36" s="45" t="s">
        <v>128</v>
      </c>
    </row>
    <row r="37" customFormat="false" ht="15" hidden="false" customHeight="false" outlineLevel="0" collapsed="false">
      <c r="A37" s="53" t="n">
        <f aca="false">FALSE()</f>
        <v>0</v>
      </c>
      <c r="B37" s="54" t="s">
        <v>178</v>
      </c>
      <c r="C37" s="48" t="n">
        <f aca="false">'Get Started'!$C$4-400+-2</f>
        <v>46150</v>
      </c>
      <c r="D37" s="47" t="s">
        <v>66</v>
      </c>
      <c r="E37" s="47" t="s">
        <v>127</v>
      </c>
      <c r="F37" s="47" t="s">
        <v>128</v>
      </c>
    </row>
    <row r="38" customFormat="false" ht="15" hidden="false" customHeight="false" outlineLevel="0" collapsed="false">
      <c r="A38" s="55" t="n">
        <f aca="false">FALSE()</f>
        <v>0</v>
      </c>
      <c r="B38" s="56" t="s">
        <v>179</v>
      </c>
      <c r="C38" s="46" t="n">
        <f aca="false">'Get Started'!$C$4-400+-2</f>
        <v>46150</v>
      </c>
      <c r="D38" s="45" t="s">
        <v>66</v>
      </c>
      <c r="E38" s="45" t="s">
        <v>127</v>
      </c>
      <c r="F38" s="45" t="s">
        <v>128</v>
      </c>
    </row>
    <row r="39" customFormat="false" ht="15" hidden="false" customHeight="false" outlineLevel="0" collapsed="false">
      <c r="A39" s="53" t="n">
        <f aca="false">FALSE()</f>
        <v>0</v>
      </c>
      <c r="B39" s="54" t="s">
        <v>180</v>
      </c>
      <c r="C39" s="48" t="n">
        <f aca="false">'Get Started'!$C$4-400+-2</f>
        <v>46150</v>
      </c>
      <c r="D39" s="47" t="s">
        <v>66</v>
      </c>
      <c r="E39" s="47" t="s">
        <v>127</v>
      </c>
      <c r="F39" s="47" t="s">
        <v>128</v>
      </c>
    </row>
    <row r="40" customFormat="false" ht="15" hidden="false" customHeight="false" outlineLevel="0" collapsed="false">
      <c r="A40" s="55" t="n">
        <f aca="false">FALSE()</f>
        <v>0</v>
      </c>
      <c r="B40" s="56" t="s">
        <v>181</v>
      </c>
      <c r="C40" s="46" t="n">
        <f aca="false">'Get Started'!$C$4-400+-1</f>
        <v>46151</v>
      </c>
      <c r="D40" s="45" t="s">
        <v>66</v>
      </c>
      <c r="E40" s="45" t="s">
        <v>127</v>
      </c>
      <c r="F40" s="45" t="s">
        <v>128</v>
      </c>
    </row>
    <row r="41" customFormat="false" ht="15" hidden="false" customHeight="false" outlineLevel="0" collapsed="false">
      <c r="A41" s="53" t="n">
        <f aca="false">FALSE()</f>
        <v>0</v>
      </c>
      <c r="B41" s="54" t="s">
        <v>182</v>
      </c>
      <c r="C41" s="48" t="n">
        <f aca="false">'Get Started'!$C$4-400+-1</f>
        <v>46151</v>
      </c>
      <c r="D41" s="47" t="s">
        <v>66</v>
      </c>
      <c r="E41" s="47" t="s">
        <v>127</v>
      </c>
      <c r="F41" s="47" t="s">
        <v>128</v>
      </c>
    </row>
    <row r="42" customFormat="false" ht="15" hidden="false" customHeight="false" outlineLevel="0" collapsed="false">
      <c r="A42" s="55" t="n">
        <f aca="false">FALSE()</f>
        <v>0</v>
      </c>
      <c r="B42" s="56" t="s">
        <v>183</v>
      </c>
      <c r="C42" s="46" t="n">
        <f aca="false">'Get Started'!$C$4-400+-1</f>
        <v>46151</v>
      </c>
      <c r="D42" s="45" t="s">
        <v>66</v>
      </c>
      <c r="E42" s="45" t="s">
        <v>127</v>
      </c>
      <c r="F42" s="45" t="s">
        <v>128</v>
      </c>
    </row>
    <row r="43" customFormat="false" ht="15" hidden="false" customHeight="false" outlineLevel="0" collapsed="false">
      <c r="A43" s="53" t="n">
        <f aca="false">FALSE()</f>
        <v>0</v>
      </c>
      <c r="B43" s="54" t="s">
        <v>184</v>
      </c>
      <c r="C43" s="48" t="n">
        <f aca="false">'Get Started'!$C$4-400+-1</f>
        <v>46151</v>
      </c>
      <c r="D43" s="47" t="s">
        <v>66</v>
      </c>
      <c r="E43" s="47" t="s">
        <v>127</v>
      </c>
      <c r="F43" s="47" t="s">
        <v>128</v>
      </c>
    </row>
    <row r="44" customFormat="false" ht="15" hidden="false" customHeight="false" outlineLevel="0" collapsed="false">
      <c r="A44" s="55" t="n">
        <f aca="false">FALSE()</f>
        <v>0</v>
      </c>
      <c r="B44" s="56" t="s">
        <v>185</v>
      </c>
      <c r="C44" s="46" t="n">
        <f aca="false">'Get Started'!$C$4-400+-1</f>
        <v>46151</v>
      </c>
      <c r="D44" s="45" t="s">
        <v>66</v>
      </c>
      <c r="E44" s="45" t="s">
        <v>127</v>
      </c>
      <c r="F44" s="45" t="s">
        <v>128</v>
      </c>
    </row>
    <row r="45" customFormat="false" ht="15" hidden="false" customHeight="false" outlineLevel="0" collapsed="false">
      <c r="A45" s="53" t="n">
        <f aca="false">FALSE()</f>
        <v>0</v>
      </c>
      <c r="B45" s="54" t="s">
        <v>186</v>
      </c>
      <c r="C45" s="48" t="n">
        <f aca="false">'Get Started'!$C$4-400+-1</f>
        <v>46151</v>
      </c>
      <c r="D45" s="47" t="s">
        <v>66</v>
      </c>
      <c r="E45" s="47" t="s">
        <v>127</v>
      </c>
      <c r="F45" s="47" t="s">
        <v>128</v>
      </c>
    </row>
    <row r="46" customFormat="false" ht="15" hidden="false" customHeight="false" outlineLevel="0" collapsed="false">
      <c r="A46" s="55" t="n">
        <f aca="false">FALSE()</f>
        <v>0</v>
      </c>
      <c r="B46" s="56" t="s">
        <v>187</v>
      </c>
      <c r="C46" s="46" t="n">
        <f aca="false">'Get Started'!$C$4-400+-1</f>
        <v>46151</v>
      </c>
      <c r="D46" s="45" t="s">
        <v>66</v>
      </c>
      <c r="E46" s="45" t="s">
        <v>127</v>
      </c>
      <c r="F46" s="45" t="s">
        <v>128</v>
      </c>
    </row>
    <row r="47" customFormat="false" ht="15" hidden="false" customHeight="false" outlineLevel="0" collapsed="false">
      <c r="A47" s="53" t="n">
        <f aca="false">FALSE()</f>
        <v>0</v>
      </c>
      <c r="B47" s="54" t="s">
        <v>188</v>
      </c>
      <c r="C47" s="48" t="n">
        <f aca="false">'Get Started'!$C$4-400+-1</f>
        <v>46151</v>
      </c>
      <c r="D47" s="47" t="s">
        <v>66</v>
      </c>
      <c r="E47" s="47" t="s">
        <v>127</v>
      </c>
      <c r="F47" s="47" t="s">
        <v>128</v>
      </c>
    </row>
    <row r="48" customFormat="false" ht="15" hidden="false" customHeight="false" outlineLevel="0" collapsed="false">
      <c r="A48" s="55" t="n">
        <f aca="false">FALSE()</f>
        <v>0</v>
      </c>
      <c r="B48" s="56" t="s">
        <v>189</v>
      </c>
      <c r="C48" s="46" t="n">
        <f aca="false">'Get Started'!$C$4-400+0</f>
        <v>46152</v>
      </c>
      <c r="D48" s="45" t="s">
        <v>66</v>
      </c>
      <c r="E48" s="45" t="s">
        <v>127</v>
      </c>
      <c r="F48" s="45" t="s">
        <v>128</v>
      </c>
    </row>
    <row r="49" customFormat="false" ht="15" hidden="false" customHeight="false" outlineLevel="0" collapsed="false">
      <c r="A49" s="53" t="n">
        <f aca="false">FALSE()</f>
        <v>0</v>
      </c>
      <c r="B49" s="54" t="s">
        <v>190</v>
      </c>
      <c r="C49" s="48" t="n">
        <f aca="false">'Get Started'!$C$4-400+0</f>
        <v>46152</v>
      </c>
      <c r="D49" s="47" t="s">
        <v>66</v>
      </c>
      <c r="E49" s="47" t="s">
        <v>127</v>
      </c>
      <c r="F49" s="47" t="s">
        <v>128</v>
      </c>
    </row>
    <row r="50" customFormat="false" ht="15" hidden="false" customHeight="false" outlineLevel="0" collapsed="false">
      <c r="A50" s="55" t="n">
        <f aca="false">FALSE()</f>
        <v>0</v>
      </c>
      <c r="B50" s="56" t="s">
        <v>191</v>
      </c>
      <c r="C50" s="46" t="n">
        <f aca="false">'Get Started'!$C$4-400+0</f>
        <v>46152</v>
      </c>
      <c r="D50" s="45" t="s">
        <v>66</v>
      </c>
      <c r="E50" s="45" t="s">
        <v>127</v>
      </c>
      <c r="F50" s="45" t="s">
        <v>128</v>
      </c>
    </row>
    <row r="51" customFormat="false" ht="15" hidden="false" customHeight="false" outlineLevel="0" collapsed="false">
      <c r="A51" s="53" t="n">
        <f aca="false">FALSE()</f>
        <v>0</v>
      </c>
      <c r="B51" s="54" t="s">
        <v>192</v>
      </c>
      <c r="C51" s="48" t="n">
        <f aca="false">'Get Started'!$C$4-400+0</f>
        <v>46152</v>
      </c>
      <c r="D51" s="47" t="s">
        <v>66</v>
      </c>
      <c r="E51" s="47" t="s">
        <v>127</v>
      </c>
      <c r="F51" s="47" t="s">
        <v>128</v>
      </c>
    </row>
    <row r="52" customFormat="false" ht="15" hidden="false" customHeight="false" outlineLevel="0" collapsed="false">
      <c r="A52" s="55" t="n">
        <f aca="false">FALSE()</f>
        <v>0</v>
      </c>
      <c r="B52" s="56" t="s">
        <v>193</v>
      </c>
      <c r="C52" s="46" t="n">
        <f aca="false">'Get Started'!$C$4-400+0</f>
        <v>46152</v>
      </c>
      <c r="D52" s="45" t="s">
        <v>66</v>
      </c>
      <c r="E52" s="45" t="s">
        <v>127</v>
      </c>
      <c r="F52" s="45" t="s">
        <v>128</v>
      </c>
    </row>
    <row r="53" customFormat="false" ht="15" hidden="false" customHeight="false" outlineLevel="0" collapsed="false">
      <c r="A53" s="53" t="n">
        <f aca="false">FALSE()</f>
        <v>0</v>
      </c>
      <c r="B53" s="54" t="s">
        <v>194</v>
      </c>
      <c r="C53" s="48" t="n">
        <f aca="false">'Get Started'!$C$4-400+0</f>
        <v>46152</v>
      </c>
      <c r="D53" s="47" t="s">
        <v>66</v>
      </c>
      <c r="E53" s="47" t="s">
        <v>127</v>
      </c>
      <c r="F53" s="47" t="s">
        <v>128</v>
      </c>
    </row>
    <row r="54" customFormat="false" ht="15" hidden="false" customHeight="false" outlineLevel="0" collapsed="false">
      <c r="A54" s="55" t="n">
        <f aca="false">FALSE()</f>
        <v>0</v>
      </c>
      <c r="B54" s="56" t="s">
        <v>195</v>
      </c>
      <c r="C54" s="46" t="n">
        <f aca="false">'Get Started'!$C$4-400+0</f>
        <v>46152</v>
      </c>
      <c r="D54" s="45" t="s">
        <v>66</v>
      </c>
      <c r="E54" s="45" t="s">
        <v>127</v>
      </c>
      <c r="F54" s="45" t="s">
        <v>128</v>
      </c>
    </row>
    <row r="55" customFormat="false" ht="15" hidden="false" customHeight="false" outlineLevel="0" collapsed="false">
      <c r="A55" s="53" t="n">
        <f aca="false">FALSE()</f>
        <v>0</v>
      </c>
      <c r="B55" s="54" t="s">
        <v>196</v>
      </c>
      <c r="C55" s="48" t="n">
        <f aca="false">'Get Started'!$C$4-400+0</f>
        <v>46152</v>
      </c>
      <c r="D55" s="47" t="s">
        <v>66</v>
      </c>
      <c r="E55" s="47" t="s">
        <v>127</v>
      </c>
      <c r="F55" s="47" t="s">
        <v>128</v>
      </c>
    </row>
    <row r="56" customFormat="false" ht="15" hidden="false" customHeight="false" outlineLevel="0" collapsed="false">
      <c r="A56" s="55" t="n">
        <f aca="false">FALSE()</f>
        <v>0</v>
      </c>
      <c r="B56" s="56" t="s">
        <v>197</v>
      </c>
      <c r="C56" s="46" t="n">
        <f aca="false">'Get Started'!$C$4-400+0</f>
        <v>46152</v>
      </c>
      <c r="D56" s="45" t="s">
        <v>66</v>
      </c>
      <c r="E56" s="45" t="s">
        <v>127</v>
      </c>
      <c r="F56" s="45" t="s">
        <v>128</v>
      </c>
    </row>
    <row r="57" customFormat="false" ht="15" hidden="false" customHeight="false" outlineLevel="0" collapsed="false">
      <c r="A57" s="53" t="n">
        <f aca="false">FALSE()</f>
        <v>0</v>
      </c>
      <c r="B57" s="54" t="s">
        <v>198</v>
      </c>
      <c r="C57" s="48" t="n">
        <f aca="false">'Get Started'!$C$4-400+1</f>
        <v>46153</v>
      </c>
      <c r="D57" s="47" t="s">
        <v>66</v>
      </c>
      <c r="E57" s="47" t="s">
        <v>127</v>
      </c>
      <c r="F57" s="47" t="s">
        <v>128</v>
      </c>
    </row>
    <row r="58" customFormat="false" ht="15" hidden="false" customHeight="false" outlineLevel="0" collapsed="false">
      <c r="A58" s="55" t="n">
        <f aca="false">FALSE()</f>
        <v>0</v>
      </c>
      <c r="B58" s="56" t="s">
        <v>199</v>
      </c>
      <c r="C58" s="46" t="n">
        <f aca="false">'Get Started'!$C$4-400+1</f>
        <v>46153</v>
      </c>
      <c r="D58" s="45" t="s">
        <v>66</v>
      </c>
      <c r="E58" s="45" t="s">
        <v>127</v>
      </c>
      <c r="F58" s="45" t="s">
        <v>128</v>
      </c>
    </row>
    <row r="59" customFormat="false" ht="15" hidden="false" customHeight="false" outlineLevel="0" collapsed="false">
      <c r="A59" s="53" t="n">
        <f aca="false">FALSE()</f>
        <v>0</v>
      </c>
      <c r="B59" s="54" t="s">
        <v>200</v>
      </c>
      <c r="C59" s="48" t="n">
        <f aca="false">'Get Started'!$C$4-400+1</f>
        <v>46153</v>
      </c>
      <c r="D59" s="47" t="s">
        <v>66</v>
      </c>
      <c r="E59" s="47" t="s">
        <v>127</v>
      </c>
      <c r="F59" s="47" t="s">
        <v>128</v>
      </c>
    </row>
    <row r="60" customFormat="false" ht="15" hidden="false" customHeight="false" outlineLevel="0" collapsed="false">
      <c r="A60" s="55" t="n">
        <f aca="false">FALSE()</f>
        <v>0</v>
      </c>
      <c r="B60" s="56" t="s">
        <v>201</v>
      </c>
      <c r="C60" s="46" t="n">
        <f aca="false">'Get Started'!$C$4-400+1</f>
        <v>46153</v>
      </c>
      <c r="D60" s="45" t="s">
        <v>66</v>
      </c>
      <c r="E60" s="45" t="s">
        <v>127</v>
      </c>
      <c r="F60" s="45" t="s">
        <v>128</v>
      </c>
    </row>
    <row r="61" customFormat="false" ht="15" hidden="false" customHeight="false" outlineLevel="0" collapsed="false">
      <c r="A61" s="53" t="n">
        <f aca="false">FALSE()</f>
        <v>0</v>
      </c>
      <c r="B61" s="54" t="s">
        <v>202</v>
      </c>
      <c r="C61" s="48" t="n">
        <f aca="false">'Get Started'!$C$4-400+1</f>
        <v>46153</v>
      </c>
      <c r="D61" s="47" t="s">
        <v>66</v>
      </c>
      <c r="E61" s="47" t="s">
        <v>127</v>
      </c>
      <c r="F61" s="47" t="s">
        <v>128</v>
      </c>
    </row>
    <row r="62" customFormat="false" ht="15" hidden="false" customHeight="false" outlineLevel="0" collapsed="false">
      <c r="A62" s="55" t="n">
        <f aca="false">FALSE()</f>
        <v>0</v>
      </c>
      <c r="B62" s="56" t="s">
        <v>203</v>
      </c>
      <c r="C62" s="46" t="n">
        <f aca="false">'Get Started'!$C$4-400+1</f>
        <v>46153</v>
      </c>
      <c r="D62" s="45" t="s">
        <v>66</v>
      </c>
      <c r="E62" s="45" t="s">
        <v>127</v>
      </c>
      <c r="F62" s="45" t="s">
        <v>128</v>
      </c>
    </row>
    <row r="63" customFormat="false" ht="15" hidden="false" customHeight="false" outlineLevel="0" collapsed="false">
      <c r="A63" s="53" t="n">
        <f aca="false">FALSE()</f>
        <v>0</v>
      </c>
      <c r="B63" s="54" t="s">
        <v>204</v>
      </c>
      <c r="C63" s="48" t="n">
        <f aca="false">'Get Started'!$C$4-400+1</f>
        <v>46153</v>
      </c>
      <c r="D63" s="47" t="s">
        <v>66</v>
      </c>
      <c r="E63" s="47" t="s">
        <v>127</v>
      </c>
      <c r="F63" s="47" t="s">
        <v>128</v>
      </c>
    </row>
    <row r="64" customFormat="false" ht="15" hidden="false" customHeight="false" outlineLevel="0" collapsed="false">
      <c r="A64" s="55" t="n">
        <f aca="false">FALSE()</f>
        <v>0</v>
      </c>
      <c r="B64" s="56" t="s">
        <v>205</v>
      </c>
      <c r="C64" s="46" t="n">
        <f aca="false">'Get Started'!$C$4-400+1</f>
        <v>46153</v>
      </c>
      <c r="D64" s="45" t="s">
        <v>66</v>
      </c>
      <c r="E64" s="45" t="s">
        <v>127</v>
      </c>
      <c r="F64" s="45" t="s">
        <v>128</v>
      </c>
    </row>
    <row r="65" customFormat="false" ht="15" hidden="false" customHeight="false" outlineLevel="0" collapsed="false">
      <c r="A65" s="53" t="n">
        <f aca="false">FALSE()</f>
        <v>0</v>
      </c>
      <c r="B65" s="54" t="s">
        <v>206</v>
      </c>
      <c r="C65" s="48" t="n">
        <f aca="false">'Get Started'!$C$4-400+1</f>
        <v>46153</v>
      </c>
      <c r="D65" s="47" t="s">
        <v>66</v>
      </c>
      <c r="E65" s="47" t="s">
        <v>127</v>
      </c>
      <c r="F65" s="47" t="s">
        <v>128</v>
      </c>
    </row>
    <row r="66" customFormat="false" ht="15" hidden="false" customHeight="false" outlineLevel="0" collapsed="false">
      <c r="A66" s="55" t="n">
        <f aca="false">FALSE()</f>
        <v>0</v>
      </c>
      <c r="B66" s="56" t="s">
        <v>207</v>
      </c>
      <c r="C66" s="46" t="n">
        <f aca="false">'Get Started'!$C$4-400+2</f>
        <v>46154</v>
      </c>
      <c r="D66" s="45" t="s">
        <v>66</v>
      </c>
      <c r="E66" s="45" t="s">
        <v>127</v>
      </c>
      <c r="F66" s="45" t="s">
        <v>128</v>
      </c>
    </row>
    <row r="67" customFormat="false" ht="15" hidden="false" customHeight="false" outlineLevel="0" collapsed="false">
      <c r="A67" s="53" t="n">
        <f aca="false">FALSE()</f>
        <v>0</v>
      </c>
      <c r="B67" s="54" t="s">
        <v>208</v>
      </c>
      <c r="C67" s="48" t="n">
        <f aca="false">'Get Started'!$C$4-400+2</f>
        <v>46154</v>
      </c>
      <c r="D67" s="47" t="s">
        <v>66</v>
      </c>
      <c r="E67" s="47" t="s">
        <v>127</v>
      </c>
      <c r="F67" s="47" t="s">
        <v>128</v>
      </c>
    </row>
    <row r="68" customFormat="false" ht="15" hidden="false" customHeight="false" outlineLevel="0" collapsed="false">
      <c r="A68" s="55" t="n">
        <f aca="false">FALSE()</f>
        <v>0</v>
      </c>
      <c r="B68" s="56" t="s">
        <v>209</v>
      </c>
      <c r="C68" s="46" t="n">
        <f aca="false">'Get Started'!$C$4-400+2</f>
        <v>46154</v>
      </c>
      <c r="D68" s="45" t="s">
        <v>66</v>
      </c>
      <c r="E68" s="45" t="s">
        <v>127</v>
      </c>
      <c r="F68" s="45" t="s">
        <v>128</v>
      </c>
    </row>
    <row r="69" customFormat="false" ht="15" hidden="false" customHeight="false" outlineLevel="0" collapsed="false">
      <c r="A69" s="53" t="n">
        <f aca="false">FALSE()</f>
        <v>0</v>
      </c>
      <c r="B69" s="54" t="s">
        <v>210</v>
      </c>
      <c r="C69" s="48" t="n">
        <f aca="false">'Get Started'!$C$4-400+2</f>
        <v>46154</v>
      </c>
      <c r="D69" s="47" t="s">
        <v>66</v>
      </c>
      <c r="E69" s="47" t="s">
        <v>127</v>
      </c>
      <c r="F69" s="47" t="s">
        <v>128</v>
      </c>
    </row>
    <row r="70" customFormat="false" ht="15" hidden="false" customHeight="false" outlineLevel="0" collapsed="false">
      <c r="A70" s="55" t="n">
        <f aca="false">FALSE()</f>
        <v>0</v>
      </c>
      <c r="B70" s="56" t="s">
        <v>211</v>
      </c>
      <c r="C70" s="46" t="n">
        <f aca="false">'Get Started'!$C$4-400+2</f>
        <v>46154</v>
      </c>
      <c r="D70" s="45" t="s">
        <v>66</v>
      </c>
      <c r="E70" s="45" t="s">
        <v>127</v>
      </c>
      <c r="F70" s="45" t="s">
        <v>128</v>
      </c>
    </row>
    <row r="71" customFormat="false" ht="15" hidden="false" customHeight="false" outlineLevel="0" collapsed="false">
      <c r="A71" s="53" t="n">
        <f aca="false">FALSE()</f>
        <v>0</v>
      </c>
      <c r="B71" s="54" t="s">
        <v>212</v>
      </c>
      <c r="C71" s="48" t="n">
        <f aca="false">'Get Started'!$C$4-400+2</f>
        <v>46154</v>
      </c>
      <c r="D71" s="47" t="s">
        <v>66</v>
      </c>
      <c r="E71" s="47" t="s">
        <v>127</v>
      </c>
      <c r="F71" s="47" t="s">
        <v>128</v>
      </c>
    </row>
    <row r="72" customFormat="false" ht="15" hidden="false" customHeight="false" outlineLevel="0" collapsed="false">
      <c r="A72" s="55" t="n">
        <f aca="false">FALSE()</f>
        <v>0</v>
      </c>
      <c r="B72" s="56" t="s">
        <v>213</v>
      </c>
      <c r="C72" s="46" t="n">
        <f aca="false">'Get Started'!$C$4-400+2</f>
        <v>46154</v>
      </c>
      <c r="D72" s="45" t="s">
        <v>66</v>
      </c>
      <c r="E72" s="45" t="s">
        <v>127</v>
      </c>
      <c r="F72" s="45" t="s">
        <v>128</v>
      </c>
    </row>
    <row r="73" customFormat="false" ht="15" hidden="false" customHeight="false" outlineLevel="0" collapsed="false">
      <c r="A73" s="53" t="n">
        <f aca="false">FALSE()</f>
        <v>0</v>
      </c>
      <c r="B73" s="54" t="s">
        <v>214</v>
      </c>
      <c r="C73" s="48" t="n">
        <f aca="false">'Get Started'!$C$4-400+2</f>
        <v>46154</v>
      </c>
      <c r="D73" s="47" t="s">
        <v>66</v>
      </c>
      <c r="E73" s="47" t="s">
        <v>127</v>
      </c>
      <c r="F73" s="47" t="s">
        <v>128</v>
      </c>
    </row>
    <row r="74" customFormat="false" ht="15" hidden="false" customHeight="false" outlineLevel="0" collapsed="false">
      <c r="A74" s="55" t="n">
        <f aca="false">FALSE()</f>
        <v>0</v>
      </c>
      <c r="B74" s="56" t="s">
        <v>215</v>
      </c>
      <c r="C74" s="46" t="n">
        <f aca="false">'Get Started'!$C$4-400+3</f>
        <v>46155</v>
      </c>
      <c r="D74" s="45" t="s">
        <v>66</v>
      </c>
      <c r="E74" s="45" t="s">
        <v>127</v>
      </c>
      <c r="F74" s="45" t="s">
        <v>128</v>
      </c>
    </row>
    <row r="75" customFormat="false" ht="15" hidden="false" customHeight="false" outlineLevel="0" collapsed="false">
      <c r="A75" s="53" t="n">
        <f aca="false">FALSE()</f>
        <v>0</v>
      </c>
      <c r="B75" s="54" t="s">
        <v>216</v>
      </c>
      <c r="C75" s="48" t="n">
        <f aca="false">'Get Started'!$C$4-400+3</f>
        <v>46155</v>
      </c>
      <c r="D75" s="47" t="s">
        <v>66</v>
      </c>
      <c r="E75" s="47" t="s">
        <v>127</v>
      </c>
      <c r="F75" s="47" t="s">
        <v>128</v>
      </c>
    </row>
    <row r="76" customFormat="false" ht="15" hidden="false" customHeight="false" outlineLevel="0" collapsed="false">
      <c r="A76" s="55" t="n">
        <f aca="false">FALSE()</f>
        <v>0</v>
      </c>
      <c r="B76" s="56" t="s">
        <v>217</v>
      </c>
      <c r="C76" s="46" t="n">
        <f aca="false">'Get Started'!$C$4-400+3</f>
        <v>46155</v>
      </c>
      <c r="D76" s="45" t="s">
        <v>66</v>
      </c>
      <c r="E76" s="45" t="s">
        <v>127</v>
      </c>
      <c r="F76" s="45" t="s">
        <v>128</v>
      </c>
    </row>
    <row r="77" customFormat="false" ht="15" hidden="false" customHeight="false" outlineLevel="0" collapsed="false">
      <c r="A77" s="53" t="n">
        <f aca="false">FALSE()</f>
        <v>0</v>
      </c>
      <c r="B77" s="54" t="s">
        <v>218</v>
      </c>
      <c r="C77" s="48" t="n">
        <f aca="false">'Get Started'!$C$4-400+3</f>
        <v>46155</v>
      </c>
      <c r="D77" s="47" t="s">
        <v>66</v>
      </c>
      <c r="E77" s="47" t="s">
        <v>127</v>
      </c>
      <c r="F77" s="47" t="s">
        <v>128</v>
      </c>
    </row>
    <row r="78" customFormat="false" ht="15" hidden="false" customHeight="false" outlineLevel="0" collapsed="false">
      <c r="A78" s="55" t="n">
        <f aca="false">FALSE()</f>
        <v>0</v>
      </c>
      <c r="B78" s="56" t="s">
        <v>219</v>
      </c>
      <c r="C78" s="46" t="n">
        <f aca="false">'Get Started'!$C$4-400+3</f>
        <v>46155</v>
      </c>
      <c r="D78" s="45" t="s">
        <v>66</v>
      </c>
      <c r="E78" s="45" t="s">
        <v>127</v>
      </c>
      <c r="F78" s="45" t="s">
        <v>128</v>
      </c>
    </row>
    <row r="79" customFormat="false" ht="15" hidden="false" customHeight="false" outlineLevel="0" collapsed="false">
      <c r="A79" s="53" t="n">
        <f aca="false">FALSE()</f>
        <v>0</v>
      </c>
      <c r="B79" s="54" t="s">
        <v>220</v>
      </c>
      <c r="C79" s="48" t="n">
        <f aca="false">'Get Started'!$C$4-400+3</f>
        <v>46155</v>
      </c>
      <c r="D79" s="47" t="s">
        <v>66</v>
      </c>
      <c r="E79" s="47" t="s">
        <v>127</v>
      </c>
      <c r="F79" s="47" t="s">
        <v>128</v>
      </c>
    </row>
    <row r="80" customFormat="false" ht="15" hidden="false" customHeight="false" outlineLevel="0" collapsed="false">
      <c r="A80" s="55" t="n">
        <f aca="false">FALSE()</f>
        <v>0</v>
      </c>
      <c r="B80" s="56" t="s">
        <v>221</v>
      </c>
      <c r="C80" s="46" t="n">
        <f aca="false">'Get Started'!$C$4-400+3</f>
        <v>46155</v>
      </c>
      <c r="D80" s="45" t="s">
        <v>66</v>
      </c>
      <c r="E80" s="45" t="s">
        <v>127</v>
      </c>
      <c r="F80" s="45" t="s">
        <v>128</v>
      </c>
    </row>
    <row r="81" customFormat="false" ht="15" hidden="false" customHeight="false" outlineLevel="0" collapsed="false">
      <c r="A81" s="53" t="n">
        <f aca="false">FALSE()</f>
        <v>0</v>
      </c>
      <c r="B81" s="54" t="s">
        <v>222</v>
      </c>
      <c r="C81" s="48" t="n">
        <f aca="false">'Get Started'!$C$4-400+3</f>
        <v>46155</v>
      </c>
      <c r="D81" s="47" t="s">
        <v>66</v>
      </c>
      <c r="E81" s="47" t="s">
        <v>127</v>
      </c>
      <c r="F81" s="47" t="s">
        <v>128</v>
      </c>
    </row>
    <row r="82" customFormat="false" ht="15" hidden="false" customHeight="false" outlineLevel="0" collapsed="false">
      <c r="A82" s="55" t="n">
        <f aca="false">FALSE()</f>
        <v>0</v>
      </c>
      <c r="B82" s="56" t="s">
        <v>223</v>
      </c>
      <c r="C82" s="46" t="n">
        <f aca="false">'Get Started'!$C$4-400+3</f>
        <v>46155</v>
      </c>
      <c r="D82" s="45" t="s">
        <v>66</v>
      </c>
      <c r="E82" s="45" t="s">
        <v>127</v>
      </c>
      <c r="F82" s="45" t="s">
        <v>128</v>
      </c>
    </row>
    <row r="83" customFormat="false" ht="15" hidden="false" customHeight="false" outlineLevel="0" collapsed="false">
      <c r="A83" s="53" t="n">
        <f aca="false">FALSE()</f>
        <v>0</v>
      </c>
      <c r="B83" s="54" t="s">
        <v>224</v>
      </c>
      <c r="C83" s="48" t="n">
        <f aca="false">'Get Started'!$C$4-400+4</f>
        <v>46156</v>
      </c>
      <c r="D83" s="47" t="s">
        <v>66</v>
      </c>
      <c r="E83" s="47" t="s">
        <v>127</v>
      </c>
      <c r="F83" s="47" t="s">
        <v>128</v>
      </c>
    </row>
    <row r="84" customFormat="false" ht="15" hidden="false" customHeight="false" outlineLevel="0" collapsed="false">
      <c r="A84" s="55" t="n">
        <f aca="false">FALSE()</f>
        <v>0</v>
      </c>
      <c r="B84" s="56" t="s">
        <v>225</v>
      </c>
      <c r="C84" s="46" t="n">
        <f aca="false">'Get Started'!$C$4-400+4</f>
        <v>46156</v>
      </c>
      <c r="D84" s="45" t="s">
        <v>66</v>
      </c>
      <c r="E84" s="45" t="s">
        <v>127</v>
      </c>
      <c r="F84" s="45" t="s">
        <v>128</v>
      </c>
    </row>
    <row r="85" customFormat="false" ht="15" hidden="false" customHeight="false" outlineLevel="0" collapsed="false">
      <c r="A85" s="53" t="n">
        <f aca="false">FALSE()</f>
        <v>0</v>
      </c>
      <c r="B85" s="54" t="s">
        <v>226</v>
      </c>
      <c r="C85" s="48" t="n">
        <f aca="false">'Get Started'!$C$4-400+4</f>
        <v>46156</v>
      </c>
      <c r="D85" s="47" t="s">
        <v>66</v>
      </c>
      <c r="E85" s="47" t="s">
        <v>127</v>
      </c>
      <c r="F85" s="47" t="s">
        <v>128</v>
      </c>
    </row>
    <row r="86" customFormat="false" ht="15" hidden="false" customHeight="false" outlineLevel="0" collapsed="false">
      <c r="A86" s="55" t="n">
        <f aca="false">FALSE()</f>
        <v>0</v>
      </c>
      <c r="B86" s="56" t="s">
        <v>227</v>
      </c>
      <c r="C86" s="46" t="n">
        <f aca="false">'Get Started'!$C$4-400+4</f>
        <v>46156</v>
      </c>
      <c r="D86" s="45" t="s">
        <v>66</v>
      </c>
      <c r="E86" s="45" t="s">
        <v>127</v>
      </c>
      <c r="F86" s="45" t="s">
        <v>128</v>
      </c>
    </row>
    <row r="87" customFormat="false" ht="15" hidden="false" customHeight="false" outlineLevel="0" collapsed="false">
      <c r="A87" s="53" t="n">
        <f aca="false">FALSE()</f>
        <v>0</v>
      </c>
      <c r="B87" s="54" t="s">
        <v>228</v>
      </c>
      <c r="C87" s="48" t="n">
        <f aca="false">'Get Started'!$C$4-400+4</f>
        <v>46156</v>
      </c>
      <c r="D87" s="47" t="s">
        <v>66</v>
      </c>
      <c r="E87" s="47" t="s">
        <v>127</v>
      </c>
      <c r="F87" s="47" t="s">
        <v>128</v>
      </c>
    </row>
    <row r="88" customFormat="false" ht="15" hidden="false" customHeight="false" outlineLevel="0" collapsed="false">
      <c r="A88" s="55" t="n">
        <f aca="false">FALSE()</f>
        <v>0</v>
      </c>
      <c r="B88" s="56" t="s">
        <v>229</v>
      </c>
      <c r="C88" s="46" t="n">
        <f aca="false">'Get Started'!$C$4-400+4</f>
        <v>46156</v>
      </c>
      <c r="D88" s="45" t="s">
        <v>66</v>
      </c>
      <c r="E88" s="45" t="s">
        <v>127</v>
      </c>
      <c r="F88" s="45" t="s">
        <v>128</v>
      </c>
    </row>
    <row r="89" customFormat="false" ht="15" hidden="false" customHeight="false" outlineLevel="0" collapsed="false">
      <c r="A89" s="53" t="n">
        <f aca="false">FALSE()</f>
        <v>0</v>
      </c>
      <c r="B89" s="54" t="s">
        <v>230</v>
      </c>
      <c r="C89" s="48" t="n">
        <f aca="false">'Get Started'!$C$4-400+4</f>
        <v>46156</v>
      </c>
      <c r="D89" s="47" t="s">
        <v>66</v>
      </c>
      <c r="E89" s="47" t="s">
        <v>127</v>
      </c>
      <c r="F89" s="47" t="s">
        <v>128</v>
      </c>
    </row>
    <row r="90" customFormat="false" ht="15" hidden="false" customHeight="false" outlineLevel="0" collapsed="false">
      <c r="A90" s="55" t="n">
        <f aca="false">FALSE()</f>
        <v>0</v>
      </c>
      <c r="B90" s="56" t="s">
        <v>231</v>
      </c>
      <c r="C90" s="46" t="n">
        <f aca="false">'Get Started'!$C$4-400+4</f>
        <v>46156</v>
      </c>
      <c r="D90" s="45" t="s">
        <v>66</v>
      </c>
      <c r="E90" s="45" t="s">
        <v>127</v>
      </c>
      <c r="F90" s="45" t="s">
        <v>128</v>
      </c>
    </row>
    <row r="91" customFormat="false" ht="15" hidden="false" customHeight="false" outlineLevel="0" collapsed="false">
      <c r="A91" s="53" t="n">
        <f aca="false">FALSE()</f>
        <v>0</v>
      </c>
      <c r="B91" s="54" t="s">
        <v>232</v>
      </c>
      <c r="C91" s="48" t="n">
        <f aca="false">'Get Started'!$C$4-400+5</f>
        <v>46157</v>
      </c>
      <c r="D91" s="47" t="s">
        <v>66</v>
      </c>
      <c r="E91" s="47" t="s">
        <v>127</v>
      </c>
      <c r="F91" s="47" t="s">
        <v>128</v>
      </c>
    </row>
    <row r="92" customFormat="false" ht="15" hidden="false" customHeight="false" outlineLevel="0" collapsed="false">
      <c r="A92" s="55" t="n">
        <f aca="false">FALSE()</f>
        <v>0</v>
      </c>
      <c r="B92" s="56" t="s">
        <v>233</v>
      </c>
      <c r="C92" s="46" t="n">
        <f aca="false">'Get Started'!$C$4-330+-5</f>
        <v>46217</v>
      </c>
      <c r="D92" s="45" t="s">
        <v>66</v>
      </c>
      <c r="E92" s="45" t="s">
        <v>127</v>
      </c>
      <c r="F92" s="45" t="s">
        <v>132</v>
      </c>
    </row>
    <row r="93" customFormat="false" ht="15" hidden="false" customHeight="false" outlineLevel="0" collapsed="false">
      <c r="A93" s="53" t="n">
        <f aca="false">FALSE()</f>
        <v>0</v>
      </c>
      <c r="B93" s="54" t="s">
        <v>234</v>
      </c>
      <c r="C93" s="48" t="n">
        <f aca="false">'Get Started'!$C$4-330+-5</f>
        <v>46217</v>
      </c>
      <c r="D93" s="47" t="s">
        <v>66</v>
      </c>
      <c r="E93" s="47" t="s">
        <v>127</v>
      </c>
      <c r="F93" s="47" t="s">
        <v>132</v>
      </c>
    </row>
    <row r="94" customFormat="false" ht="15" hidden="false" customHeight="false" outlineLevel="0" collapsed="false">
      <c r="A94" s="55" t="n">
        <f aca="false">FALSE()</f>
        <v>0</v>
      </c>
      <c r="B94" s="56" t="s">
        <v>235</v>
      </c>
      <c r="C94" s="46" t="n">
        <f aca="false">'Get Started'!$C$4-330+-5</f>
        <v>46217</v>
      </c>
      <c r="D94" s="45" t="s">
        <v>66</v>
      </c>
      <c r="E94" s="45" t="s">
        <v>127</v>
      </c>
      <c r="F94" s="45" t="s">
        <v>132</v>
      </c>
    </row>
    <row r="95" customFormat="false" ht="15" hidden="false" customHeight="false" outlineLevel="0" collapsed="false">
      <c r="A95" s="53" t="n">
        <f aca="false">FALSE()</f>
        <v>0</v>
      </c>
      <c r="B95" s="54" t="s">
        <v>236</v>
      </c>
      <c r="C95" s="48" t="n">
        <f aca="false">'Get Started'!$C$4-330+-5</f>
        <v>46217</v>
      </c>
      <c r="D95" s="47" t="s">
        <v>66</v>
      </c>
      <c r="E95" s="47" t="s">
        <v>127</v>
      </c>
      <c r="F95" s="47" t="s">
        <v>132</v>
      </c>
    </row>
    <row r="96" customFormat="false" ht="15" hidden="false" customHeight="false" outlineLevel="0" collapsed="false">
      <c r="A96" s="55" t="n">
        <f aca="false">FALSE()</f>
        <v>0</v>
      </c>
      <c r="B96" s="56" t="s">
        <v>237</v>
      </c>
      <c r="C96" s="46" t="n">
        <f aca="false">'Get Started'!$C$4-330+-5</f>
        <v>46217</v>
      </c>
      <c r="D96" s="45" t="s">
        <v>66</v>
      </c>
      <c r="E96" s="45" t="s">
        <v>127</v>
      </c>
      <c r="F96" s="45" t="s">
        <v>132</v>
      </c>
    </row>
    <row r="97" customFormat="false" ht="15" hidden="false" customHeight="false" outlineLevel="0" collapsed="false">
      <c r="A97" s="53" t="n">
        <f aca="false">FALSE()</f>
        <v>0</v>
      </c>
      <c r="B97" s="54" t="s">
        <v>238</v>
      </c>
      <c r="C97" s="48" t="n">
        <f aca="false">'Get Started'!$C$4-330+-5</f>
        <v>46217</v>
      </c>
      <c r="D97" s="47" t="s">
        <v>66</v>
      </c>
      <c r="E97" s="47" t="s">
        <v>127</v>
      </c>
      <c r="F97" s="47" t="s">
        <v>132</v>
      </c>
    </row>
    <row r="98" customFormat="false" ht="15" hidden="false" customHeight="false" outlineLevel="0" collapsed="false">
      <c r="A98" s="55" t="n">
        <f aca="false">FALSE()</f>
        <v>0</v>
      </c>
      <c r="B98" s="56" t="s">
        <v>239</v>
      </c>
      <c r="C98" s="46" t="n">
        <f aca="false">'Get Started'!$C$4-330+-5</f>
        <v>46217</v>
      </c>
      <c r="D98" s="45" t="s">
        <v>66</v>
      </c>
      <c r="E98" s="45" t="s">
        <v>127</v>
      </c>
      <c r="F98" s="45" t="s">
        <v>132</v>
      </c>
    </row>
    <row r="99" customFormat="false" ht="15" hidden="false" customHeight="false" outlineLevel="0" collapsed="false">
      <c r="A99" s="53" t="n">
        <f aca="false">FALSE()</f>
        <v>0</v>
      </c>
      <c r="B99" s="54" t="s">
        <v>240</v>
      </c>
      <c r="C99" s="48" t="n">
        <f aca="false">'Get Started'!$C$4-330+-5</f>
        <v>46217</v>
      </c>
      <c r="D99" s="47" t="s">
        <v>66</v>
      </c>
      <c r="E99" s="47" t="s">
        <v>127</v>
      </c>
      <c r="F99" s="47" t="s">
        <v>132</v>
      </c>
    </row>
    <row r="100" customFormat="false" ht="15" hidden="false" customHeight="false" outlineLevel="0" collapsed="false">
      <c r="A100" s="55" t="n">
        <f aca="false">FALSE()</f>
        <v>0</v>
      </c>
      <c r="B100" s="56" t="s">
        <v>241</v>
      </c>
      <c r="C100" s="46" t="n">
        <f aca="false">'Get Started'!$C$4-330+-5</f>
        <v>46217</v>
      </c>
      <c r="D100" s="45" t="s">
        <v>66</v>
      </c>
      <c r="E100" s="45" t="s">
        <v>127</v>
      </c>
      <c r="F100" s="45" t="s">
        <v>132</v>
      </c>
    </row>
    <row r="101" customFormat="false" ht="15" hidden="false" customHeight="false" outlineLevel="0" collapsed="false">
      <c r="A101" s="53" t="n">
        <f aca="false">FALSE()</f>
        <v>0</v>
      </c>
      <c r="B101" s="54" t="s">
        <v>242</v>
      </c>
      <c r="C101" s="48" t="n">
        <f aca="false">'Get Started'!$C$4-330+-5</f>
        <v>46217</v>
      </c>
      <c r="D101" s="47" t="s">
        <v>66</v>
      </c>
      <c r="E101" s="47" t="s">
        <v>127</v>
      </c>
      <c r="F101" s="47" t="s">
        <v>132</v>
      </c>
    </row>
    <row r="102" customFormat="false" ht="15" hidden="false" customHeight="false" outlineLevel="0" collapsed="false">
      <c r="A102" s="55" t="n">
        <f aca="false">FALSE()</f>
        <v>0</v>
      </c>
      <c r="B102" s="56" t="s">
        <v>243</v>
      </c>
      <c r="C102" s="46" t="n">
        <f aca="false">'Get Started'!$C$4-330+-4</f>
        <v>46218</v>
      </c>
      <c r="D102" s="45" t="s">
        <v>66</v>
      </c>
      <c r="E102" s="45" t="s">
        <v>127</v>
      </c>
      <c r="F102" s="45" t="s">
        <v>132</v>
      </c>
    </row>
    <row r="103" customFormat="false" ht="15" hidden="false" customHeight="false" outlineLevel="0" collapsed="false">
      <c r="A103" s="53" t="n">
        <f aca="false">FALSE()</f>
        <v>0</v>
      </c>
      <c r="B103" s="54" t="s">
        <v>244</v>
      </c>
      <c r="C103" s="48" t="n">
        <f aca="false">'Get Started'!$C$4-330+-4</f>
        <v>46218</v>
      </c>
      <c r="D103" s="47" t="s">
        <v>66</v>
      </c>
      <c r="E103" s="47" t="s">
        <v>127</v>
      </c>
      <c r="F103" s="47" t="s">
        <v>132</v>
      </c>
    </row>
    <row r="104" customFormat="false" ht="15" hidden="false" customHeight="false" outlineLevel="0" collapsed="false">
      <c r="A104" s="55" t="n">
        <f aca="false">FALSE()</f>
        <v>0</v>
      </c>
      <c r="B104" s="56" t="s">
        <v>245</v>
      </c>
      <c r="C104" s="46" t="n">
        <f aca="false">'Get Started'!$C$4-330+-4</f>
        <v>46218</v>
      </c>
      <c r="D104" s="45" t="s">
        <v>66</v>
      </c>
      <c r="E104" s="45" t="s">
        <v>127</v>
      </c>
      <c r="F104" s="45" t="s">
        <v>132</v>
      </c>
    </row>
    <row r="105" customFormat="false" ht="15" hidden="false" customHeight="false" outlineLevel="0" collapsed="false">
      <c r="A105" s="53" t="n">
        <f aca="false">FALSE()</f>
        <v>0</v>
      </c>
      <c r="B105" s="54" t="s">
        <v>246</v>
      </c>
      <c r="C105" s="48" t="n">
        <f aca="false">'Get Started'!$C$4-330+-4</f>
        <v>46218</v>
      </c>
      <c r="D105" s="47" t="s">
        <v>66</v>
      </c>
      <c r="E105" s="47" t="s">
        <v>127</v>
      </c>
      <c r="F105" s="47" t="s">
        <v>132</v>
      </c>
    </row>
    <row r="106" customFormat="false" ht="15" hidden="false" customHeight="false" outlineLevel="0" collapsed="false">
      <c r="A106" s="55" t="n">
        <f aca="false">FALSE()</f>
        <v>0</v>
      </c>
      <c r="B106" s="56" t="s">
        <v>247</v>
      </c>
      <c r="C106" s="46" t="n">
        <f aca="false">'Get Started'!$C$4-330+-4</f>
        <v>46218</v>
      </c>
      <c r="D106" s="45" t="s">
        <v>66</v>
      </c>
      <c r="E106" s="45" t="s">
        <v>127</v>
      </c>
      <c r="F106" s="45" t="s">
        <v>132</v>
      </c>
    </row>
    <row r="107" customFormat="false" ht="15" hidden="false" customHeight="false" outlineLevel="0" collapsed="false">
      <c r="A107" s="53" t="n">
        <f aca="false">FALSE()</f>
        <v>0</v>
      </c>
      <c r="B107" s="54" t="s">
        <v>248</v>
      </c>
      <c r="C107" s="48" t="n">
        <f aca="false">'Get Started'!$C$4-330+-4</f>
        <v>46218</v>
      </c>
      <c r="D107" s="47" t="s">
        <v>66</v>
      </c>
      <c r="E107" s="47" t="s">
        <v>127</v>
      </c>
      <c r="F107" s="47" t="s">
        <v>132</v>
      </c>
    </row>
    <row r="108" customFormat="false" ht="15" hidden="false" customHeight="false" outlineLevel="0" collapsed="false">
      <c r="A108" s="55" t="n">
        <f aca="false">FALSE()</f>
        <v>0</v>
      </c>
      <c r="B108" s="56" t="s">
        <v>249</v>
      </c>
      <c r="C108" s="46" t="n">
        <f aca="false">'Get Started'!$C$4-330+-4</f>
        <v>46218</v>
      </c>
      <c r="D108" s="45" t="s">
        <v>66</v>
      </c>
      <c r="E108" s="45" t="s">
        <v>127</v>
      </c>
      <c r="F108" s="45" t="s">
        <v>132</v>
      </c>
    </row>
    <row r="109" customFormat="false" ht="15" hidden="false" customHeight="false" outlineLevel="0" collapsed="false">
      <c r="A109" s="53" t="n">
        <f aca="false">FALSE()</f>
        <v>0</v>
      </c>
      <c r="B109" s="54" t="s">
        <v>250</v>
      </c>
      <c r="C109" s="48" t="n">
        <f aca="false">'Get Started'!$C$4-330+-4</f>
        <v>46218</v>
      </c>
      <c r="D109" s="47" t="s">
        <v>66</v>
      </c>
      <c r="E109" s="47" t="s">
        <v>127</v>
      </c>
      <c r="F109" s="47" t="s">
        <v>132</v>
      </c>
    </row>
    <row r="110" customFormat="false" ht="15" hidden="false" customHeight="false" outlineLevel="0" collapsed="false">
      <c r="A110" s="55" t="n">
        <f aca="false">FALSE()</f>
        <v>0</v>
      </c>
      <c r="B110" s="56" t="s">
        <v>251</v>
      </c>
      <c r="C110" s="46" t="n">
        <f aca="false">'Get Started'!$C$4-330+-4</f>
        <v>46218</v>
      </c>
      <c r="D110" s="45" t="s">
        <v>66</v>
      </c>
      <c r="E110" s="45" t="s">
        <v>127</v>
      </c>
      <c r="F110" s="45" t="s">
        <v>132</v>
      </c>
    </row>
    <row r="111" customFormat="false" ht="15" hidden="false" customHeight="false" outlineLevel="0" collapsed="false">
      <c r="A111" s="53" t="n">
        <f aca="false">FALSE()</f>
        <v>0</v>
      </c>
      <c r="B111" s="54" t="s">
        <v>252</v>
      </c>
      <c r="C111" s="48" t="n">
        <f aca="false">'Get Started'!$C$4-330+-4</f>
        <v>46218</v>
      </c>
      <c r="D111" s="47" t="s">
        <v>66</v>
      </c>
      <c r="E111" s="47" t="s">
        <v>127</v>
      </c>
      <c r="F111" s="47" t="s">
        <v>132</v>
      </c>
    </row>
    <row r="112" customFormat="false" ht="15" hidden="false" customHeight="false" outlineLevel="0" collapsed="false">
      <c r="A112" s="55" t="n">
        <f aca="false">FALSE()</f>
        <v>0</v>
      </c>
      <c r="B112" s="56" t="s">
        <v>253</v>
      </c>
      <c r="C112" s="46" t="n">
        <f aca="false">'Get Started'!$C$4-330+-3</f>
        <v>46219</v>
      </c>
      <c r="D112" s="45" t="s">
        <v>66</v>
      </c>
      <c r="E112" s="45" t="s">
        <v>127</v>
      </c>
      <c r="F112" s="45" t="s">
        <v>132</v>
      </c>
    </row>
    <row r="113" customFormat="false" ht="15" hidden="false" customHeight="false" outlineLevel="0" collapsed="false">
      <c r="A113" s="53" t="n">
        <f aca="false">FALSE()</f>
        <v>0</v>
      </c>
      <c r="B113" s="54" t="s">
        <v>254</v>
      </c>
      <c r="C113" s="48" t="n">
        <f aca="false">'Get Started'!$C$4-330+-3</f>
        <v>46219</v>
      </c>
      <c r="D113" s="47" t="s">
        <v>66</v>
      </c>
      <c r="E113" s="47" t="s">
        <v>127</v>
      </c>
      <c r="F113" s="47" t="s">
        <v>132</v>
      </c>
    </row>
    <row r="114" customFormat="false" ht="15" hidden="false" customHeight="false" outlineLevel="0" collapsed="false">
      <c r="A114" s="55" t="n">
        <f aca="false">FALSE()</f>
        <v>0</v>
      </c>
      <c r="B114" s="56" t="s">
        <v>255</v>
      </c>
      <c r="C114" s="46" t="n">
        <f aca="false">'Get Started'!$C$4-330+-3</f>
        <v>46219</v>
      </c>
      <c r="D114" s="45" t="s">
        <v>66</v>
      </c>
      <c r="E114" s="45" t="s">
        <v>127</v>
      </c>
      <c r="F114" s="45" t="s">
        <v>132</v>
      </c>
    </row>
    <row r="115" customFormat="false" ht="15" hidden="false" customHeight="false" outlineLevel="0" collapsed="false">
      <c r="A115" s="53" t="n">
        <f aca="false">FALSE()</f>
        <v>0</v>
      </c>
      <c r="B115" s="54" t="s">
        <v>256</v>
      </c>
      <c r="C115" s="48" t="n">
        <f aca="false">'Get Started'!$C$4-330+-3</f>
        <v>46219</v>
      </c>
      <c r="D115" s="47" t="s">
        <v>66</v>
      </c>
      <c r="E115" s="47" t="s">
        <v>127</v>
      </c>
      <c r="F115" s="47" t="s">
        <v>132</v>
      </c>
    </row>
    <row r="116" customFormat="false" ht="15" hidden="false" customHeight="false" outlineLevel="0" collapsed="false">
      <c r="A116" s="55" t="n">
        <f aca="false">FALSE()</f>
        <v>0</v>
      </c>
      <c r="B116" s="56" t="s">
        <v>257</v>
      </c>
      <c r="C116" s="46" t="n">
        <f aca="false">'Get Started'!$C$4-330+-3</f>
        <v>46219</v>
      </c>
      <c r="D116" s="45" t="s">
        <v>66</v>
      </c>
      <c r="E116" s="45" t="s">
        <v>127</v>
      </c>
      <c r="F116" s="45" t="s">
        <v>132</v>
      </c>
    </row>
    <row r="117" customFormat="false" ht="15" hidden="false" customHeight="false" outlineLevel="0" collapsed="false">
      <c r="A117" s="53" t="n">
        <f aca="false">FALSE()</f>
        <v>0</v>
      </c>
      <c r="B117" s="54" t="s">
        <v>258</v>
      </c>
      <c r="C117" s="48" t="n">
        <f aca="false">'Get Started'!$C$4-330+-3</f>
        <v>46219</v>
      </c>
      <c r="D117" s="47" t="s">
        <v>66</v>
      </c>
      <c r="E117" s="47" t="s">
        <v>127</v>
      </c>
      <c r="F117" s="47" t="s">
        <v>132</v>
      </c>
    </row>
    <row r="118" customFormat="false" ht="15" hidden="false" customHeight="false" outlineLevel="0" collapsed="false">
      <c r="A118" s="55" t="n">
        <f aca="false">FALSE()</f>
        <v>0</v>
      </c>
      <c r="B118" s="56" t="s">
        <v>259</v>
      </c>
      <c r="C118" s="46" t="n">
        <f aca="false">'Get Started'!$C$4-330+-3</f>
        <v>46219</v>
      </c>
      <c r="D118" s="45" t="s">
        <v>66</v>
      </c>
      <c r="E118" s="45" t="s">
        <v>127</v>
      </c>
      <c r="F118" s="45" t="s">
        <v>132</v>
      </c>
    </row>
    <row r="119" customFormat="false" ht="15" hidden="false" customHeight="false" outlineLevel="0" collapsed="false">
      <c r="A119" s="53" t="n">
        <f aca="false">FALSE()</f>
        <v>0</v>
      </c>
      <c r="B119" s="54" t="s">
        <v>260</v>
      </c>
      <c r="C119" s="48" t="n">
        <f aca="false">'Get Started'!$C$4-330+-3</f>
        <v>46219</v>
      </c>
      <c r="D119" s="47" t="s">
        <v>66</v>
      </c>
      <c r="E119" s="47" t="s">
        <v>127</v>
      </c>
      <c r="F119" s="47" t="s">
        <v>132</v>
      </c>
    </row>
    <row r="120" customFormat="false" ht="15" hidden="false" customHeight="false" outlineLevel="0" collapsed="false">
      <c r="A120" s="55" t="n">
        <f aca="false">FALSE()</f>
        <v>0</v>
      </c>
      <c r="B120" s="56" t="s">
        <v>261</v>
      </c>
      <c r="C120" s="46" t="n">
        <f aca="false">'Get Started'!$C$4-330+-3</f>
        <v>46219</v>
      </c>
      <c r="D120" s="45" t="s">
        <v>66</v>
      </c>
      <c r="E120" s="45" t="s">
        <v>127</v>
      </c>
      <c r="F120" s="45" t="s">
        <v>132</v>
      </c>
    </row>
    <row r="121" customFormat="false" ht="15" hidden="false" customHeight="false" outlineLevel="0" collapsed="false">
      <c r="A121" s="53" t="n">
        <f aca="false">FALSE()</f>
        <v>0</v>
      </c>
      <c r="B121" s="54" t="s">
        <v>262</v>
      </c>
      <c r="C121" s="48" t="n">
        <f aca="false">'Get Started'!$C$4-330+-3</f>
        <v>46219</v>
      </c>
      <c r="D121" s="47" t="s">
        <v>66</v>
      </c>
      <c r="E121" s="47" t="s">
        <v>127</v>
      </c>
      <c r="F121" s="47" t="s">
        <v>132</v>
      </c>
    </row>
    <row r="122" customFormat="false" ht="15" hidden="false" customHeight="false" outlineLevel="0" collapsed="false">
      <c r="A122" s="55" t="n">
        <f aca="false">FALSE()</f>
        <v>0</v>
      </c>
      <c r="B122" s="56" t="s">
        <v>263</v>
      </c>
      <c r="C122" s="46" t="n">
        <f aca="false">'Get Started'!$C$4-330+-2</f>
        <v>46220</v>
      </c>
      <c r="D122" s="45" t="s">
        <v>66</v>
      </c>
      <c r="E122" s="45" t="s">
        <v>127</v>
      </c>
      <c r="F122" s="45" t="s">
        <v>132</v>
      </c>
    </row>
    <row r="123" customFormat="false" ht="15" hidden="false" customHeight="false" outlineLevel="0" collapsed="false">
      <c r="A123" s="53" t="n">
        <f aca="false">FALSE()</f>
        <v>0</v>
      </c>
      <c r="B123" s="54" t="s">
        <v>264</v>
      </c>
      <c r="C123" s="48" t="n">
        <f aca="false">'Get Started'!$C$4-330+-2</f>
        <v>46220</v>
      </c>
      <c r="D123" s="47" t="s">
        <v>66</v>
      </c>
      <c r="E123" s="47" t="s">
        <v>127</v>
      </c>
      <c r="F123" s="47" t="s">
        <v>132</v>
      </c>
    </row>
    <row r="124" customFormat="false" ht="15" hidden="false" customHeight="false" outlineLevel="0" collapsed="false">
      <c r="A124" s="55" t="n">
        <f aca="false">FALSE()</f>
        <v>0</v>
      </c>
      <c r="B124" s="56" t="s">
        <v>265</v>
      </c>
      <c r="C124" s="46" t="n">
        <f aca="false">'Get Started'!$C$4-330+-2</f>
        <v>46220</v>
      </c>
      <c r="D124" s="45" t="s">
        <v>66</v>
      </c>
      <c r="E124" s="45" t="s">
        <v>127</v>
      </c>
      <c r="F124" s="45" t="s">
        <v>132</v>
      </c>
    </row>
    <row r="125" customFormat="false" ht="15" hidden="false" customHeight="false" outlineLevel="0" collapsed="false">
      <c r="A125" s="53" t="n">
        <f aca="false">FALSE()</f>
        <v>0</v>
      </c>
      <c r="B125" s="54" t="s">
        <v>266</v>
      </c>
      <c r="C125" s="48" t="n">
        <f aca="false">'Get Started'!$C$4-330+-2</f>
        <v>46220</v>
      </c>
      <c r="D125" s="47" t="s">
        <v>66</v>
      </c>
      <c r="E125" s="47" t="s">
        <v>127</v>
      </c>
      <c r="F125" s="47" t="s">
        <v>132</v>
      </c>
    </row>
    <row r="126" customFormat="false" ht="15" hidden="false" customHeight="false" outlineLevel="0" collapsed="false">
      <c r="A126" s="55" t="n">
        <f aca="false">FALSE()</f>
        <v>0</v>
      </c>
      <c r="B126" s="56" t="s">
        <v>267</v>
      </c>
      <c r="C126" s="46" t="n">
        <f aca="false">'Get Started'!$C$4-330+-2</f>
        <v>46220</v>
      </c>
      <c r="D126" s="45" t="s">
        <v>66</v>
      </c>
      <c r="E126" s="45" t="s">
        <v>127</v>
      </c>
      <c r="F126" s="45" t="s">
        <v>132</v>
      </c>
    </row>
    <row r="127" customFormat="false" ht="15" hidden="false" customHeight="false" outlineLevel="0" collapsed="false">
      <c r="A127" s="53" t="n">
        <f aca="false">FALSE()</f>
        <v>0</v>
      </c>
      <c r="B127" s="54" t="s">
        <v>268</v>
      </c>
      <c r="C127" s="48" t="n">
        <f aca="false">'Get Started'!$C$4-330+-2</f>
        <v>46220</v>
      </c>
      <c r="D127" s="47" t="s">
        <v>66</v>
      </c>
      <c r="E127" s="47" t="s">
        <v>127</v>
      </c>
      <c r="F127" s="47" t="s">
        <v>132</v>
      </c>
    </row>
    <row r="128" customFormat="false" ht="15" hidden="false" customHeight="false" outlineLevel="0" collapsed="false">
      <c r="A128" s="55" t="n">
        <f aca="false">FALSE()</f>
        <v>0</v>
      </c>
      <c r="B128" s="56" t="s">
        <v>269</v>
      </c>
      <c r="C128" s="46" t="n">
        <f aca="false">'Get Started'!$C$4-330+-2</f>
        <v>46220</v>
      </c>
      <c r="D128" s="45" t="s">
        <v>66</v>
      </c>
      <c r="E128" s="45" t="s">
        <v>127</v>
      </c>
      <c r="F128" s="45" t="s">
        <v>132</v>
      </c>
    </row>
    <row r="129" customFormat="false" ht="15" hidden="false" customHeight="false" outlineLevel="0" collapsed="false">
      <c r="A129" s="53" t="n">
        <f aca="false">FALSE()</f>
        <v>0</v>
      </c>
      <c r="B129" s="54" t="s">
        <v>270</v>
      </c>
      <c r="C129" s="48" t="n">
        <f aca="false">'Get Started'!$C$4-330+-2</f>
        <v>46220</v>
      </c>
      <c r="D129" s="47" t="s">
        <v>66</v>
      </c>
      <c r="E129" s="47" t="s">
        <v>127</v>
      </c>
      <c r="F129" s="47" t="s">
        <v>132</v>
      </c>
    </row>
    <row r="130" customFormat="false" ht="15" hidden="false" customHeight="false" outlineLevel="0" collapsed="false">
      <c r="A130" s="55" t="n">
        <f aca="false">FALSE()</f>
        <v>0</v>
      </c>
      <c r="B130" s="56" t="s">
        <v>271</v>
      </c>
      <c r="C130" s="46" t="n">
        <f aca="false">'Get Started'!$C$4-330+-2</f>
        <v>46220</v>
      </c>
      <c r="D130" s="45" t="s">
        <v>66</v>
      </c>
      <c r="E130" s="45" t="s">
        <v>127</v>
      </c>
      <c r="F130" s="45" t="s">
        <v>132</v>
      </c>
    </row>
    <row r="131" customFormat="false" ht="15" hidden="false" customHeight="false" outlineLevel="0" collapsed="false">
      <c r="A131" s="53" t="n">
        <f aca="false">FALSE()</f>
        <v>0</v>
      </c>
      <c r="B131" s="54" t="s">
        <v>272</v>
      </c>
      <c r="C131" s="48" t="n">
        <f aca="false">'Get Started'!$C$4-330+-2</f>
        <v>46220</v>
      </c>
      <c r="D131" s="47" t="s">
        <v>66</v>
      </c>
      <c r="E131" s="47" t="s">
        <v>127</v>
      </c>
      <c r="F131" s="47" t="s">
        <v>132</v>
      </c>
    </row>
    <row r="132" customFormat="false" ht="15" hidden="false" customHeight="false" outlineLevel="0" collapsed="false">
      <c r="A132" s="55" t="n">
        <f aca="false">FALSE()</f>
        <v>0</v>
      </c>
      <c r="B132" s="56" t="s">
        <v>273</v>
      </c>
      <c r="C132" s="46" t="n">
        <f aca="false">'Get Started'!$C$4-330+-1</f>
        <v>46221</v>
      </c>
      <c r="D132" s="45" t="s">
        <v>66</v>
      </c>
      <c r="E132" s="45" t="s">
        <v>127</v>
      </c>
      <c r="F132" s="45" t="s">
        <v>132</v>
      </c>
    </row>
    <row r="133" customFormat="false" ht="15" hidden="false" customHeight="false" outlineLevel="0" collapsed="false">
      <c r="A133" s="53" t="n">
        <f aca="false">FALSE()</f>
        <v>0</v>
      </c>
      <c r="B133" s="54" t="s">
        <v>274</v>
      </c>
      <c r="C133" s="48" t="n">
        <f aca="false">'Get Started'!$C$4-330+-1</f>
        <v>46221</v>
      </c>
      <c r="D133" s="47" t="s">
        <v>66</v>
      </c>
      <c r="E133" s="47" t="s">
        <v>127</v>
      </c>
      <c r="F133" s="47" t="s">
        <v>132</v>
      </c>
    </row>
    <row r="134" customFormat="false" ht="15" hidden="false" customHeight="false" outlineLevel="0" collapsed="false">
      <c r="A134" s="55" t="n">
        <f aca="false">FALSE()</f>
        <v>0</v>
      </c>
      <c r="B134" s="56" t="s">
        <v>275</v>
      </c>
      <c r="C134" s="46" t="n">
        <f aca="false">'Get Started'!$C$4-330+-1</f>
        <v>46221</v>
      </c>
      <c r="D134" s="45" t="s">
        <v>66</v>
      </c>
      <c r="E134" s="45" t="s">
        <v>127</v>
      </c>
      <c r="F134" s="45" t="s">
        <v>132</v>
      </c>
    </row>
    <row r="135" customFormat="false" ht="15" hidden="false" customHeight="false" outlineLevel="0" collapsed="false">
      <c r="A135" s="53" t="n">
        <f aca="false">FALSE()</f>
        <v>0</v>
      </c>
      <c r="B135" s="54" t="s">
        <v>276</v>
      </c>
      <c r="C135" s="48" t="n">
        <f aca="false">'Get Started'!$C$4-330+-1</f>
        <v>46221</v>
      </c>
      <c r="D135" s="47" t="s">
        <v>66</v>
      </c>
      <c r="E135" s="47" t="s">
        <v>127</v>
      </c>
      <c r="F135" s="47" t="s">
        <v>132</v>
      </c>
    </row>
    <row r="136" customFormat="false" ht="15" hidden="false" customHeight="false" outlineLevel="0" collapsed="false">
      <c r="A136" s="55" t="n">
        <f aca="false">FALSE()</f>
        <v>0</v>
      </c>
      <c r="B136" s="56" t="s">
        <v>277</v>
      </c>
      <c r="C136" s="46" t="n">
        <f aca="false">'Get Started'!$C$4-330+-1</f>
        <v>46221</v>
      </c>
      <c r="D136" s="45" t="s">
        <v>66</v>
      </c>
      <c r="E136" s="45" t="s">
        <v>127</v>
      </c>
      <c r="F136" s="45" t="s">
        <v>132</v>
      </c>
    </row>
    <row r="137" customFormat="false" ht="15" hidden="false" customHeight="false" outlineLevel="0" collapsed="false">
      <c r="A137" s="53" t="n">
        <f aca="false">FALSE()</f>
        <v>0</v>
      </c>
      <c r="B137" s="54" t="s">
        <v>278</v>
      </c>
      <c r="C137" s="48" t="n">
        <f aca="false">'Get Started'!$C$4-330+-1</f>
        <v>46221</v>
      </c>
      <c r="D137" s="47" t="s">
        <v>66</v>
      </c>
      <c r="E137" s="47" t="s">
        <v>127</v>
      </c>
      <c r="F137" s="47" t="s">
        <v>132</v>
      </c>
    </row>
    <row r="138" customFormat="false" ht="15" hidden="false" customHeight="false" outlineLevel="0" collapsed="false">
      <c r="A138" s="55" t="n">
        <f aca="false">FALSE()</f>
        <v>0</v>
      </c>
      <c r="B138" s="56" t="s">
        <v>279</v>
      </c>
      <c r="C138" s="46" t="n">
        <f aca="false">'Get Started'!$C$4-330+-1</f>
        <v>46221</v>
      </c>
      <c r="D138" s="45" t="s">
        <v>66</v>
      </c>
      <c r="E138" s="45" t="s">
        <v>127</v>
      </c>
      <c r="F138" s="45" t="s">
        <v>132</v>
      </c>
    </row>
    <row r="139" customFormat="false" ht="15" hidden="false" customHeight="false" outlineLevel="0" collapsed="false">
      <c r="A139" s="53" t="n">
        <f aca="false">FALSE()</f>
        <v>0</v>
      </c>
      <c r="B139" s="54" t="s">
        <v>280</v>
      </c>
      <c r="C139" s="48" t="n">
        <f aca="false">'Get Started'!$C$4-330+-1</f>
        <v>46221</v>
      </c>
      <c r="D139" s="47" t="s">
        <v>66</v>
      </c>
      <c r="E139" s="47" t="s">
        <v>127</v>
      </c>
      <c r="F139" s="47" t="s">
        <v>132</v>
      </c>
    </row>
    <row r="140" customFormat="false" ht="15" hidden="false" customHeight="false" outlineLevel="0" collapsed="false">
      <c r="A140" s="55" t="n">
        <f aca="false">FALSE()</f>
        <v>0</v>
      </c>
      <c r="B140" s="56" t="s">
        <v>281</v>
      </c>
      <c r="C140" s="46" t="n">
        <f aca="false">'Get Started'!$C$4-330+-1</f>
        <v>46221</v>
      </c>
      <c r="D140" s="45" t="s">
        <v>66</v>
      </c>
      <c r="E140" s="45" t="s">
        <v>127</v>
      </c>
      <c r="F140" s="45" t="s">
        <v>132</v>
      </c>
    </row>
    <row r="141" customFormat="false" ht="15" hidden="false" customHeight="false" outlineLevel="0" collapsed="false">
      <c r="A141" s="53" t="n">
        <f aca="false">FALSE()</f>
        <v>0</v>
      </c>
      <c r="B141" s="54" t="s">
        <v>282</v>
      </c>
      <c r="C141" s="48" t="n">
        <f aca="false">'Get Started'!$C$4-330+-1</f>
        <v>46221</v>
      </c>
      <c r="D141" s="47" t="s">
        <v>66</v>
      </c>
      <c r="E141" s="47" t="s">
        <v>127</v>
      </c>
      <c r="F141" s="47" t="s">
        <v>132</v>
      </c>
    </row>
    <row r="142" customFormat="false" ht="15" hidden="false" customHeight="false" outlineLevel="0" collapsed="false">
      <c r="A142" s="55" t="n">
        <f aca="false">FALSE()</f>
        <v>0</v>
      </c>
      <c r="B142" s="56" t="s">
        <v>283</v>
      </c>
      <c r="C142" s="46" t="n">
        <f aca="false">'Get Started'!$C$4-330+0</f>
        <v>46222</v>
      </c>
      <c r="D142" s="45" t="s">
        <v>66</v>
      </c>
      <c r="E142" s="45" t="s">
        <v>127</v>
      </c>
      <c r="F142" s="45" t="s">
        <v>132</v>
      </c>
    </row>
    <row r="143" customFormat="false" ht="15" hidden="false" customHeight="false" outlineLevel="0" collapsed="false">
      <c r="A143" s="53" t="n">
        <f aca="false">FALSE()</f>
        <v>0</v>
      </c>
      <c r="B143" s="54" t="s">
        <v>284</v>
      </c>
      <c r="C143" s="48" t="n">
        <f aca="false">'Get Started'!$C$4-330+0</f>
        <v>46222</v>
      </c>
      <c r="D143" s="47" t="s">
        <v>66</v>
      </c>
      <c r="E143" s="47" t="s">
        <v>127</v>
      </c>
      <c r="F143" s="47" t="s">
        <v>132</v>
      </c>
    </row>
    <row r="144" customFormat="false" ht="15" hidden="false" customHeight="false" outlineLevel="0" collapsed="false">
      <c r="A144" s="55" t="n">
        <f aca="false">FALSE()</f>
        <v>0</v>
      </c>
      <c r="B144" s="56" t="s">
        <v>285</v>
      </c>
      <c r="C144" s="46" t="n">
        <f aca="false">'Get Started'!$C$4-330+0</f>
        <v>46222</v>
      </c>
      <c r="D144" s="45" t="s">
        <v>66</v>
      </c>
      <c r="E144" s="45" t="s">
        <v>127</v>
      </c>
      <c r="F144" s="45" t="s">
        <v>132</v>
      </c>
    </row>
    <row r="145" customFormat="false" ht="15" hidden="false" customHeight="false" outlineLevel="0" collapsed="false">
      <c r="A145" s="53" t="n">
        <f aca="false">FALSE()</f>
        <v>0</v>
      </c>
      <c r="B145" s="54" t="s">
        <v>286</v>
      </c>
      <c r="C145" s="48" t="n">
        <f aca="false">'Get Started'!$C$4-330+0</f>
        <v>46222</v>
      </c>
      <c r="D145" s="47" t="s">
        <v>66</v>
      </c>
      <c r="E145" s="47" t="s">
        <v>127</v>
      </c>
      <c r="F145" s="47" t="s">
        <v>132</v>
      </c>
    </row>
    <row r="146" customFormat="false" ht="15" hidden="false" customHeight="false" outlineLevel="0" collapsed="false">
      <c r="A146" s="55" t="n">
        <f aca="false">FALSE()</f>
        <v>0</v>
      </c>
      <c r="B146" s="56" t="s">
        <v>287</v>
      </c>
      <c r="C146" s="46" t="n">
        <f aca="false">'Get Started'!$C$4-330+0</f>
        <v>46222</v>
      </c>
      <c r="D146" s="45" t="s">
        <v>66</v>
      </c>
      <c r="E146" s="45" t="s">
        <v>127</v>
      </c>
      <c r="F146" s="45" t="s">
        <v>132</v>
      </c>
    </row>
    <row r="147" customFormat="false" ht="15" hidden="false" customHeight="false" outlineLevel="0" collapsed="false">
      <c r="A147" s="53" t="n">
        <f aca="false">FALSE()</f>
        <v>0</v>
      </c>
      <c r="B147" s="54" t="s">
        <v>288</v>
      </c>
      <c r="C147" s="48" t="n">
        <f aca="false">'Get Started'!$C$4-330+0</f>
        <v>46222</v>
      </c>
      <c r="D147" s="47" t="s">
        <v>66</v>
      </c>
      <c r="E147" s="47" t="s">
        <v>127</v>
      </c>
      <c r="F147" s="47" t="s">
        <v>132</v>
      </c>
    </row>
    <row r="148" customFormat="false" ht="15" hidden="false" customHeight="false" outlineLevel="0" collapsed="false">
      <c r="A148" s="55" t="n">
        <f aca="false">FALSE()</f>
        <v>0</v>
      </c>
      <c r="B148" s="56" t="s">
        <v>289</v>
      </c>
      <c r="C148" s="46" t="n">
        <f aca="false">'Get Started'!$C$4-330+0</f>
        <v>46222</v>
      </c>
      <c r="D148" s="45" t="s">
        <v>66</v>
      </c>
      <c r="E148" s="45" t="s">
        <v>127</v>
      </c>
      <c r="F148" s="45" t="s">
        <v>132</v>
      </c>
    </row>
    <row r="149" customFormat="false" ht="15" hidden="false" customHeight="false" outlineLevel="0" collapsed="false">
      <c r="A149" s="53" t="n">
        <f aca="false">FALSE()</f>
        <v>0</v>
      </c>
      <c r="B149" s="54" t="s">
        <v>290</v>
      </c>
      <c r="C149" s="48" t="n">
        <f aca="false">'Get Started'!$C$4-330+0</f>
        <v>46222</v>
      </c>
      <c r="D149" s="47" t="s">
        <v>66</v>
      </c>
      <c r="E149" s="47" t="s">
        <v>127</v>
      </c>
      <c r="F149" s="47" t="s">
        <v>132</v>
      </c>
    </row>
    <row r="150" customFormat="false" ht="15" hidden="false" customHeight="false" outlineLevel="0" collapsed="false">
      <c r="A150" s="55" t="n">
        <f aca="false">FALSE()</f>
        <v>0</v>
      </c>
      <c r="B150" s="56" t="s">
        <v>291</v>
      </c>
      <c r="C150" s="46" t="n">
        <f aca="false">'Get Started'!$C$4-330+0</f>
        <v>46222</v>
      </c>
      <c r="D150" s="45" t="s">
        <v>66</v>
      </c>
      <c r="E150" s="45" t="s">
        <v>127</v>
      </c>
      <c r="F150" s="45" t="s">
        <v>132</v>
      </c>
    </row>
    <row r="151" customFormat="false" ht="15" hidden="false" customHeight="false" outlineLevel="0" collapsed="false">
      <c r="A151" s="53" t="n">
        <f aca="false">FALSE()</f>
        <v>0</v>
      </c>
      <c r="B151" s="54" t="s">
        <v>292</v>
      </c>
      <c r="C151" s="48" t="n">
        <f aca="false">'Get Started'!$C$4-330+0</f>
        <v>46222</v>
      </c>
      <c r="D151" s="47" t="s">
        <v>66</v>
      </c>
      <c r="E151" s="47" t="s">
        <v>127</v>
      </c>
      <c r="F151" s="47" t="s">
        <v>132</v>
      </c>
    </row>
    <row r="152" customFormat="false" ht="15" hidden="false" customHeight="false" outlineLevel="0" collapsed="false">
      <c r="A152" s="55" t="n">
        <f aca="false">FALSE()</f>
        <v>0</v>
      </c>
      <c r="B152" s="56" t="s">
        <v>293</v>
      </c>
      <c r="C152" s="46" t="n">
        <f aca="false">'Get Started'!$C$4-330+1</f>
        <v>46223</v>
      </c>
      <c r="D152" s="45" t="s">
        <v>66</v>
      </c>
      <c r="E152" s="45" t="s">
        <v>127</v>
      </c>
      <c r="F152" s="45" t="s">
        <v>132</v>
      </c>
    </row>
    <row r="153" customFormat="false" ht="15" hidden="false" customHeight="false" outlineLevel="0" collapsed="false">
      <c r="A153" s="53" t="n">
        <f aca="false">FALSE()</f>
        <v>0</v>
      </c>
      <c r="B153" s="54" t="s">
        <v>294</v>
      </c>
      <c r="C153" s="48" t="n">
        <f aca="false">'Get Started'!$C$4-330+1</f>
        <v>46223</v>
      </c>
      <c r="D153" s="47" t="s">
        <v>66</v>
      </c>
      <c r="E153" s="47" t="s">
        <v>127</v>
      </c>
      <c r="F153" s="47" t="s">
        <v>132</v>
      </c>
    </row>
    <row r="154" customFormat="false" ht="15" hidden="false" customHeight="false" outlineLevel="0" collapsed="false">
      <c r="A154" s="55" t="n">
        <f aca="false">FALSE()</f>
        <v>0</v>
      </c>
      <c r="B154" s="56" t="s">
        <v>295</v>
      </c>
      <c r="C154" s="46" t="n">
        <f aca="false">'Get Started'!$C$4-330+1</f>
        <v>46223</v>
      </c>
      <c r="D154" s="45" t="s">
        <v>66</v>
      </c>
      <c r="E154" s="45" t="s">
        <v>127</v>
      </c>
      <c r="F154" s="45" t="s">
        <v>132</v>
      </c>
    </row>
    <row r="155" customFormat="false" ht="15" hidden="false" customHeight="false" outlineLevel="0" collapsed="false">
      <c r="A155" s="53" t="n">
        <f aca="false">FALSE()</f>
        <v>0</v>
      </c>
      <c r="B155" s="54" t="s">
        <v>296</v>
      </c>
      <c r="C155" s="48" t="n">
        <f aca="false">'Get Started'!$C$4-330+1</f>
        <v>46223</v>
      </c>
      <c r="D155" s="47" t="s">
        <v>66</v>
      </c>
      <c r="E155" s="47" t="s">
        <v>127</v>
      </c>
      <c r="F155" s="47" t="s">
        <v>132</v>
      </c>
    </row>
    <row r="156" customFormat="false" ht="15" hidden="false" customHeight="false" outlineLevel="0" collapsed="false">
      <c r="A156" s="55" t="n">
        <f aca="false">FALSE()</f>
        <v>0</v>
      </c>
      <c r="B156" s="56" t="s">
        <v>297</v>
      </c>
      <c r="C156" s="46" t="n">
        <f aca="false">'Get Started'!$C$4-330+1</f>
        <v>46223</v>
      </c>
      <c r="D156" s="45" t="s">
        <v>66</v>
      </c>
      <c r="E156" s="45" t="s">
        <v>127</v>
      </c>
      <c r="F156" s="45" t="s">
        <v>132</v>
      </c>
    </row>
    <row r="157" customFormat="false" ht="15" hidden="false" customHeight="false" outlineLevel="0" collapsed="false">
      <c r="A157" s="53" t="n">
        <f aca="false">FALSE()</f>
        <v>0</v>
      </c>
      <c r="B157" s="54" t="s">
        <v>298</v>
      </c>
      <c r="C157" s="48" t="n">
        <f aca="false">'Get Started'!$C$4-330+1</f>
        <v>46223</v>
      </c>
      <c r="D157" s="47" t="s">
        <v>66</v>
      </c>
      <c r="E157" s="47" t="s">
        <v>127</v>
      </c>
      <c r="F157" s="47" t="s">
        <v>132</v>
      </c>
    </row>
    <row r="158" customFormat="false" ht="15" hidden="false" customHeight="false" outlineLevel="0" collapsed="false">
      <c r="A158" s="55" t="n">
        <f aca="false">FALSE()</f>
        <v>0</v>
      </c>
      <c r="B158" s="56" t="s">
        <v>299</v>
      </c>
      <c r="C158" s="46" t="n">
        <f aca="false">'Get Started'!$C$4-330+1</f>
        <v>46223</v>
      </c>
      <c r="D158" s="45" t="s">
        <v>66</v>
      </c>
      <c r="E158" s="45" t="s">
        <v>127</v>
      </c>
      <c r="F158" s="45" t="s">
        <v>132</v>
      </c>
    </row>
    <row r="159" customFormat="false" ht="15" hidden="false" customHeight="false" outlineLevel="0" collapsed="false">
      <c r="A159" s="53" t="n">
        <f aca="false">FALSE()</f>
        <v>0</v>
      </c>
      <c r="B159" s="54" t="s">
        <v>300</v>
      </c>
      <c r="C159" s="48" t="n">
        <f aca="false">'Get Started'!$C$4-330+1</f>
        <v>46223</v>
      </c>
      <c r="D159" s="47" t="s">
        <v>66</v>
      </c>
      <c r="E159" s="47" t="s">
        <v>127</v>
      </c>
      <c r="F159" s="47" t="s">
        <v>132</v>
      </c>
    </row>
    <row r="160" customFormat="false" ht="15" hidden="false" customHeight="false" outlineLevel="0" collapsed="false">
      <c r="A160" s="55" t="n">
        <f aca="false">FALSE()</f>
        <v>0</v>
      </c>
      <c r="B160" s="56" t="s">
        <v>301</v>
      </c>
      <c r="C160" s="46" t="n">
        <f aca="false">'Get Started'!$C$4-330+1</f>
        <v>46223</v>
      </c>
      <c r="D160" s="45" t="s">
        <v>66</v>
      </c>
      <c r="E160" s="45" t="s">
        <v>127</v>
      </c>
      <c r="F160" s="45" t="s">
        <v>132</v>
      </c>
    </row>
    <row r="161" customFormat="false" ht="15" hidden="false" customHeight="false" outlineLevel="0" collapsed="false">
      <c r="A161" s="53" t="n">
        <f aca="false">FALSE()</f>
        <v>0</v>
      </c>
      <c r="B161" s="54" t="s">
        <v>302</v>
      </c>
      <c r="C161" s="48" t="n">
        <f aca="false">'Get Started'!$C$4-330+1</f>
        <v>46223</v>
      </c>
      <c r="D161" s="47" t="s">
        <v>66</v>
      </c>
      <c r="E161" s="47" t="s">
        <v>127</v>
      </c>
      <c r="F161" s="47" t="s">
        <v>132</v>
      </c>
    </row>
    <row r="162" customFormat="false" ht="15" hidden="false" customHeight="false" outlineLevel="0" collapsed="false">
      <c r="A162" s="55" t="n">
        <f aca="false">FALSE()</f>
        <v>0</v>
      </c>
      <c r="B162" s="56" t="s">
        <v>303</v>
      </c>
      <c r="C162" s="46" t="n">
        <f aca="false">'Get Started'!$C$4-330+2</f>
        <v>46224</v>
      </c>
      <c r="D162" s="45" t="s">
        <v>66</v>
      </c>
      <c r="E162" s="45" t="s">
        <v>127</v>
      </c>
      <c r="F162" s="45" t="s">
        <v>132</v>
      </c>
    </row>
    <row r="163" customFormat="false" ht="15" hidden="false" customHeight="false" outlineLevel="0" collapsed="false">
      <c r="A163" s="53" t="n">
        <f aca="false">FALSE()</f>
        <v>0</v>
      </c>
      <c r="B163" s="54" t="s">
        <v>304</v>
      </c>
      <c r="C163" s="48" t="n">
        <f aca="false">'Get Started'!$C$4-330+2</f>
        <v>46224</v>
      </c>
      <c r="D163" s="47" t="s">
        <v>66</v>
      </c>
      <c r="E163" s="47" t="s">
        <v>127</v>
      </c>
      <c r="F163" s="47" t="s">
        <v>132</v>
      </c>
    </row>
    <row r="164" customFormat="false" ht="15" hidden="false" customHeight="false" outlineLevel="0" collapsed="false">
      <c r="A164" s="55" t="n">
        <f aca="false">FALSE()</f>
        <v>0</v>
      </c>
      <c r="B164" s="56" t="s">
        <v>305</v>
      </c>
      <c r="C164" s="46" t="n">
        <f aca="false">'Get Started'!$C$4-330+2</f>
        <v>46224</v>
      </c>
      <c r="D164" s="45" t="s">
        <v>66</v>
      </c>
      <c r="E164" s="45" t="s">
        <v>127</v>
      </c>
      <c r="F164" s="45" t="s">
        <v>132</v>
      </c>
    </row>
    <row r="165" customFormat="false" ht="23.85" hidden="false" customHeight="false" outlineLevel="0" collapsed="false">
      <c r="A165" s="53" t="n">
        <f aca="false">FALSE()</f>
        <v>0</v>
      </c>
      <c r="B165" s="54" t="s">
        <v>306</v>
      </c>
      <c r="C165" s="48" t="n">
        <f aca="false">'Get Started'!$C$4-330+2</f>
        <v>46224</v>
      </c>
      <c r="D165" s="47" t="s">
        <v>66</v>
      </c>
      <c r="E165" s="47" t="s">
        <v>127</v>
      </c>
      <c r="F165" s="47" t="s">
        <v>132</v>
      </c>
    </row>
    <row r="166" customFormat="false" ht="15" hidden="false" customHeight="false" outlineLevel="0" collapsed="false">
      <c r="A166" s="55" t="n">
        <f aca="false">FALSE()</f>
        <v>0</v>
      </c>
      <c r="B166" s="56" t="s">
        <v>307</v>
      </c>
      <c r="C166" s="46" t="n">
        <f aca="false">'Get Started'!$C$4-330+2</f>
        <v>46224</v>
      </c>
      <c r="D166" s="45" t="s">
        <v>66</v>
      </c>
      <c r="E166" s="45" t="s">
        <v>127</v>
      </c>
      <c r="F166" s="45" t="s">
        <v>132</v>
      </c>
    </row>
    <row r="167" customFormat="false" ht="15" hidden="false" customHeight="false" outlineLevel="0" collapsed="false">
      <c r="A167" s="53" t="n">
        <f aca="false">FALSE()</f>
        <v>0</v>
      </c>
      <c r="B167" s="54" t="s">
        <v>308</v>
      </c>
      <c r="C167" s="48" t="n">
        <f aca="false">'Get Started'!$C$4-330+2</f>
        <v>46224</v>
      </c>
      <c r="D167" s="47" t="s">
        <v>66</v>
      </c>
      <c r="E167" s="47" t="s">
        <v>127</v>
      </c>
      <c r="F167" s="47" t="s">
        <v>132</v>
      </c>
    </row>
    <row r="168" customFormat="false" ht="15" hidden="false" customHeight="false" outlineLevel="0" collapsed="false">
      <c r="A168" s="55" t="n">
        <f aca="false">FALSE()</f>
        <v>0</v>
      </c>
      <c r="B168" s="56" t="s">
        <v>309</v>
      </c>
      <c r="C168" s="46" t="n">
        <f aca="false">'Get Started'!$C$4-330+2</f>
        <v>46224</v>
      </c>
      <c r="D168" s="45" t="s">
        <v>66</v>
      </c>
      <c r="E168" s="45" t="s">
        <v>127</v>
      </c>
      <c r="F168" s="45" t="s">
        <v>132</v>
      </c>
    </row>
    <row r="169" customFormat="false" ht="15" hidden="false" customHeight="false" outlineLevel="0" collapsed="false">
      <c r="A169" s="53" t="n">
        <f aca="false">FALSE()</f>
        <v>0</v>
      </c>
      <c r="B169" s="54" t="s">
        <v>310</v>
      </c>
      <c r="C169" s="48" t="n">
        <f aca="false">'Get Started'!$C$4-330+2</f>
        <v>46224</v>
      </c>
      <c r="D169" s="47" t="s">
        <v>66</v>
      </c>
      <c r="E169" s="47" t="s">
        <v>127</v>
      </c>
      <c r="F169" s="47" t="s">
        <v>132</v>
      </c>
    </row>
    <row r="170" customFormat="false" ht="15" hidden="false" customHeight="false" outlineLevel="0" collapsed="false">
      <c r="A170" s="55" t="n">
        <f aca="false">FALSE()</f>
        <v>0</v>
      </c>
      <c r="B170" s="56" t="s">
        <v>311</v>
      </c>
      <c r="C170" s="46" t="n">
        <f aca="false">'Get Started'!$C$4-330+2</f>
        <v>46224</v>
      </c>
      <c r="D170" s="45" t="s">
        <v>66</v>
      </c>
      <c r="E170" s="45" t="s">
        <v>127</v>
      </c>
      <c r="F170" s="45" t="s">
        <v>132</v>
      </c>
    </row>
    <row r="171" customFormat="false" ht="15" hidden="false" customHeight="false" outlineLevel="0" collapsed="false">
      <c r="A171" s="53" t="n">
        <f aca="false">FALSE()</f>
        <v>0</v>
      </c>
      <c r="B171" s="54" t="s">
        <v>312</v>
      </c>
      <c r="C171" s="48" t="n">
        <f aca="false">'Get Started'!$C$4-330+2</f>
        <v>46224</v>
      </c>
      <c r="D171" s="47" t="s">
        <v>66</v>
      </c>
      <c r="E171" s="47" t="s">
        <v>127</v>
      </c>
      <c r="F171" s="47" t="s">
        <v>132</v>
      </c>
    </row>
    <row r="172" customFormat="false" ht="15" hidden="false" customHeight="false" outlineLevel="0" collapsed="false">
      <c r="A172" s="55" t="n">
        <f aca="false">FALSE()</f>
        <v>0</v>
      </c>
      <c r="B172" s="56" t="s">
        <v>313</v>
      </c>
      <c r="C172" s="46" t="n">
        <f aca="false">'Get Started'!$C$4-330+3</f>
        <v>46225</v>
      </c>
      <c r="D172" s="45" t="s">
        <v>66</v>
      </c>
      <c r="E172" s="45" t="s">
        <v>127</v>
      </c>
      <c r="F172" s="45" t="s">
        <v>132</v>
      </c>
    </row>
    <row r="173" customFormat="false" ht="15" hidden="false" customHeight="false" outlineLevel="0" collapsed="false">
      <c r="A173" s="53" t="n">
        <f aca="false">FALSE()</f>
        <v>0</v>
      </c>
      <c r="B173" s="54" t="s">
        <v>314</v>
      </c>
      <c r="C173" s="48" t="n">
        <f aca="false">'Get Started'!$C$4-330+3</f>
        <v>46225</v>
      </c>
      <c r="D173" s="47" t="s">
        <v>66</v>
      </c>
      <c r="E173" s="47" t="s">
        <v>127</v>
      </c>
      <c r="F173" s="47" t="s">
        <v>132</v>
      </c>
    </row>
    <row r="174" customFormat="false" ht="15" hidden="false" customHeight="false" outlineLevel="0" collapsed="false">
      <c r="A174" s="55" t="n">
        <f aca="false">FALSE()</f>
        <v>0</v>
      </c>
      <c r="B174" s="56" t="s">
        <v>315</v>
      </c>
      <c r="C174" s="46" t="n">
        <f aca="false">'Get Started'!$C$4-330+3</f>
        <v>46225</v>
      </c>
      <c r="D174" s="45" t="s">
        <v>66</v>
      </c>
      <c r="E174" s="45" t="s">
        <v>127</v>
      </c>
      <c r="F174" s="45" t="s">
        <v>132</v>
      </c>
    </row>
    <row r="175" customFormat="false" ht="15" hidden="false" customHeight="false" outlineLevel="0" collapsed="false">
      <c r="A175" s="53" t="n">
        <f aca="false">FALSE()</f>
        <v>0</v>
      </c>
      <c r="B175" s="54" t="s">
        <v>316</v>
      </c>
      <c r="C175" s="48" t="n">
        <f aca="false">'Get Started'!$C$4-330+3</f>
        <v>46225</v>
      </c>
      <c r="D175" s="47" t="s">
        <v>66</v>
      </c>
      <c r="E175" s="47" t="s">
        <v>127</v>
      </c>
      <c r="F175" s="47" t="s">
        <v>132</v>
      </c>
    </row>
    <row r="176" customFormat="false" ht="15" hidden="false" customHeight="false" outlineLevel="0" collapsed="false">
      <c r="A176" s="55" t="n">
        <f aca="false">FALSE()</f>
        <v>0</v>
      </c>
      <c r="B176" s="56" t="s">
        <v>317</v>
      </c>
      <c r="C176" s="46" t="n">
        <f aca="false">'Get Started'!$C$4-330+3</f>
        <v>46225</v>
      </c>
      <c r="D176" s="45" t="s">
        <v>66</v>
      </c>
      <c r="E176" s="45" t="s">
        <v>127</v>
      </c>
      <c r="F176" s="45" t="s">
        <v>132</v>
      </c>
    </row>
    <row r="177" customFormat="false" ht="23.85" hidden="false" customHeight="false" outlineLevel="0" collapsed="false">
      <c r="A177" s="53" t="n">
        <f aca="false">FALSE()</f>
        <v>0</v>
      </c>
      <c r="B177" s="54" t="s">
        <v>318</v>
      </c>
      <c r="C177" s="48" t="n">
        <f aca="false">'Get Started'!$C$4-330+3</f>
        <v>46225</v>
      </c>
      <c r="D177" s="47" t="s">
        <v>66</v>
      </c>
      <c r="E177" s="47" t="s">
        <v>127</v>
      </c>
      <c r="F177" s="47" t="s">
        <v>132</v>
      </c>
    </row>
    <row r="178" customFormat="false" ht="15" hidden="false" customHeight="false" outlineLevel="0" collapsed="false">
      <c r="A178" s="55" t="n">
        <f aca="false">FALSE()</f>
        <v>0</v>
      </c>
      <c r="B178" s="56" t="s">
        <v>319</v>
      </c>
      <c r="C178" s="46" t="n">
        <f aca="false">'Get Started'!$C$4-330+3</f>
        <v>46225</v>
      </c>
      <c r="D178" s="45" t="s">
        <v>66</v>
      </c>
      <c r="E178" s="45" t="s">
        <v>127</v>
      </c>
      <c r="F178" s="45" t="s">
        <v>132</v>
      </c>
    </row>
    <row r="179" customFormat="false" ht="15" hidden="false" customHeight="false" outlineLevel="0" collapsed="false">
      <c r="A179" s="53" t="n">
        <f aca="false">FALSE()</f>
        <v>0</v>
      </c>
      <c r="B179" s="54" t="s">
        <v>320</v>
      </c>
      <c r="C179" s="48" t="n">
        <f aca="false">'Get Started'!$C$4-330+3</f>
        <v>46225</v>
      </c>
      <c r="D179" s="47" t="s">
        <v>66</v>
      </c>
      <c r="E179" s="47" t="s">
        <v>127</v>
      </c>
      <c r="F179" s="47" t="s">
        <v>132</v>
      </c>
    </row>
    <row r="180" customFormat="false" ht="15" hidden="false" customHeight="false" outlineLevel="0" collapsed="false">
      <c r="A180" s="55" t="n">
        <f aca="false">FALSE()</f>
        <v>0</v>
      </c>
      <c r="B180" s="56" t="s">
        <v>321</v>
      </c>
      <c r="C180" s="46" t="n">
        <f aca="false">'Get Started'!$C$4-330+3</f>
        <v>46225</v>
      </c>
      <c r="D180" s="45" t="s">
        <v>66</v>
      </c>
      <c r="E180" s="45" t="s">
        <v>127</v>
      </c>
      <c r="F180" s="45" t="s">
        <v>132</v>
      </c>
    </row>
    <row r="181" customFormat="false" ht="15" hidden="false" customHeight="false" outlineLevel="0" collapsed="false">
      <c r="A181" s="53" t="n">
        <f aca="false">FALSE()</f>
        <v>0</v>
      </c>
      <c r="B181" s="54" t="s">
        <v>322</v>
      </c>
      <c r="C181" s="48" t="n">
        <f aca="false">'Get Started'!$C$4-330+3</f>
        <v>46225</v>
      </c>
      <c r="D181" s="47" t="s">
        <v>66</v>
      </c>
      <c r="E181" s="47" t="s">
        <v>127</v>
      </c>
      <c r="F181" s="47" t="s">
        <v>132</v>
      </c>
    </row>
    <row r="182" customFormat="false" ht="15" hidden="false" customHeight="false" outlineLevel="0" collapsed="false">
      <c r="A182" s="55" t="n">
        <f aca="false">FALSE()</f>
        <v>0</v>
      </c>
      <c r="B182" s="56" t="s">
        <v>323</v>
      </c>
      <c r="C182" s="46" t="n">
        <f aca="false">'Get Started'!$C$4-330+4</f>
        <v>46226</v>
      </c>
      <c r="D182" s="45" t="s">
        <v>66</v>
      </c>
      <c r="E182" s="45" t="s">
        <v>127</v>
      </c>
      <c r="F182" s="45" t="s">
        <v>132</v>
      </c>
    </row>
    <row r="183" customFormat="false" ht="15" hidden="false" customHeight="false" outlineLevel="0" collapsed="false">
      <c r="A183" s="53" t="n">
        <f aca="false">FALSE()</f>
        <v>0</v>
      </c>
      <c r="B183" s="54" t="s">
        <v>324</v>
      </c>
      <c r="C183" s="48" t="n">
        <f aca="false">'Get Started'!$C$4-330+4</f>
        <v>46226</v>
      </c>
      <c r="D183" s="47" t="s">
        <v>66</v>
      </c>
      <c r="E183" s="47" t="s">
        <v>127</v>
      </c>
      <c r="F183" s="47" t="s">
        <v>132</v>
      </c>
    </row>
    <row r="184" customFormat="false" ht="15" hidden="false" customHeight="false" outlineLevel="0" collapsed="false">
      <c r="A184" s="55" t="n">
        <f aca="false">FALSE()</f>
        <v>0</v>
      </c>
      <c r="B184" s="56" t="s">
        <v>325</v>
      </c>
      <c r="C184" s="46" t="n">
        <f aca="false">'Get Started'!$C$4-330+4</f>
        <v>46226</v>
      </c>
      <c r="D184" s="45" t="s">
        <v>66</v>
      </c>
      <c r="E184" s="45" t="s">
        <v>127</v>
      </c>
      <c r="F184" s="45" t="s">
        <v>132</v>
      </c>
    </row>
    <row r="185" customFormat="false" ht="15" hidden="false" customHeight="false" outlineLevel="0" collapsed="false">
      <c r="A185" s="53" t="n">
        <f aca="false">FALSE()</f>
        <v>0</v>
      </c>
      <c r="B185" s="54" t="s">
        <v>326</v>
      </c>
      <c r="C185" s="48" t="n">
        <f aca="false">'Get Started'!$C$4-330+4</f>
        <v>46226</v>
      </c>
      <c r="D185" s="47" t="s">
        <v>66</v>
      </c>
      <c r="E185" s="47" t="s">
        <v>127</v>
      </c>
      <c r="F185" s="47" t="s">
        <v>132</v>
      </c>
    </row>
    <row r="186" customFormat="false" ht="15" hidden="false" customHeight="false" outlineLevel="0" collapsed="false">
      <c r="A186" s="55" t="n">
        <f aca="false">FALSE()</f>
        <v>0</v>
      </c>
      <c r="B186" s="56" t="s">
        <v>327</v>
      </c>
      <c r="C186" s="46" t="n">
        <f aca="false">'Get Started'!$C$4-330+4</f>
        <v>46226</v>
      </c>
      <c r="D186" s="45" t="s">
        <v>66</v>
      </c>
      <c r="E186" s="45" t="s">
        <v>127</v>
      </c>
      <c r="F186" s="45" t="s">
        <v>132</v>
      </c>
    </row>
    <row r="187" customFormat="false" ht="15" hidden="false" customHeight="false" outlineLevel="0" collapsed="false">
      <c r="A187" s="53" t="n">
        <f aca="false">FALSE()</f>
        <v>0</v>
      </c>
      <c r="B187" s="54" t="s">
        <v>328</v>
      </c>
      <c r="C187" s="48" t="n">
        <f aca="false">'Get Started'!$C$4-330+4</f>
        <v>46226</v>
      </c>
      <c r="D187" s="47" t="s">
        <v>66</v>
      </c>
      <c r="E187" s="47" t="s">
        <v>127</v>
      </c>
      <c r="F187" s="47" t="s">
        <v>132</v>
      </c>
    </row>
    <row r="188" customFormat="false" ht="15" hidden="false" customHeight="false" outlineLevel="0" collapsed="false">
      <c r="A188" s="55" t="n">
        <f aca="false">FALSE()</f>
        <v>0</v>
      </c>
      <c r="B188" s="56" t="s">
        <v>329</v>
      </c>
      <c r="C188" s="46" t="n">
        <f aca="false">'Get Started'!$C$4-330+4</f>
        <v>46226</v>
      </c>
      <c r="D188" s="45" t="s">
        <v>66</v>
      </c>
      <c r="E188" s="45" t="s">
        <v>127</v>
      </c>
      <c r="F188" s="45" t="s">
        <v>132</v>
      </c>
    </row>
    <row r="189" customFormat="false" ht="15" hidden="false" customHeight="false" outlineLevel="0" collapsed="false">
      <c r="A189" s="53" t="n">
        <f aca="false">FALSE()</f>
        <v>0</v>
      </c>
      <c r="B189" s="54" t="s">
        <v>330</v>
      </c>
      <c r="C189" s="48" t="n">
        <f aca="false">'Get Started'!$C$4-330+4</f>
        <v>46226</v>
      </c>
      <c r="D189" s="47" t="s">
        <v>66</v>
      </c>
      <c r="E189" s="47" t="s">
        <v>127</v>
      </c>
      <c r="F189" s="47" t="s">
        <v>132</v>
      </c>
    </row>
    <row r="190" customFormat="false" ht="15" hidden="false" customHeight="false" outlineLevel="0" collapsed="false">
      <c r="A190" s="55" t="n">
        <f aca="false">FALSE()</f>
        <v>0</v>
      </c>
      <c r="B190" s="56" t="s">
        <v>331</v>
      </c>
      <c r="C190" s="46" t="n">
        <f aca="false">'Get Started'!$C$4-330+4</f>
        <v>46226</v>
      </c>
      <c r="D190" s="45" t="s">
        <v>66</v>
      </c>
      <c r="E190" s="45" t="s">
        <v>127</v>
      </c>
      <c r="F190" s="45" t="s">
        <v>132</v>
      </c>
    </row>
    <row r="191" customFormat="false" ht="15" hidden="false" customHeight="false" outlineLevel="0" collapsed="false">
      <c r="A191" s="53" t="n">
        <f aca="false">FALSE()</f>
        <v>0</v>
      </c>
      <c r="B191" s="54" t="s">
        <v>332</v>
      </c>
      <c r="C191" s="48" t="n">
        <f aca="false">'Get Started'!$C$4-330+4</f>
        <v>46226</v>
      </c>
      <c r="D191" s="47" t="s">
        <v>66</v>
      </c>
      <c r="E191" s="47" t="s">
        <v>127</v>
      </c>
      <c r="F191" s="47" t="s">
        <v>132</v>
      </c>
    </row>
    <row r="192" customFormat="false" ht="15" hidden="false" customHeight="false" outlineLevel="0" collapsed="false">
      <c r="A192" s="55" t="n">
        <f aca="false">FALSE()</f>
        <v>0</v>
      </c>
      <c r="B192" s="56" t="s">
        <v>333</v>
      </c>
      <c r="C192" s="46" t="n">
        <f aca="false">'Get Started'!$C$4-330+5</f>
        <v>46227</v>
      </c>
      <c r="D192" s="45" t="s">
        <v>66</v>
      </c>
      <c r="E192" s="45" t="s">
        <v>127</v>
      </c>
      <c r="F192" s="45" t="s">
        <v>132</v>
      </c>
    </row>
    <row r="193" customFormat="false" ht="15" hidden="false" customHeight="false" outlineLevel="0" collapsed="false">
      <c r="A193" s="53" t="n">
        <f aca="false">FALSE()</f>
        <v>0</v>
      </c>
      <c r="B193" s="54" t="s">
        <v>334</v>
      </c>
      <c r="C193" s="48" t="n">
        <f aca="false">'Get Started'!$C$4-270+-5</f>
        <v>46277</v>
      </c>
      <c r="D193" s="47" t="s">
        <v>66</v>
      </c>
      <c r="E193" s="47" t="s">
        <v>127</v>
      </c>
      <c r="F193" s="47" t="s">
        <v>134</v>
      </c>
    </row>
    <row r="194" customFormat="false" ht="15" hidden="false" customHeight="false" outlineLevel="0" collapsed="false">
      <c r="A194" s="55" t="n">
        <f aca="false">FALSE()</f>
        <v>0</v>
      </c>
      <c r="B194" s="56" t="s">
        <v>335</v>
      </c>
      <c r="C194" s="46" t="n">
        <f aca="false">'Get Started'!$C$4-270+-5</f>
        <v>46277</v>
      </c>
      <c r="D194" s="45" t="s">
        <v>66</v>
      </c>
      <c r="E194" s="45" t="s">
        <v>127</v>
      </c>
      <c r="F194" s="45" t="s">
        <v>134</v>
      </c>
    </row>
    <row r="195" customFormat="false" ht="15" hidden="false" customHeight="false" outlineLevel="0" collapsed="false">
      <c r="A195" s="53" t="n">
        <f aca="false">FALSE()</f>
        <v>0</v>
      </c>
      <c r="B195" s="54" t="s">
        <v>336</v>
      </c>
      <c r="C195" s="48" t="n">
        <f aca="false">'Get Started'!$C$4-270+-5</f>
        <v>46277</v>
      </c>
      <c r="D195" s="47" t="s">
        <v>66</v>
      </c>
      <c r="E195" s="47" t="s">
        <v>127</v>
      </c>
      <c r="F195" s="47" t="s">
        <v>134</v>
      </c>
    </row>
    <row r="196" customFormat="false" ht="15" hidden="false" customHeight="false" outlineLevel="0" collapsed="false">
      <c r="A196" s="55" t="n">
        <f aca="false">FALSE()</f>
        <v>0</v>
      </c>
      <c r="B196" s="56" t="s">
        <v>337</v>
      </c>
      <c r="C196" s="46" t="n">
        <f aca="false">'Get Started'!$C$4-270+-5</f>
        <v>46277</v>
      </c>
      <c r="D196" s="45" t="s">
        <v>66</v>
      </c>
      <c r="E196" s="45" t="s">
        <v>127</v>
      </c>
      <c r="F196" s="45" t="s">
        <v>134</v>
      </c>
    </row>
    <row r="197" customFormat="false" ht="15" hidden="false" customHeight="false" outlineLevel="0" collapsed="false">
      <c r="A197" s="53" t="n">
        <f aca="false">FALSE()</f>
        <v>0</v>
      </c>
      <c r="B197" s="54" t="s">
        <v>338</v>
      </c>
      <c r="C197" s="48" t="n">
        <f aca="false">'Get Started'!$C$4-270+-5</f>
        <v>46277</v>
      </c>
      <c r="D197" s="47" t="s">
        <v>66</v>
      </c>
      <c r="E197" s="47" t="s">
        <v>127</v>
      </c>
      <c r="F197" s="47" t="s">
        <v>134</v>
      </c>
    </row>
    <row r="198" customFormat="false" ht="15" hidden="false" customHeight="false" outlineLevel="0" collapsed="false">
      <c r="A198" s="55" t="n">
        <f aca="false">FALSE()</f>
        <v>0</v>
      </c>
      <c r="B198" s="56" t="s">
        <v>339</v>
      </c>
      <c r="C198" s="46" t="n">
        <f aca="false">'Get Started'!$C$4-270+-5</f>
        <v>46277</v>
      </c>
      <c r="D198" s="45" t="s">
        <v>66</v>
      </c>
      <c r="E198" s="45" t="s">
        <v>127</v>
      </c>
      <c r="F198" s="45" t="s">
        <v>134</v>
      </c>
    </row>
    <row r="199" customFormat="false" ht="15" hidden="false" customHeight="false" outlineLevel="0" collapsed="false">
      <c r="A199" s="53" t="n">
        <f aca="false">FALSE()</f>
        <v>0</v>
      </c>
      <c r="B199" s="54" t="s">
        <v>340</v>
      </c>
      <c r="C199" s="48" t="n">
        <f aca="false">'Get Started'!$C$4-270+-5</f>
        <v>46277</v>
      </c>
      <c r="D199" s="47" t="s">
        <v>66</v>
      </c>
      <c r="E199" s="47" t="s">
        <v>127</v>
      </c>
      <c r="F199" s="47" t="s">
        <v>134</v>
      </c>
    </row>
    <row r="200" customFormat="false" ht="15" hidden="false" customHeight="false" outlineLevel="0" collapsed="false">
      <c r="A200" s="55" t="n">
        <f aca="false">FALSE()</f>
        <v>0</v>
      </c>
      <c r="B200" s="56" t="s">
        <v>341</v>
      </c>
      <c r="C200" s="46" t="n">
        <f aca="false">'Get Started'!$C$4-270+-5</f>
        <v>46277</v>
      </c>
      <c r="D200" s="45" t="s">
        <v>66</v>
      </c>
      <c r="E200" s="45" t="s">
        <v>127</v>
      </c>
      <c r="F200" s="45" t="s">
        <v>134</v>
      </c>
    </row>
    <row r="201" customFormat="false" ht="15" hidden="false" customHeight="false" outlineLevel="0" collapsed="false">
      <c r="A201" s="53" t="n">
        <f aca="false">FALSE()</f>
        <v>0</v>
      </c>
      <c r="B201" s="54" t="s">
        <v>342</v>
      </c>
      <c r="C201" s="48" t="n">
        <f aca="false">'Get Started'!$C$4-270+-5</f>
        <v>46277</v>
      </c>
      <c r="D201" s="47" t="s">
        <v>66</v>
      </c>
      <c r="E201" s="47" t="s">
        <v>127</v>
      </c>
      <c r="F201" s="47" t="s">
        <v>134</v>
      </c>
    </row>
    <row r="202" customFormat="false" ht="15" hidden="false" customHeight="false" outlineLevel="0" collapsed="false">
      <c r="A202" s="55" t="n">
        <f aca="false">FALSE()</f>
        <v>0</v>
      </c>
      <c r="B202" s="56" t="s">
        <v>343</v>
      </c>
      <c r="C202" s="46" t="n">
        <f aca="false">'Get Started'!$C$4-270+-5</f>
        <v>46277</v>
      </c>
      <c r="D202" s="45" t="s">
        <v>66</v>
      </c>
      <c r="E202" s="45" t="s">
        <v>127</v>
      </c>
      <c r="F202" s="45" t="s">
        <v>134</v>
      </c>
    </row>
    <row r="203" customFormat="false" ht="15" hidden="false" customHeight="false" outlineLevel="0" collapsed="false">
      <c r="A203" s="53" t="n">
        <f aca="false">FALSE()</f>
        <v>0</v>
      </c>
      <c r="B203" s="54" t="s">
        <v>344</v>
      </c>
      <c r="C203" s="48" t="n">
        <f aca="false">'Get Started'!$C$4-270+-5</f>
        <v>46277</v>
      </c>
      <c r="D203" s="47" t="s">
        <v>66</v>
      </c>
      <c r="E203" s="47" t="s">
        <v>127</v>
      </c>
      <c r="F203" s="47" t="s">
        <v>134</v>
      </c>
    </row>
    <row r="204" customFormat="false" ht="15" hidden="false" customHeight="false" outlineLevel="0" collapsed="false">
      <c r="A204" s="55" t="n">
        <f aca="false">FALSE()</f>
        <v>0</v>
      </c>
      <c r="B204" s="56" t="s">
        <v>345</v>
      </c>
      <c r="C204" s="46" t="n">
        <f aca="false">'Get Started'!$C$4-270+-5</f>
        <v>46277</v>
      </c>
      <c r="D204" s="45" t="s">
        <v>66</v>
      </c>
      <c r="E204" s="45" t="s">
        <v>127</v>
      </c>
      <c r="F204" s="45" t="s">
        <v>134</v>
      </c>
    </row>
    <row r="205" customFormat="false" ht="15" hidden="false" customHeight="false" outlineLevel="0" collapsed="false">
      <c r="A205" s="53" t="n">
        <f aca="false">FALSE()</f>
        <v>0</v>
      </c>
      <c r="B205" s="54" t="s">
        <v>346</v>
      </c>
      <c r="C205" s="48" t="n">
        <f aca="false">'Get Started'!$C$4-270+-5</f>
        <v>46277</v>
      </c>
      <c r="D205" s="47" t="s">
        <v>66</v>
      </c>
      <c r="E205" s="47" t="s">
        <v>127</v>
      </c>
      <c r="F205" s="47" t="s">
        <v>134</v>
      </c>
    </row>
    <row r="206" customFormat="false" ht="15" hidden="false" customHeight="false" outlineLevel="0" collapsed="false">
      <c r="A206" s="55" t="n">
        <f aca="false">FALSE()</f>
        <v>0</v>
      </c>
      <c r="B206" s="56" t="s">
        <v>347</v>
      </c>
      <c r="C206" s="46" t="n">
        <f aca="false">'Get Started'!$C$4-270+-5</f>
        <v>46277</v>
      </c>
      <c r="D206" s="45" t="s">
        <v>66</v>
      </c>
      <c r="E206" s="45" t="s">
        <v>127</v>
      </c>
      <c r="F206" s="45" t="s">
        <v>134</v>
      </c>
    </row>
    <row r="207" customFormat="false" ht="15" hidden="false" customHeight="false" outlineLevel="0" collapsed="false">
      <c r="A207" s="53" t="n">
        <f aca="false">FALSE()</f>
        <v>0</v>
      </c>
      <c r="B207" s="54" t="s">
        <v>348</v>
      </c>
      <c r="C207" s="48" t="n">
        <f aca="false">'Get Started'!$C$4-270+-4</f>
        <v>46278</v>
      </c>
      <c r="D207" s="47" t="s">
        <v>66</v>
      </c>
      <c r="E207" s="47" t="s">
        <v>127</v>
      </c>
      <c r="F207" s="47" t="s">
        <v>134</v>
      </c>
    </row>
    <row r="208" customFormat="false" ht="15" hidden="false" customHeight="false" outlineLevel="0" collapsed="false">
      <c r="A208" s="55" t="n">
        <f aca="false">FALSE()</f>
        <v>0</v>
      </c>
      <c r="B208" s="56" t="s">
        <v>349</v>
      </c>
      <c r="C208" s="46" t="n">
        <f aca="false">'Get Started'!$C$4-270+-4</f>
        <v>46278</v>
      </c>
      <c r="D208" s="45" t="s">
        <v>66</v>
      </c>
      <c r="E208" s="45" t="s">
        <v>127</v>
      </c>
      <c r="F208" s="45" t="s">
        <v>134</v>
      </c>
    </row>
    <row r="209" customFormat="false" ht="15" hidden="false" customHeight="false" outlineLevel="0" collapsed="false">
      <c r="A209" s="53" t="n">
        <f aca="false">FALSE()</f>
        <v>0</v>
      </c>
      <c r="B209" s="54" t="s">
        <v>350</v>
      </c>
      <c r="C209" s="48" t="n">
        <f aca="false">'Get Started'!$C$4-270+-4</f>
        <v>46278</v>
      </c>
      <c r="D209" s="47" t="s">
        <v>66</v>
      </c>
      <c r="E209" s="47" t="s">
        <v>127</v>
      </c>
      <c r="F209" s="47" t="s">
        <v>134</v>
      </c>
    </row>
    <row r="210" customFormat="false" ht="15" hidden="false" customHeight="false" outlineLevel="0" collapsed="false">
      <c r="A210" s="55" t="n">
        <f aca="false">FALSE()</f>
        <v>0</v>
      </c>
      <c r="B210" s="56" t="s">
        <v>351</v>
      </c>
      <c r="C210" s="46" t="n">
        <f aca="false">'Get Started'!$C$4-270+-4</f>
        <v>46278</v>
      </c>
      <c r="D210" s="45" t="s">
        <v>66</v>
      </c>
      <c r="E210" s="45" t="s">
        <v>127</v>
      </c>
      <c r="F210" s="45" t="s">
        <v>134</v>
      </c>
    </row>
    <row r="211" customFormat="false" ht="15" hidden="false" customHeight="false" outlineLevel="0" collapsed="false">
      <c r="A211" s="53" t="n">
        <f aca="false">FALSE()</f>
        <v>0</v>
      </c>
      <c r="B211" s="54" t="s">
        <v>352</v>
      </c>
      <c r="C211" s="48" t="n">
        <f aca="false">'Get Started'!$C$4-270+-4</f>
        <v>46278</v>
      </c>
      <c r="D211" s="47" t="s">
        <v>66</v>
      </c>
      <c r="E211" s="47" t="s">
        <v>127</v>
      </c>
      <c r="F211" s="47" t="s">
        <v>134</v>
      </c>
    </row>
    <row r="212" customFormat="false" ht="15" hidden="false" customHeight="false" outlineLevel="0" collapsed="false">
      <c r="A212" s="55" t="n">
        <f aca="false">FALSE()</f>
        <v>0</v>
      </c>
      <c r="B212" s="56" t="s">
        <v>353</v>
      </c>
      <c r="C212" s="46" t="n">
        <f aca="false">'Get Started'!$C$4-270+-4</f>
        <v>46278</v>
      </c>
      <c r="D212" s="45" t="s">
        <v>66</v>
      </c>
      <c r="E212" s="45" t="s">
        <v>127</v>
      </c>
      <c r="F212" s="45" t="s">
        <v>134</v>
      </c>
    </row>
    <row r="213" customFormat="false" ht="15" hidden="false" customHeight="false" outlineLevel="0" collapsed="false">
      <c r="A213" s="53" t="n">
        <f aca="false">FALSE()</f>
        <v>0</v>
      </c>
      <c r="B213" s="54" t="s">
        <v>354</v>
      </c>
      <c r="C213" s="48" t="n">
        <f aca="false">'Get Started'!$C$4-270+-4</f>
        <v>46278</v>
      </c>
      <c r="D213" s="47" t="s">
        <v>66</v>
      </c>
      <c r="E213" s="47" t="s">
        <v>127</v>
      </c>
      <c r="F213" s="47" t="s">
        <v>134</v>
      </c>
    </row>
    <row r="214" customFormat="false" ht="15" hidden="false" customHeight="false" outlineLevel="0" collapsed="false">
      <c r="A214" s="55" t="n">
        <f aca="false">FALSE()</f>
        <v>0</v>
      </c>
      <c r="B214" s="56" t="s">
        <v>355</v>
      </c>
      <c r="C214" s="46" t="n">
        <f aca="false">'Get Started'!$C$4-270+-4</f>
        <v>46278</v>
      </c>
      <c r="D214" s="45" t="s">
        <v>66</v>
      </c>
      <c r="E214" s="45" t="s">
        <v>127</v>
      </c>
      <c r="F214" s="45" t="s">
        <v>134</v>
      </c>
    </row>
    <row r="215" customFormat="false" ht="15" hidden="false" customHeight="false" outlineLevel="0" collapsed="false">
      <c r="A215" s="53" t="n">
        <f aca="false">FALSE()</f>
        <v>0</v>
      </c>
      <c r="B215" s="54" t="s">
        <v>356</v>
      </c>
      <c r="C215" s="48" t="n">
        <f aca="false">'Get Started'!$C$4-270+-4</f>
        <v>46278</v>
      </c>
      <c r="D215" s="47" t="s">
        <v>66</v>
      </c>
      <c r="E215" s="47" t="s">
        <v>127</v>
      </c>
      <c r="F215" s="47" t="s">
        <v>134</v>
      </c>
    </row>
    <row r="216" customFormat="false" ht="15" hidden="false" customHeight="false" outlineLevel="0" collapsed="false">
      <c r="A216" s="55" t="n">
        <f aca="false">FALSE()</f>
        <v>0</v>
      </c>
      <c r="B216" s="56" t="s">
        <v>357</v>
      </c>
      <c r="C216" s="46" t="n">
        <f aca="false">'Get Started'!$C$4-270+-4</f>
        <v>46278</v>
      </c>
      <c r="D216" s="45" t="s">
        <v>66</v>
      </c>
      <c r="E216" s="45" t="s">
        <v>127</v>
      </c>
      <c r="F216" s="45" t="s">
        <v>134</v>
      </c>
    </row>
    <row r="217" customFormat="false" ht="15" hidden="false" customHeight="false" outlineLevel="0" collapsed="false">
      <c r="A217" s="53" t="n">
        <f aca="false">FALSE()</f>
        <v>0</v>
      </c>
      <c r="B217" s="54" t="s">
        <v>358</v>
      </c>
      <c r="C217" s="48" t="n">
        <f aca="false">'Get Started'!$C$4-270+-4</f>
        <v>46278</v>
      </c>
      <c r="D217" s="47" t="s">
        <v>66</v>
      </c>
      <c r="E217" s="47" t="s">
        <v>127</v>
      </c>
      <c r="F217" s="47" t="s">
        <v>134</v>
      </c>
    </row>
    <row r="218" customFormat="false" ht="15" hidden="false" customHeight="false" outlineLevel="0" collapsed="false">
      <c r="A218" s="55" t="n">
        <f aca="false">FALSE()</f>
        <v>0</v>
      </c>
      <c r="B218" s="56" t="s">
        <v>359</v>
      </c>
      <c r="C218" s="46" t="n">
        <f aca="false">'Get Started'!$C$4-270+-4</f>
        <v>46278</v>
      </c>
      <c r="D218" s="45" t="s">
        <v>66</v>
      </c>
      <c r="E218" s="45" t="s">
        <v>127</v>
      </c>
      <c r="F218" s="45" t="s">
        <v>134</v>
      </c>
    </row>
    <row r="219" customFormat="false" ht="15" hidden="false" customHeight="false" outlineLevel="0" collapsed="false">
      <c r="A219" s="53" t="n">
        <f aca="false">FALSE()</f>
        <v>0</v>
      </c>
      <c r="B219" s="54" t="s">
        <v>360</v>
      </c>
      <c r="C219" s="48" t="n">
        <f aca="false">'Get Started'!$C$4-270+-4</f>
        <v>46278</v>
      </c>
      <c r="D219" s="47" t="s">
        <v>66</v>
      </c>
      <c r="E219" s="47" t="s">
        <v>127</v>
      </c>
      <c r="F219" s="47" t="s">
        <v>134</v>
      </c>
    </row>
    <row r="220" customFormat="false" ht="15" hidden="false" customHeight="false" outlineLevel="0" collapsed="false">
      <c r="A220" s="55" t="n">
        <f aca="false">FALSE()</f>
        <v>0</v>
      </c>
      <c r="B220" s="56" t="s">
        <v>361</v>
      </c>
      <c r="C220" s="46" t="n">
        <f aca="false">'Get Started'!$C$4-270+-3</f>
        <v>46279</v>
      </c>
      <c r="D220" s="45" t="s">
        <v>66</v>
      </c>
      <c r="E220" s="45" t="s">
        <v>127</v>
      </c>
      <c r="F220" s="45" t="s">
        <v>134</v>
      </c>
    </row>
    <row r="221" customFormat="false" ht="15" hidden="false" customHeight="false" outlineLevel="0" collapsed="false">
      <c r="A221" s="53" t="n">
        <f aca="false">FALSE()</f>
        <v>0</v>
      </c>
      <c r="B221" s="54" t="s">
        <v>362</v>
      </c>
      <c r="C221" s="48" t="n">
        <f aca="false">'Get Started'!$C$4-270+-3</f>
        <v>46279</v>
      </c>
      <c r="D221" s="47" t="s">
        <v>66</v>
      </c>
      <c r="E221" s="47" t="s">
        <v>127</v>
      </c>
      <c r="F221" s="47" t="s">
        <v>134</v>
      </c>
    </row>
    <row r="222" customFormat="false" ht="15" hidden="false" customHeight="false" outlineLevel="0" collapsed="false">
      <c r="A222" s="55" t="n">
        <f aca="false">FALSE()</f>
        <v>0</v>
      </c>
      <c r="B222" s="56" t="s">
        <v>363</v>
      </c>
      <c r="C222" s="46" t="n">
        <f aca="false">'Get Started'!$C$4-270+-3</f>
        <v>46279</v>
      </c>
      <c r="D222" s="45" t="s">
        <v>66</v>
      </c>
      <c r="E222" s="45" t="s">
        <v>127</v>
      </c>
      <c r="F222" s="45" t="s">
        <v>134</v>
      </c>
    </row>
    <row r="223" customFormat="false" ht="15" hidden="false" customHeight="false" outlineLevel="0" collapsed="false">
      <c r="A223" s="53" t="n">
        <f aca="false">FALSE()</f>
        <v>0</v>
      </c>
      <c r="B223" s="54" t="s">
        <v>364</v>
      </c>
      <c r="C223" s="48" t="n">
        <f aca="false">'Get Started'!$C$4-270+-3</f>
        <v>46279</v>
      </c>
      <c r="D223" s="47" t="s">
        <v>66</v>
      </c>
      <c r="E223" s="47" t="s">
        <v>127</v>
      </c>
      <c r="F223" s="47" t="s">
        <v>134</v>
      </c>
    </row>
    <row r="224" customFormat="false" ht="15" hidden="false" customHeight="false" outlineLevel="0" collapsed="false">
      <c r="A224" s="55" t="n">
        <f aca="false">FALSE()</f>
        <v>0</v>
      </c>
      <c r="B224" s="56" t="s">
        <v>365</v>
      </c>
      <c r="C224" s="46" t="n">
        <f aca="false">'Get Started'!$C$4-270+-3</f>
        <v>46279</v>
      </c>
      <c r="D224" s="45" t="s">
        <v>66</v>
      </c>
      <c r="E224" s="45" t="s">
        <v>127</v>
      </c>
      <c r="F224" s="45" t="s">
        <v>134</v>
      </c>
    </row>
    <row r="225" customFormat="false" ht="15" hidden="false" customHeight="false" outlineLevel="0" collapsed="false">
      <c r="A225" s="53" t="n">
        <f aca="false">FALSE()</f>
        <v>0</v>
      </c>
      <c r="B225" s="54" t="s">
        <v>366</v>
      </c>
      <c r="C225" s="48" t="n">
        <f aca="false">'Get Started'!$C$4-270+-3</f>
        <v>46279</v>
      </c>
      <c r="D225" s="47" t="s">
        <v>66</v>
      </c>
      <c r="E225" s="47" t="s">
        <v>127</v>
      </c>
      <c r="F225" s="47" t="s">
        <v>134</v>
      </c>
    </row>
    <row r="226" customFormat="false" ht="15" hidden="false" customHeight="false" outlineLevel="0" collapsed="false">
      <c r="A226" s="55" t="n">
        <f aca="false">FALSE()</f>
        <v>0</v>
      </c>
      <c r="B226" s="56" t="s">
        <v>367</v>
      </c>
      <c r="C226" s="46" t="n">
        <f aca="false">'Get Started'!$C$4-270+-3</f>
        <v>46279</v>
      </c>
      <c r="D226" s="45" t="s">
        <v>66</v>
      </c>
      <c r="E226" s="45" t="s">
        <v>127</v>
      </c>
      <c r="F226" s="45" t="s">
        <v>134</v>
      </c>
    </row>
    <row r="227" customFormat="false" ht="15" hidden="false" customHeight="false" outlineLevel="0" collapsed="false">
      <c r="A227" s="53" t="n">
        <f aca="false">FALSE()</f>
        <v>0</v>
      </c>
      <c r="B227" s="54" t="s">
        <v>368</v>
      </c>
      <c r="C227" s="48" t="n">
        <f aca="false">'Get Started'!$C$4-270+-3</f>
        <v>46279</v>
      </c>
      <c r="D227" s="47" t="s">
        <v>66</v>
      </c>
      <c r="E227" s="47" t="s">
        <v>127</v>
      </c>
      <c r="F227" s="47" t="s">
        <v>134</v>
      </c>
    </row>
    <row r="228" customFormat="false" ht="15" hidden="false" customHeight="false" outlineLevel="0" collapsed="false">
      <c r="A228" s="55" t="n">
        <f aca="false">FALSE()</f>
        <v>0</v>
      </c>
      <c r="B228" s="56" t="s">
        <v>369</v>
      </c>
      <c r="C228" s="46" t="n">
        <f aca="false">'Get Started'!$C$4-270+-3</f>
        <v>46279</v>
      </c>
      <c r="D228" s="45" t="s">
        <v>66</v>
      </c>
      <c r="E228" s="45" t="s">
        <v>127</v>
      </c>
      <c r="F228" s="45" t="s">
        <v>134</v>
      </c>
    </row>
    <row r="229" customFormat="false" ht="15" hidden="false" customHeight="false" outlineLevel="0" collapsed="false">
      <c r="A229" s="53" t="n">
        <f aca="false">FALSE()</f>
        <v>0</v>
      </c>
      <c r="B229" s="54" t="s">
        <v>370</v>
      </c>
      <c r="C229" s="48" t="n">
        <f aca="false">'Get Started'!$C$4-270+-3</f>
        <v>46279</v>
      </c>
      <c r="D229" s="47" t="s">
        <v>66</v>
      </c>
      <c r="E229" s="47" t="s">
        <v>127</v>
      </c>
      <c r="F229" s="47" t="s">
        <v>134</v>
      </c>
    </row>
    <row r="230" customFormat="false" ht="15" hidden="false" customHeight="false" outlineLevel="0" collapsed="false">
      <c r="A230" s="55" t="n">
        <f aca="false">FALSE()</f>
        <v>0</v>
      </c>
      <c r="B230" s="56" t="s">
        <v>371</v>
      </c>
      <c r="C230" s="46" t="n">
        <f aca="false">'Get Started'!$C$4-270+-3</f>
        <v>46279</v>
      </c>
      <c r="D230" s="45" t="s">
        <v>66</v>
      </c>
      <c r="E230" s="45" t="s">
        <v>127</v>
      </c>
      <c r="F230" s="45" t="s">
        <v>134</v>
      </c>
    </row>
    <row r="231" customFormat="false" ht="15" hidden="false" customHeight="false" outlineLevel="0" collapsed="false">
      <c r="A231" s="53" t="n">
        <f aca="false">FALSE()</f>
        <v>0</v>
      </c>
      <c r="B231" s="54" t="s">
        <v>372</v>
      </c>
      <c r="C231" s="48" t="n">
        <f aca="false">'Get Started'!$C$4-270+-3</f>
        <v>46279</v>
      </c>
      <c r="D231" s="47" t="s">
        <v>66</v>
      </c>
      <c r="E231" s="47" t="s">
        <v>127</v>
      </c>
      <c r="F231" s="47" t="s">
        <v>134</v>
      </c>
    </row>
    <row r="232" customFormat="false" ht="15" hidden="false" customHeight="false" outlineLevel="0" collapsed="false">
      <c r="A232" s="55" t="n">
        <f aca="false">FALSE()</f>
        <v>0</v>
      </c>
      <c r="B232" s="56" t="s">
        <v>373</v>
      </c>
      <c r="C232" s="46" t="n">
        <f aca="false">'Get Started'!$C$4-270+-3</f>
        <v>46279</v>
      </c>
      <c r="D232" s="45" t="s">
        <v>66</v>
      </c>
      <c r="E232" s="45" t="s">
        <v>127</v>
      </c>
      <c r="F232" s="45" t="s">
        <v>134</v>
      </c>
    </row>
    <row r="233" customFormat="false" ht="15" hidden="false" customHeight="false" outlineLevel="0" collapsed="false">
      <c r="A233" s="53" t="n">
        <f aca="false">FALSE()</f>
        <v>0</v>
      </c>
      <c r="B233" s="54" t="s">
        <v>374</v>
      </c>
      <c r="C233" s="48" t="n">
        <f aca="false">'Get Started'!$C$4-270+-2</f>
        <v>46280</v>
      </c>
      <c r="D233" s="47" t="s">
        <v>66</v>
      </c>
      <c r="E233" s="47" t="s">
        <v>127</v>
      </c>
      <c r="F233" s="47" t="s">
        <v>134</v>
      </c>
    </row>
    <row r="234" customFormat="false" ht="15" hidden="false" customHeight="false" outlineLevel="0" collapsed="false">
      <c r="A234" s="55" t="n">
        <f aca="false">FALSE()</f>
        <v>0</v>
      </c>
      <c r="B234" s="56" t="s">
        <v>375</v>
      </c>
      <c r="C234" s="46" t="n">
        <f aca="false">'Get Started'!$C$4-270+-2</f>
        <v>46280</v>
      </c>
      <c r="D234" s="45" t="s">
        <v>66</v>
      </c>
      <c r="E234" s="45" t="s">
        <v>127</v>
      </c>
      <c r="F234" s="45" t="s">
        <v>134</v>
      </c>
    </row>
    <row r="235" customFormat="false" ht="15" hidden="false" customHeight="false" outlineLevel="0" collapsed="false">
      <c r="A235" s="53" t="n">
        <f aca="false">FALSE()</f>
        <v>0</v>
      </c>
      <c r="B235" s="54" t="s">
        <v>376</v>
      </c>
      <c r="C235" s="48" t="n">
        <f aca="false">'Get Started'!$C$4-270+-2</f>
        <v>46280</v>
      </c>
      <c r="D235" s="47" t="s">
        <v>66</v>
      </c>
      <c r="E235" s="47" t="s">
        <v>127</v>
      </c>
      <c r="F235" s="47" t="s">
        <v>134</v>
      </c>
    </row>
    <row r="236" customFormat="false" ht="15" hidden="false" customHeight="false" outlineLevel="0" collapsed="false">
      <c r="A236" s="55" t="n">
        <f aca="false">FALSE()</f>
        <v>0</v>
      </c>
      <c r="B236" s="56" t="s">
        <v>377</v>
      </c>
      <c r="C236" s="46" t="n">
        <f aca="false">'Get Started'!$C$4-270+-2</f>
        <v>46280</v>
      </c>
      <c r="D236" s="45" t="s">
        <v>66</v>
      </c>
      <c r="E236" s="45" t="s">
        <v>127</v>
      </c>
      <c r="F236" s="45" t="s">
        <v>134</v>
      </c>
    </row>
    <row r="237" customFormat="false" ht="15" hidden="false" customHeight="false" outlineLevel="0" collapsed="false">
      <c r="A237" s="53" t="n">
        <f aca="false">FALSE()</f>
        <v>0</v>
      </c>
      <c r="B237" s="54" t="s">
        <v>378</v>
      </c>
      <c r="C237" s="48" t="n">
        <f aca="false">'Get Started'!$C$4-270+-2</f>
        <v>46280</v>
      </c>
      <c r="D237" s="47" t="s">
        <v>66</v>
      </c>
      <c r="E237" s="47" t="s">
        <v>127</v>
      </c>
      <c r="F237" s="47" t="s">
        <v>134</v>
      </c>
    </row>
    <row r="238" customFormat="false" ht="15" hidden="false" customHeight="false" outlineLevel="0" collapsed="false">
      <c r="A238" s="55" t="n">
        <f aca="false">FALSE()</f>
        <v>0</v>
      </c>
      <c r="B238" s="56" t="s">
        <v>379</v>
      </c>
      <c r="C238" s="46" t="n">
        <f aca="false">'Get Started'!$C$4-270+-2</f>
        <v>46280</v>
      </c>
      <c r="D238" s="45" t="s">
        <v>66</v>
      </c>
      <c r="E238" s="45" t="s">
        <v>127</v>
      </c>
      <c r="F238" s="45" t="s">
        <v>134</v>
      </c>
    </row>
    <row r="239" customFormat="false" ht="15" hidden="false" customHeight="false" outlineLevel="0" collapsed="false">
      <c r="A239" s="53" t="n">
        <f aca="false">FALSE()</f>
        <v>0</v>
      </c>
      <c r="B239" s="54" t="s">
        <v>380</v>
      </c>
      <c r="C239" s="48" t="n">
        <f aca="false">'Get Started'!$C$4-270+-2</f>
        <v>46280</v>
      </c>
      <c r="D239" s="47" t="s">
        <v>66</v>
      </c>
      <c r="E239" s="47" t="s">
        <v>127</v>
      </c>
      <c r="F239" s="47" t="s">
        <v>134</v>
      </c>
    </row>
    <row r="240" customFormat="false" ht="15" hidden="false" customHeight="false" outlineLevel="0" collapsed="false">
      <c r="A240" s="55" t="n">
        <f aca="false">FALSE()</f>
        <v>0</v>
      </c>
      <c r="B240" s="56" t="s">
        <v>381</v>
      </c>
      <c r="C240" s="46" t="n">
        <f aca="false">'Get Started'!$C$4-270+-2</f>
        <v>46280</v>
      </c>
      <c r="D240" s="45" t="s">
        <v>66</v>
      </c>
      <c r="E240" s="45" t="s">
        <v>127</v>
      </c>
      <c r="F240" s="45" t="s">
        <v>134</v>
      </c>
    </row>
    <row r="241" customFormat="false" ht="15" hidden="false" customHeight="false" outlineLevel="0" collapsed="false">
      <c r="A241" s="53" t="n">
        <f aca="false">FALSE()</f>
        <v>0</v>
      </c>
      <c r="B241" s="54" t="s">
        <v>382</v>
      </c>
      <c r="C241" s="48" t="n">
        <f aca="false">'Get Started'!$C$4-270+-2</f>
        <v>46280</v>
      </c>
      <c r="D241" s="47" t="s">
        <v>66</v>
      </c>
      <c r="E241" s="47" t="s">
        <v>127</v>
      </c>
      <c r="F241" s="47" t="s">
        <v>134</v>
      </c>
    </row>
    <row r="242" customFormat="false" ht="15" hidden="false" customHeight="false" outlineLevel="0" collapsed="false">
      <c r="A242" s="55" t="n">
        <f aca="false">FALSE()</f>
        <v>0</v>
      </c>
      <c r="B242" s="56" t="s">
        <v>383</v>
      </c>
      <c r="C242" s="46" t="n">
        <f aca="false">'Get Started'!$C$4-270+-2</f>
        <v>46280</v>
      </c>
      <c r="D242" s="45" t="s">
        <v>66</v>
      </c>
      <c r="E242" s="45" t="s">
        <v>127</v>
      </c>
      <c r="F242" s="45" t="s">
        <v>134</v>
      </c>
    </row>
    <row r="243" customFormat="false" ht="15" hidden="false" customHeight="false" outlineLevel="0" collapsed="false">
      <c r="A243" s="53" t="n">
        <f aca="false">FALSE()</f>
        <v>0</v>
      </c>
      <c r="B243" s="54" t="s">
        <v>384</v>
      </c>
      <c r="C243" s="48" t="n">
        <f aca="false">'Get Started'!$C$4-270+-2</f>
        <v>46280</v>
      </c>
      <c r="D243" s="47" t="s">
        <v>66</v>
      </c>
      <c r="E243" s="47" t="s">
        <v>127</v>
      </c>
      <c r="F243" s="47" t="s">
        <v>134</v>
      </c>
    </row>
    <row r="244" customFormat="false" ht="15" hidden="false" customHeight="false" outlineLevel="0" collapsed="false">
      <c r="A244" s="55" t="n">
        <f aca="false">FALSE()</f>
        <v>0</v>
      </c>
      <c r="B244" s="56" t="s">
        <v>385</v>
      </c>
      <c r="C244" s="46" t="n">
        <f aca="false">'Get Started'!$C$4-270+-2</f>
        <v>46280</v>
      </c>
      <c r="D244" s="45" t="s">
        <v>66</v>
      </c>
      <c r="E244" s="45" t="s">
        <v>127</v>
      </c>
      <c r="F244" s="45" t="s">
        <v>134</v>
      </c>
    </row>
    <row r="245" customFormat="false" ht="15" hidden="false" customHeight="false" outlineLevel="0" collapsed="false">
      <c r="A245" s="53" t="n">
        <f aca="false">FALSE()</f>
        <v>0</v>
      </c>
      <c r="B245" s="54" t="s">
        <v>386</v>
      </c>
      <c r="C245" s="48" t="n">
        <f aca="false">'Get Started'!$C$4-270+-2</f>
        <v>46280</v>
      </c>
      <c r="D245" s="47" t="s">
        <v>66</v>
      </c>
      <c r="E245" s="47" t="s">
        <v>127</v>
      </c>
      <c r="F245" s="47" t="s">
        <v>134</v>
      </c>
    </row>
    <row r="246" customFormat="false" ht="15" hidden="false" customHeight="false" outlineLevel="0" collapsed="false">
      <c r="A246" s="55" t="n">
        <f aca="false">FALSE()</f>
        <v>0</v>
      </c>
      <c r="B246" s="56" t="s">
        <v>387</v>
      </c>
      <c r="C246" s="46" t="n">
        <f aca="false">'Get Started'!$C$4-270+-1</f>
        <v>46281</v>
      </c>
      <c r="D246" s="45" t="s">
        <v>66</v>
      </c>
      <c r="E246" s="45" t="s">
        <v>127</v>
      </c>
      <c r="F246" s="45" t="s">
        <v>134</v>
      </c>
    </row>
    <row r="247" customFormat="false" ht="15" hidden="false" customHeight="false" outlineLevel="0" collapsed="false">
      <c r="A247" s="53" t="n">
        <f aca="false">FALSE()</f>
        <v>0</v>
      </c>
      <c r="B247" s="54" t="s">
        <v>388</v>
      </c>
      <c r="C247" s="48" t="n">
        <f aca="false">'Get Started'!$C$4-270+-1</f>
        <v>46281</v>
      </c>
      <c r="D247" s="47" t="s">
        <v>66</v>
      </c>
      <c r="E247" s="47" t="s">
        <v>127</v>
      </c>
      <c r="F247" s="47" t="s">
        <v>134</v>
      </c>
    </row>
    <row r="248" customFormat="false" ht="15" hidden="false" customHeight="false" outlineLevel="0" collapsed="false">
      <c r="A248" s="55" t="n">
        <f aca="false">FALSE()</f>
        <v>0</v>
      </c>
      <c r="B248" s="56" t="s">
        <v>389</v>
      </c>
      <c r="C248" s="46" t="n">
        <f aca="false">'Get Started'!$C$4-270+-1</f>
        <v>46281</v>
      </c>
      <c r="D248" s="45" t="s">
        <v>66</v>
      </c>
      <c r="E248" s="45" t="s">
        <v>127</v>
      </c>
      <c r="F248" s="45" t="s">
        <v>134</v>
      </c>
    </row>
    <row r="249" customFormat="false" ht="15" hidden="false" customHeight="false" outlineLevel="0" collapsed="false">
      <c r="A249" s="53" t="n">
        <f aca="false">FALSE()</f>
        <v>0</v>
      </c>
      <c r="B249" s="54" t="s">
        <v>390</v>
      </c>
      <c r="C249" s="48" t="n">
        <f aca="false">'Get Started'!$C$4-270+-1</f>
        <v>46281</v>
      </c>
      <c r="D249" s="47" t="s">
        <v>66</v>
      </c>
      <c r="E249" s="47" t="s">
        <v>127</v>
      </c>
      <c r="F249" s="47" t="s">
        <v>134</v>
      </c>
    </row>
    <row r="250" customFormat="false" ht="15" hidden="false" customHeight="false" outlineLevel="0" collapsed="false">
      <c r="A250" s="55" t="n">
        <f aca="false">FALSE()</f>
        <v>0</v>
      </c>
      <c r="B250" s="56" t="s">
        <v>391</v>
      </c>
      <c r="C250" s="46" t="n">
        <f aca="false">'Get Started'!$C$4-270+-1</f>
        <v>46281</v>
      </c>
      <c r="D250" s="45" t="s">
        <v>66</v>
      </c>
      <c r="E250" s="45" t="s">
        <v>127</v>
      </c>
      <c r="F250" s="45" t="s">
        <v>134</v>
      </c>
    </row>
    <row r="251" customFormat="false" ht="15" hidden="false" customHeight="false" outlineLevel="0" collapsed="false">
      <c r="A251" s="53" t="n">
        <f aca="false">FALSE()</f>
        <v>0</v>
      </c>
      <c r="B251" s="54" t="s">
        <v>392</v>
      </c>
      <c r="C251" s="48" t="n">
        <f aca="false">'Get Started'!$C$4-270+-1</f>
        <v>46281</v>
      </c>
      <c r="D251" s="47" t="s">
        <v>66</v>
      </c>
      <c r="E251" s="47" t="s">
        <v>127</v>
      </c>
      <c r="F251" s="47" t="s">
        <v>134</v>
      </c>
    </row>
    <row r="252" customFormat="false" ht="15" hidden="false" customHeight="false" outlineLevel="0" collapsed="false">
      <c r="A252" s="55" t="n">
        <f aca="false">FALSE()</f>
        <v>0</v>
      </c>
      <c r="B252" s="56" t="s">
        <v>393</v>
      </c>
      <c r="C252" s="46" t="n">
        <f aca="false">'Get Started'!$C$4-270+-1</f>
        <v>46281</v>
      </c>
      <c r="D252" s="45" t="s">
        <v>66</v>
      </c>
      <c r="E252" s="45" t="s">
        <v>127</v>
      </c>
      <c r="F252" s="45" t="s">
        <v>134</v>
      </c>
    </row>
    <row r="253" customFormat="false" ht="15" hidden="false" customHeight="false" outlineLevel="0" collapsed="false">
      <c r="A253" s="53" t="n">
        <f aca="false">FALSE()</f>
        <v>0</v>
      </c>
      <c r="B253" s="54" t="s">
        <v>394</v>
      </c>
      <c r="C253" s="48" t="n">
        <f aca="false">'Get Started'!$C$4-270+-1</f>
        <v>46281</v>
      </c>
      <c r="D253" s="47" t="s">
        <v>66</v>
      </c>
      <c r="E253" s="47" t="s">
        <v>127</v>
      </c>
      <c r="F253" s="47" t="s">
        <v>134</v>
      </c>
    </row>
    <row r="254" customFormat="false" ht="15" hidden="false" customHeight="false" outlineLevel="0" collapsed="false">
      <c r="A254" s="55" t="n">
        <f aca="false">FALSE()</f>
        <v>0</v>
      </c>
      <c r="B254" s="56" t="s">
        <v>395</v>
      </c>
      <c r="C254" s="46" t="n">
        <f aca="false">'Get Started'!$C$4-270+-1</f>
        <v>46281</v>
      </c>
      <c r="D254" s="45" t="s">
        <v>66</v>
      </c>
      <c r="E254" s="45" t="s">
        <v>127</v>
      </c>
      <c r="F254" s="45" t="s">
        <v>134</v>
      </c>
    </row>
    <row r="255" customFormat="false" ht="15" hidden="false" customHeight="false" outlineLevel="0" collapsed="false">
      <c r="A255" s="53" t="n">
        <f aca="false">FALSE()</f>
        <v>0</v>
      </c>
      <c r="B255" s="54" t="s">
        <v>396</v>
      </c>
      <c r="C255" s="48" t="n">
        <f aca="false">'Get Started'!$C$4-270+-1</f>
        <v>46281</v>
      </c>
      <c r="D255" s="47" t="s">
        <v>66</v>
      </c>
      <c r="E255" s="47" t="s">
        <v>127</v>
      </c>
      <c r="F255" s="47" t="s">
        <v>134</v>
      </c>
    </row>
    <row r="256" customFormat="false" ht="15" hidden="false" customHeight="false" outlineLevel="0" collapsed="false">
      <c r="A256" s="55" t="n">
        <f aca="false">FALSE()</f>
        <v>0</v>
      </c>
      <c r="B256" s="56" t="s">
        <v>397</v>
      </c>
      <c r="C256" s="46" t="n">
        <f aca="false">'Get Started'!$C$4-270+-1</f>
        <v>46281</v>
      </c>
      <c r="D256" s="45" t="s">
        <v>66</v>
      </c>
      <c r="E256" s="45" t="s">
        <v>127</v>
      </c>
      <c r="F256" s="45" t="s">
        <v>134</v>
      </c>
    </row>
    <row r="257" customFormat="false" ht="15" hidden="false" customHeight="false" outlineLevel="0" collapsed="false">
      <c r="A257" s="53" t="n">
        <f aca="false">FALSE()</f>
        <v>0</v>
      </c>
      <c r="B257" s="54" t="s">
        <v>398</v>
      </c>
      <c r="C257" s="48" t="n">
        <f aca="false">'Get Started'!$C$4-270+-1</f>
        <v>46281</v>
      </c>
      <c r="D257" s="47" t="s">
        <v>66</v>
      </c>
      <c r="E257" s="47" t="s">
        <v>127</v>
      </c>
      <c r="F257" s="47" t="s">
        <v>134</v>
      </c>
    </row>
    <row r="258" customFormat="false" ht="15" hidden="false" customHeight="false" outlineLevel="0" collapsed="false">
      <c r="A258" s="55" t="n">
        <f aca="false">FALSE()</f>
        <v>0</v>
      </c>
      <c r="B258" s="56" t="s">
        <v>399</v>
      </c>
      <c r="C258" s="46" t="n">
        <f aca="false">'Get Started'!$C$4-270+-1</f>
        <v>46281</v>
      </c>
      <c r="D258" s="45" t="s">
        <v>66</v>
      </c>
      <c r="E258" s="45" t="s">
        <v>127</v>
      </c>
      <c r="F258" s="45" t="s">
        <v>134</v>
      </c>
    </row>
    <row r="259" customFormat="false" ht="15" hidden="false" customHeight="false" outlineLevel="0" collapsed="false">
      <c r="A259" s="53" t="n">
        <f aca="false">FALSE()</f>
        <v>0</v>
      </c>
      <c r="B259" s="54" t="s">
        <v>400</v>
      </c>
      <c r="C259" s="48" t="n">
        <f aca="false">'Get Started'!$C$4-270+0</f>
        <v>46282</v>
      </c>
      <c r="D259" s="47" t="s">
        <v>66</v>
      </c>
      <c r="E259" s="47" t="s">
        <v>127</v>
      </c>
      <c r="F259" s="47" t="s">
        <v>134</v>
      </c>
    </row>
    <row r="260" customFormat="false" ht="15" hidden="false" customHeight="false" outlineLevel="0" collapsed="false">
      <c r="A260" s="55" t="n">
        <f aca="false">FALSE()</f>
        <v>0</v>
      </c>
      <c r="B260" s="56" t="s">
        <v>401</v>
      </c>
      <c r="C260" s="46" t="n">
        <f aca="false">'Get Started'!$C$4-270+0</f>
        <v>46282</v>
      </c>
      <c r="D260" s="45" t="s">
        <v>66</v>
      </c>
      <c r="E260" s="45" t="s">
        <v>127</v>
      </c>
      <c r="F260" s="45" t="s">
        <v>134</v>
      </c>
    </row>
    <row r="261" customFormat="false" ht="15" hidden="false" customHeight="false" outlineLevel="0" collapsed="false">
      <c r="A261" s="53" t="n">
        <f aca="false">FALSE()</f>
        <v>0</v>
      </c>
      <c r="B261" s="54" t="s">
        <v>402</v>
      </c>
      <c r="C261" s="48" t="n">
        <f aca="false">'Get Started'!$C$4-270+0</f>
        <v>46282</v>
      </c>
      <c r="D261" s="47" t="s">
        <v>66</v>
      </c>
      <c r="E261" s="47" t="s">
        <v>127</v>
      </c>
      <c r="F261" s="47" t="s">
        <v>134</v>
      </c>
    </row>
    <row r="262" customFormat="false" ht="15" hidden="false" customHeight="false" outlineLevel="0" collapsed="false">
      <c r="A262" s="55" t="n">
        <f aca="false">FALSE()</f>
        <v>0</v>
      </c>
      <c r="B262" s="56" t="s">
        <v>403</v>
      </c>
      <c r="C262" s="46" t="n">
        <f aca="false">'Get Started'!$C$4-270+0</f>
        <v>46282</v>
      </c>
      <c r="D262" s="45" t="s">
        <v>66</v>
      </c>
      <c r="E262" s="45" t="s">
        <v>127</v>
      </c>
      <c r="F262" s="45" t="s">
        <v>134</v>
      </c>
    </row>
    <row r="263" customFormat="false" ht="15" hidden="false" customHeight="false" outlineLevel="0" collapsed="false">
      <c r="A263" s="53" t="n">
        <f aca="false">FALSE()</f>
        <v>0</v>
      </c>
      <c r="B263" s="54" t="s">
        <v>404</v>
      </c>
      <c r="C263" s="48" t="n">
        <f aca="false">'Get Started'!$C$4-270+0</f>
        <v>46282</v>
      </c>
      <c r="D263" s="47" t="s">
        <v>66</v>
      </c>
      <c r="E263" s="47" t="s">
        <v>127</v>
      </c>
      <c r="F263" s="47" t="s">
        <v>134</v>
      </c>
    </row>
    <row r="264" customFormat="false" ht="15" hidden="false" customHeight="false" outlineLevel="0" collapsed="false">
      <c r="A264" s="55" t="n">
        <f aca="false">FALSE()</f>
        <v>0</v>
      </c>
      <c r="B264" s="56" t="s">
        <v>405</v>
      </c>
      <c r="C264" s="46" t="n">
        <f aca="false">'Get Started'!$C$4-270+0</f>
        <v>46282</v>
      </c>
      <c r="D264" s="45" t="s">
        <v>66</v>
      </c>
      <c r="E264" s="45" t="s">
        <v>127</v>
      </c>
      <c r="F264" s="45" t="s">
        <v>134</v>
      </c>
    </row>
    <row r="265" customFormat="false" ht="15" hidden="false" customHeight="false" outlineLevel="0" collapsed="false">
      <c r="A265" s="53" t="n">
        <f aca="false">FALSE()</f>
        <v>0</v>
      </c>
      <c r="B265" s="54" t="s">
        <v>406</v>
      </c>
      <c r="C265" s="48" t="n">
        <f aca="false">'Get Started'!$C$4-270+0</f>
        <v>46282</v>
      </c>
      <c r="D265" s="47" t="s">
        <v>66</v>
      </c>
      <c r="E265" s="47" t="s">
        <v>127</v>
      </c>
      <c r="F265" s="47" t="s">
        <v>134</v>
      </c>
    </row>
    <row r="266" customFormat="false" ht="15" hidden="false" customHeight="false" outlineLevel="0" collapsed="false">
      <c r="A266" s="55" t="n">
        <f aca="false">FALSE()</f>
        <v>0</v>
      </c>
      <c r="B266" s="56" t="s">
        <v>407</v>
      </c>
      <c r="C266" s="46" t="n">
        <f aca="false">'Get Started'!$C$4-270+0</f>
        <v>46282</v>
      </c>
      <c r="D266" s="45" t="s">
        <v>66</v>
      </c>
      <c r="E266" s="45" t="s">
        <v>127</v>
      </c>
      <c r="F266" s="45" t="s">
        <v>134</v>
      </c>
    </row>
    <row r="267" customFormat="false" ht="15" hidden="false" customHeight="false" outlineLevel="0" collapsed="false">
      <c r="A267" s="53" t="n">
        <f aca="false">FALSE()</f>
        <v>0</v>
      </c>
      <c r="B267" s="54" t="s">
        <v>408</v>
      </c>
      <c r="C267" s="48" t="n">
        <f aca="false">'Get Started'!$C$4-270+0</f>
        <v>46282</v>
      </c>
      <c r="D267" s="47" t="s">
        <v>66</v>
      </c>
      <c r="E267" s="47" t="s">
        <v>127</v>
      </c>
      <c r="F267" s="47" t="s">
        <v>134</v>
      </c>
    </row>
    <row r="268" customFormat="false" ht="15" hidden="false" customHeight="false" outlineLevel="0" collapsed="false">
      <c r="A268" s="55" t="n">
        <f aca="false">FALSE()</f>
        <v>0</v>
      </c>
      <c r="B268" s="56" t="s">
        <v>409</v>
      </c>
      <c r="C268" s="46" t="n">
        <f aca="false">'Get Started'!$C$4-270+0</f>
        <v>46282</v>
      </c>
      <c r="D268" s="45" t="s">
        <v>66</v>
      </c>
      <c r="E268" s="45" t="s">
        <v>127</v>
      </c>
      <c r="F268" s="45" t="s">
        <v>134</v>
      </c>
    </row>
    <row r="269" customFormat="false" ht="15" hidden="false" customHeight="false" outlineLevel="0" collapsed="false">
      <c r="A269" s="53" t="n">
        <f aca="false">FALSE()</f>
        <v>0</v>
      </c>
      <c r="B269" s="54" t="s">
        <v>410</v>
      </c>
      <c r="C269" s="48" t="n">
        <f aca="false">'Get Started'!$C$4-270+0</f>
        <v>46282</v>
      </c>
      <c r="D269" s="47" t="s">
        <v>66</v>
      </c>
      <c r="E269" s="47" t="s">
        <v>127</v>
      </c>
      <c r="F269" s="47" t="s">
        <v>134</v>
      </c>
    </row>
    <row r="270" customFormat="false" ht="15" hidden="false" customHeight="false" outlineLevel="0" collapsed="false">
      <c r="A270" s="55" t="n">
        <f aca="false">FALSE()</f>
        <v>0</v>
      </c>
      <c r="B270" s="56" t="s">
        <v>411</v>
      </c>
      <c r="C270" s="46" t="n">
        <f aca="false">'Get Started'!$C$4-270+0</f>
        <v>46282</v>
      </c>
      <c r="D270" s="45" t="s">
        <v>66</v>
      </c>
      <c r="E270" s="45" t="s">
        <v>127</v>
      </c>
      <c r="F270" s="45" t="s">
        <v>134</v>
      </c>
    </row>
    <row r="271" customFormat="false" ht="15" hidden="false" customHeight="false" outlineLevel="0" collapsed="false">
      <c r="A271" s="53" t="n">
        <f aca="false">FALSE()</f>
        <v>0</v>
      </c>
      <c r="B271" s="54" t="s">
        <v>412</v>
      </c>
      <c r="C271" s="48" t="n">
        <f aca="false">'Get Started'!$C$4-270+0</f>
        <v>46282</v>
      </c>
      <c r="D271" s="47" t="s">
        <v>66</v>
      </c>
      <c r="E271" s="47" t="s">
        <v>127</v>
      </c>
      <c r="F271" s="47" t="s">
        <v>134</v>
      </c>
    </row>
    <row r="272" customFormat="false" ht="15" hidden="false" customHeight="false" outlineLevel="0" collapsed="false">
      <c r="A272" s="55" t="n">
        <f aca="false">FALSE()</f>
        <v>0</v>
      </c>
      <c r="B272" s="56" t="s">
        <v>413</v>
      </c>
      <c r="C272" s="46" t="n">
        <f aca="false">'Get Started'!$C$4-270+1</f>
        <v>46283</v>
      </c>
      <c r="D272" s="45" t="s">
        <v>66</v>
      </c>
      <c r="E272" s="45" t="s">
        <v>127</v>
      </c>
      <c r="F272" s="45" t="s">
        <v>134</v>
      </c>
    </row>
    <row r="273" customFormat="false" ht="15" hidden="false" customHeight="false" outlineLevel="0" collapsed="false">
      <c r="A273" s="53" t="n">
        <f aca="false">FALSE()</f>
        <v>0</v>
      </c>
      <c r="B273" s="54" t="s">
        <v>414</v>
      </c>
      <c r="C273" s="48" t="n">
        <f aca="false">'Get Started'!$C$4-270+1</f>
        <v>46283</v>
      </c>
      <c r="D273" s="47" t="s">
        <v>66</v>
      </c>
      <c r="E273" s="47" t="s">
        <v>127</v>
      </c>
      <c r="F273" s="47" t="s">
        <v>134</v>
      </c>
    </row>
    <row r="274" customFormat="false" ht="15" hidden="false" customHeight="false" outlineLevel="0" collapsed="false">
      <c r="A274" s="55" t="n">
        <f aca="false">FALSE()</f>
        <v>0</v>
      </c>
      <c r="B274" s="56" t="s">
        <v>415</v>
      </c>
      <c r="C274" s="46" t="n">
        <f aca="false">'Get Started'!$C$4-270+1</f>
        <v>46283</v>
      </c>
      <c r="D274" s="45" t="s">
        <v>66</v>
      </c>
      <c r="E274" s="45" t="s">
        <v>127</v>
      </c>
      <c r="F274" s="45" t="s">
        <v>134</v>
      </c>
    </row>
    <row r="275" customFormat="false" ht="15" hidden="false" customHeight="false" outlineLevel="0" collapsed="false">
      <c r="A275" s="53" t="n">
        <f aca="false">FALSE()</f>
        <v>0</v>
      </c>
      <c r="B275" s="54" t="s">
        <v>416</v>
      </c>
      <c r="C275" s="48" t="n">
        <f aca="false">'Get Started'!$C$4-270+1</f>
        <v>46283</v>
      </c>
      <c r="D275" s="47" t="s">
        <v>66</v>
      </c>
      <c r="E275" s="47" t="s">
        <v>127</v>
      </c>
      <c r="F275" s="47" t="s">
        <v>134</v>
      </c>
    </row>
    <row r="276" customFormat="false" ht="15" hidden="false" customHeight="false" outlineLevel="0" collapsed="false">
      <c r="A276" s="55" t="n">
        <f aca="false">FALSE()</f>
        <v>0</v>
      </c>
      <c r="B276" s="56" t="s">
        <v>417</v>
      </c>
      <c r="C276" s="46" t="n">
        <f aca="false">'Get Started'!$C$4-270+1</f>
        <v>46283</v>
      </c>
      <c r="D276" s="45" t="s">
        <v>66</v>
      </c>
      <c r="E276" s="45" t="s">
        <v>127</v>
      </c>
      <c r="F276" s="45" t="s">
        <v>134</v>
      </c>
    </row>
    <row r="277" customFormat="false" ht="15" hidden="false" customHeight="false" outlineLevel="0" collapsed="false">
      <c r="A277" s="53" t="n">
        <f aca="false">FALSE()</f>
        <v>0</v>
      </c>
      <c r="B277" s="54" t="s">
        <v>418</v>
      </c>
      <c r="C277" s="48" t="n">
        <f aca="false">'Get Started'!$C$4-270+1</f>
        <v>46283</v>
      </c>
      <c r="D277" s="47" t="s">
        <v>66</v>
      </c>
      <c r="E277" s="47" t="s">
        <v>127</v>
      </c>
      <c r="F277" s="47" t="s">
        <v>134</v>
      </c>
    </row>
    <row r="278" customFormat="false" ht="15" hidden="false" customHeight="false" outlineLevel="0" collapsed="false">
      <c r="A278" s="55" t="n">
        <f aca="false">FALSE()</f>
        <v>0</v>
      </c>
      <c r="B278" s="56" t="s">
        <v>419</v>
      </c>
      <c r="C278" s="46" t="n">
        <f aca="false">'Get Started'!$C$4-270+1</f>
        <v>46283</v>
      </c>
      <c r="D278" s="45" t="s">
        <v>66</v>
      </c>
      <c r="E278" s="45" t="s">
        <v>127</v>
      </c>
      <c r="F278" s="45" t="s">
        <v>134</v>
      </c>
    </row>
    <row r="279" customFormat="false" ht="15" hidden="false" customHeight="false" outlineLevel="0" collapsed="false">
      <c r="A279" s="53" t="n">
        <f aca="false">FALSE()</f>
        <v>0</v>
      </c>
      <c r="B279" s="54" t="s">
        <v>420</v>
      </c>
      <c r="C279" s="48" t="n">
        <f aca="false">'Get Started'!$C$4-270+1</f>
        <v>46283</v>
      </c>
      <c r="D279" s="47" t="s">
        <v>66</v>
      </c>
      <c r="E279" s="47" t="s">
        <v>127</v>
      </c>
      <c r="F279" s="47" t="s">
        <v>134</v>
      </c>
    </row>
    <row r="280" customFormat="false" ht="15" hidden="false" customHeight="false" outlineLevel="0" collapsed="false">
      <c r="A280" s="55" t="n">
        <f aca="false">FALSE()</f>
        <v>0</v>
      </c>
      <c r="B280" s="56" t="s">
        <v>421</v>
      </c>
      <c r="C280" s="46" t="n">
        <f aca="false">'Get Started'!$C$4-270+1</f>
        <v>46283</v>
      </c>
      <c r="D280" s="45" t="s">
        <v>66</v>
      </c>
      <c r="E280" s="45" t="s">
        <v>127</v>
      </c>
      <c r="F280" s="45" t="s">
        <v>134</v>
      </c>
    </row>
    <row r="281" customFormat="false" ht="15" hidden="false" customHeight="false" outlineLevel="0" collapsed="false">
      <c r="A281" s="53" t="n">
        <f aca="false">FALSE()</f>
        <v>0</v>
      </c>
      <c r="B281" s="54" t="s">
        <v>422</v>
      </c>
      <c r="C281" s="48" t="n">
        <f aca="false">'Get Started'!$C$4-270+1</f>
        <v>46283</v>
      </c>
      <c r="D281" s="47" t="s">
        <v>66</v>
      </c>
      <c r="E281" s="47" t="s">
        <v>127</v>
      </c>
      <c r="F281" s="47" t="s">
        <v>134</v>
      </c>
    </row>
    <row r="282" customFormat="false" ht="15" hidden="false" customHeight="false" outlineLevel="0" collapsed="false">
      <c r="A282" s="55" t="n">
        <f aca="false">FALSE()</f>
        <v>0</v>
      </c>
      <c r="B282" s="56" t="s">
        <v>423</v>
      </c>
      <c r="C282" s="46" t="n">
        <f aca="false">'Get Started'!$C$4-270+1</f>
        <v>46283</v>
      </c>
      <c r="D282" s="45" t="s">
        <v>66</v>
      </c>
      <c r="E282" s="45" t="s">
        <v>127</v>
      </c>
      <c r="F282" s="45" t="s">
        <v>134</v>
      </c>
    </row>
    <row r="283" customFormat="false" ht="15" hidden="false" customHeight="false" outlineLevel="0" collapsed="false">
      <c r="A283" s="53" t="n">
        <f aca="false">FALSE()</f>
        <v>0</v>
      </c>
      <c r="B283" s="54" t="s">
        <v>424</v>
      </c>
      <c r="C283" s="48" t="n">
        <f aca="false">'Get Started'!$C$4-270+1</f>
        <v>46283</v>
      </c>
      <c r="D283" s="47" t="s">
        <v>66</v>
      </c>
      <c r="E283" s="47" t="s">
        <v>127</v>
      </c>
      <c r="F283" s="47" t="s">
        <v>134</v>
      </c>
    </row>
    <row r="284" customFormat="false" ht="15" hidden="false" customHeight="false" outlineLevel="0" collapsed="false">
      <c r="A284" s="55" t="n">
        <f aca="false">FALSE()</f>
        <v>0</v>
      </c>
      <c r="B284" s="56" t="s">
        <v>425</v>
      </c>
      <c r="C284" s="46" t="n">
        <f aca="false">'Get Started'!$C$4-270+1</f>
        <v>46283</v>
      </c>
      <c r="D284" s="45" t="s">
        <v>66</v>
      </c>
      <c r="E284" s="45" t="s">
        <v>127</v>
      </c>
      <c r="F284" s="45" t="s">
        <v>134</v>
      </c>
    </row>
    <row r="285" customFormat="false" ht="15" hidden="false" customHeight="false" outlineLevel="0" collapsed="false">
      <c r="A285" s="53" t="n">
        <f aca="false">FALSE()</f>
        <v>0</v>
      </c>
      <c r="B285" s="54" t="s">
        <v>426</v>
      </c>
      <c r="C285" s="48" t="n">
        <f aca="false">'Get Started'!$C$4-270+2</f>
        <v>46284</v>
      </c>
      <c r="D285" s="47" t="s">
        <v>66</v>
      </c>
      <c r="E285" s="47" t="s">
        <v>127</v>
      </c>
      <c r="F285" s="47" t="s">
        <v>134</v>
      </c>
    </row>
    <row r="286" customFormat="false" ht="15" hidden="false" customHeight="false" outlineLevel="0" collapsed="false">
      <c r="A286" s="55" t="n">
        <f aca="false">FALSE()</f>
        <v>0</v>
      </c>
      <c r="B286" s="56" t="s">
        <v>427</v>
      </c>
      <c r="C286" s="46" t="n">
        <f aca="false">'Get Started'!$C$4-270+2</f>
        <v>46284</v>
      </c>
      <c r="D286" s="45" t="s">
        <v>66</v>
      </c>
      <c r="E286" s="45" t="s">
        <v>127</v>
      </c>
      <c r="F286" s="45" t="s">
        <v>134</v>
      </c>
    </row>
    <row r="287" customFormat="false" ht="15" hidden="false" customHeight="false" outlineLevel="0" collapsed="false">
      <c r="A287" s="53" t="n">
        <f aca="false">FALSE()</f>
        <v>0</v>
      </c>
      <c r="B287" s="54" t="s">
        <v>428</v>
      </c>
      <c r="C287" s="48" t="n">
        <f aca="false">'Get Started'!$C$4-270+2</f>
        <v>46284</v>
      </c>
      <c r="D287" s="47" t="s">
        <v>66</v>
      </c>
      <c r="E287" s="47" t="s">
        <v>127</v>
      </c>
      <c r="F287" s="47" t="s">
        <v>134</v>
      </c>
    </row>
    <row r="288" customFormat="false" ht="15" hidden="false" customHeight="false" outlineLevel="0" collapsed="false">
      <c r="A288" s="55" t="n">
        <f aca="false">FALSE()</f>
        <v>0</v>
      </c>
      <c r="B288" s="56" t="s">
        <v>429</v>
      </c>
      <c r="C288" s="46" t="n">
        <f aca="false">'Get Started'!$C$4-270+2</f>
        <v>46284</v>
      </c>
      <c r="D288" s="45" t="s">
        <v>66</v>
      </c>
      <c r="E288" s="45" t="s">
        <v>127</v>
      </c>
      <c r="F288" s="45" t="s">
        <v>134</v>
      </c>
    </row>
    <row r="289" customFormat="false" ht="15" hidden="false" customHeight="false" outlineLevel="0" collapsed="false">
      <c r="A289" s="53" t="n">
        <f aca="false">FALSE()</f>
        <v>0</v>
      </c>
      <c r="B289" s="54" t="s">
        <v>430</v>
      </c>
      <c r="C289" s="48" t="n">
        <f aca="false">'Get Started'!$C$4-270+2</f>
        <v>46284</v>
      </c>
      <c r="D289" s="47" t="s">
        <v>66</v>
      </c>
      <c r="E289" s="47" t="s">
        <v>127</v>
      </c>
      <c r="F289" s="47" t="s">
        <v>134</v>
      </c>
    </row>
    <row r="290" customFormat="false" ht="15" hidden="false" customHeight="false" outlineLevel="0" collapsed="false">
      <c r="A290" s="55" t="n">
        <f aca="false">FALSE()</f>
        <v>0</v>
      </c>
      <c r="B290" s="56" t="s">
        <v>431</v>
      </c>
      <c r="C290" s="46" t="n">
        <f aca="false">'Get Started'!$C$4-270+2</f>
        <v>46284</v>
      </c>
      <c r="D290" s="45" t="s">
        <v>66</v>
      </c>
      <c r="E290" s="45" t="s">
        <v>127</v>
      </c>
      <c r="F290" s="45" t="s">
        <v>134</v>
      </c>
    </row>
    <row r="291" customFormat="false" ht="15" hidden="false" customHeight="false" outlineLevel="0" collapsed="false">
      <c r="A291" s="53" t="n">
        <f aca="false">FALSE()</f>
        <v>0</v>
      </c>
      <c r="B291" s="54" t="s">
        <v>432</v>
      </c>
      <c r="C291" s="48" t="n">
        <f aca="false">'Get Started'!$C$4-270+2</f>
        <v>46284</v>
      </c>
      <c r="D291" s="47" t="s">
        <v>66</v>
      </c>
      <c r="E291" s="47" t="s">
        <v>127</v>
      </c>
      <c r="F291" s="47" t="s">
        <v>134</v>
      </c>
    </row>
    <row r="292" customFormat="false" ht="15" hidden="false" customHeight="false" outlineLevel="0" collapsed="false">
      <c r="A292" s="55" t="n">
        <f aca="false">FALSE()</f>
        <v>0</v>
      </c>
      <c r="B292" s="56" t="s">
        <v>433</v>
      </c>
      <c r="C292" s="46" t="n">
        <f aca="false">'Get Started'!$C$4-270+2</f>
        <v>46284</v>
      </c>
      <c r="D292" s="45" t="s">
        <v>66</v>
      </c>
      <c r="E292" s="45" t="s">
        <v>127</v>
      </c>
      <c r="F292" s="45" t="s">
        <v>134</v>
      </c>
    </row>
    <row r="293" customFormat="false" ht="15" hidden="false" customHeight="false" outlineLevel="0" collapsed="false">
      <c r="A293" s="53" t="n">
        <f aca="false">FALSE()</f>
        <v>0</v>
      </c>
      <c r="B293" s="54" t="s">
        <v>434</v>
      </c>
      <c r="C293" s="48" t="n">
        <f aca="false">'Get Started'!$C$4-270+2</f>
        <v>46284</v>
      </c>
      <c r="D293" s="47" t="s">
        <v>66</v>
      </c>
      <c r="E293" s="47" t="s">
        <v>127</v>
      </c>
      <c r="F293" s="47" t="s">
        <v>134</v>
      </c>
    </row>
    <row r="294" customFormat="false" ht="15" hidden="false" customHeight="false" outlineLevel="0" collapsed="false">
      <c r="A294" s="55" t="n">
        <f aca="false">FALSE()</f>
        <v>0</v>
      </c>
      <c r="B294" s="56" t="s">
        <v>435</v>
      </c>
      <c r="C294" s="46" t="n">
        <f aca="false">'Get Started'!$C$4-270+2</f>
        <v>46284</v>
      </c>
      <c r="D294" s="45" t="s">
        <v>66</v>
      </c>
      <c r="E294" s="45" t="s">
        <v>127</v>
      </c>
      <c r="F294" s="45" t="s">
        <v>134</v>
      </c>
    </row>
    <row r="295" customFormat="false" ht="15" hidden="false" customHeight="false" outlineLevel="0" collapsed="false">
      <c r="A295" s="53" t="n">
        <f aca="false">FALSE()</f>
        <v>0</v>
      </c>
      <c r="B295" s="54" t="s">
        <v>436</v>
      </c>
      <c r="C295" s="48" t="n">
        <f aca="false">'Get Started'!$C$4-270+2</f>
        <v>46284</v>
      </c>
      <c r="D295" s="47" t="s">
        <v>66</v>
      </c>
      <c r="E295" s="47" t="s">
        <v>127</v>
      </c>
      <c r="F295" s="47" t="s">
        <v>134</v>
      </c>
    </row>
    <row r="296" customFormat="false" ht="15" hidden="false" customHeight="false" outlineLevel="0" collapsed="false">
      <c r="A296" s="55" t="n">
        <f aca="false">FALSE()</f>
        <v>0</v>
      </c>
      <c r="B296" s="56" t="s">
        <v>437</v>
      </c>
      <c r="C296" s="46" t="n">
        <f aca="false">'Get Started'!$C$4-270+2</f>
        <v>46284</v>
      </c>
      <c r="D296" s="45" t="s">
        <v>66</v>
      </c>
      <c r="E296" s="45" t="s">
        <v>127</v>
      </c>
      <c r="F296" s="45" t="s">
        <v>134</v>
      </c>
    </row>
    <row r="297" customFormat="false" ht="15" hidden="false" customHeight="false" outlineLevel="0" collapsed="false">
      <c r="A297" s="53" t="n">
        <f aca="false">FALSE()</f>
        <v>0</v>
      </c>
      <c r="B297" s="54" t="s">
        <v>438</v>
      </c>
      <c r="C297" s="48" t="n">
        <f aca="false">'Get Started'!$C$4-270+2</f>
        <v>46284</v>
      </c>
      <c r="D297" s="47" t="s">
        <v>66</v>
      </c>
      <c r="E297" s="47" t="s">
        <v>127</v>
      </c>
      <c r="F297" s="47" t="s">
        <v>134</v>
      </c>
    </row>
    <row r="298" customFormat="false" ht="15" hidden="false" customHeight="false" outlineLevel="0" collapsed="false">
      <c r="A298" s="55" t="n">
        <f aca="false">FALSE()</f>
        <v>0</v>
      </c>
      <c r="B298" s="56" t="s">
        <v>439</v>
      </c>
      <c r="C298" s="46" t="n">
        <f aca="false">'Get Started'!$C$4-270+3</f>
        <v>46285</v>
      </c>
      <c r="D298" s="45" t="s">
        <v>66</v>
      </c>
      <c r="E298" s="45" t="s">
        <v>127</v>
      </c>
      <c r="F298" s="45" t="s">
        <v>134</v>
      </c>
    </row>
    <row r="299" customFormat="false" ht="15" hidden="false" customHeight="false" outlineLevel="0" collapsed="false">
      <c r="A299" s="53" t="n">
        <f aca="false">FALSE()</f>
        <v>0</v>
      </c>
      <c r="B299" s="54" t="s">
        <v>440</v>
      </c>
      <c r="C299" s="48" t="n">
        <f aca="false">'Get Started'!$C$4-270+3</f>
        <v>46285</v>
      </c>
      <c r="D299" s="47" t="s">
        <v>66</v>
      </c>
      <c r="E299" s="47" t="s">
        <v>127</v>
      </c>
      <c r="F299" s="47" t="s">
        <v>134</v>
      </c>
    </row>
    <row r="300" customFormat="false" ht="15" hidden="false" customHeight="false" outlineLevel="0" collapsed="false">
      <c r="A300" s="55" t="n">
        <f aca="false">FALSE()</f>
        <v>0</v>
      </c>
      <c r="B300" s="56" t="s">
        <v>441</v>
      </c>
      <c r="C300" s="46" t="n">
        <f aca="false">'Get Started'!$C$4-270+3</f>
        <v>46285</v>
      </c>
      <c r="D300" s="45" t="s">
        <v>66</v>
      </c>
      <c r="E300" s="45" t="s">
        <v>127</v>
      </c>
      <c r="F300" s="45" t="s">
        <v>134</v>
      </c>
    </row>
    <row r="301" customFormat="false" ht="15" hidden="false" customHeight="false" outlineLevel="0" collapsed="false">
      <c r="A301" s="53" t="n">
        <f aca="false">FALSE()</f>
        <v>0</v>
      </c>
      <c r="B301" s="54" t="s">
        <v>442</v>
      </c>
      <c r="C301" s="48" t="n">
        <f aca="false">'Get Started'!$C$4-270+3</f>
        <v>46285</v>
      </c>
      <c r="D301" s="47" t="s">
        <v>66</v>
      </c>
      <c r="E301" s="47" t="s">
        <v>127</v>
      </c>
      <c r="F301" s="47" t="s">
        <v>134</v>
      </c>
    </row>
    <row r="302" customFormat="false" ht="15" hidden="false" customHeight="false" outlineLevel="0" collapsed="false">
      <c r="A302" s="55" t="n">
        <f aca="false">FALSE()</f>
        <v>0</v>
      </c>
      <c r="B302" s="56" t="s">
        <v>443</v>
      </c>
      <c r="C302" s="46" t="n">
        <f aca="false">'Get Started'!$C$4-270+3</f>
        <v>46285</v>
      </c>
      <c r="D302" s="45" t="s">
        <v>66</v>
      </c>
      <c r="E302" s="45" t="s">
        <v>127</v>
      </c>
      <c r="F302" s="45" t="s">
        <v>134</v>
      </c>
    </row>
    <row r="303" customFormat="false" ht="15" hidden="false" customHeight="false" outlineLevel="0" collapsed="false">
      <c r="A303" s="53" t="n">
        <f aca="false">FALSE()</f>
        <v>0</v>
      </c>
      <c r="B303" s="54" t="s">
        <v>444</v>
      </c>
      <c r="C303" s="48" t="n">
        <f aca="false">'Get Started'!$C$4-270+3</f>
        <v>46285</v>
      </c>
      <c r="D303" s="47" t="s">
        <v>66</v>
      </c>
      <c r="E303" s="47" t="s">
        <v>127</v>
      </c>
      <c r="F303" s="47" t="s">
        <v>134</v>
      </c>
    </row>
    <row r="304" customFormat="false" ht="15" hidden="false" customHeight="false" outlineLevel="0" collapsed="false">
      <c r="A304" s="55" t="n">
        <f aca="false">FALSE()</f>
        <v>0</v>
      </c>
      <c r="B304" s="56" t="s">
        <v>445</v>
      </c>
      <c r="C304" s="46" t="n">
        <f aca="false">'Get Started'!$C$4-270+3</f>
        <v>46285</v>
      </c>
      <c r="D304" s="45" t="s">
        <v>66</v>
      </c>
      <c r="E304" s="45" t="s">
        <v>127</v>
      </c>
      <c r="F304" s="45" t="s">
        <v>134</v>
      </c>
    </row>
    <row r="305" customFormat="false" ht="15" hidden="false" customHeight="false" outlineLevel="0" collapsed="false">
      <c r="A305" s="53" t="n">
        <f aca="false">FALSE()</f>
        <v>0</v>
      </c>
      <c r="B305" s="54" t="s">
        <v>446</v>
      </c>
      <c r="C305" s="48" t="n">
        <f aca="false">'Get Started'!$C$4-270+3</f>
        <v>46285</v>
      </c>
      <c r="D305" s="47" t="s">
        <v>66</v>
      </c>
      <c r="E305" s="47" t="s">
        <v>127</v>
      </c>
      <c r="F305" s="47" t="s">
        <v>134</v>
      </c>
    </row>
    <row r="306" customFormat="false" ht="15" hidden="false" customHeight="false" outlineLevel="0" collapsed="false">
      <c r="A306" s="55" t="n">
        <f aca="false">FALSE()</f>
        <v>0</v>
      </c>
      <c r="B306" s="56" t="s">
        <v>447</v>
      </c>
      <c r="C306" s="46" t="n">
        <f aca="false">'Get Started'!$C$4-270+3</f>
        <v>46285</v>
      </c>
      <c r="D306" s="45" t="s">
        <v>66</v>
      </c>
      <c r="E306" s="45" t="s">
        <v>127</v>
      </c>
      <c r="F306" s="45" t="s">
        <v>134</v>
      </c>
    </row>
    <row r="307" customFormat="false" ht="15" hidden="false" customHeight="false" outlineLevel="0" collapsed="false">
      <c r="A307" s="53" t="n">
        <f aca="false">FALSE()</f>
        <v>0</v>
      </c>
      <c r="B307" s="54" t="s">
        <v>448</v>
      </c>
      <c r="C307" s="48" t="n">
        <f aca="false">'Get Started'!$C$4-270+3</f>
        <v>46285</v>
      </c>
      <c r="D307" s="47" t="s">
        <v>66</v>
      </c>
      <c r="E307" s="47" t="s">
        <v>127</v>
      </c>
      <c r="F307" s="47" t="s">
        <v>134</v>
      </c>
    </row>
    <row r="308" customFormat="false" ht="15" hidden="false" customHeight="false" outlineLevel="0" collapsed="false">
      <c r="A308" s="55" t="n">
        <f aca="false">FALSE()</f>
        <v>0</v>
      </c>
      <c r="B308" s="56" t="s">
        <v>449</v>
      </c>
      <c r="C308" s="46" t="n">
        <f aca="false">'Get Started'!$C$4-270+3</f>
        <v>46285</v>
      </c>
      <c r="D308" s="45" t="s">
        <v>66</v>
      </c>
      <c r="E308" s="45" t="s">
        <v>127</v>
      </c>
      <c r="F308" s="45" t="s">
        <v>134</v>
      </c>
    </row>
    <row r="309" customFormat="false" ht="15" hidden="false" customHeight="false" outlineLevel="0" collapsed="false">
      <c r="A309" s="53" t="n">
        <f aca="false">FALSE()</f>
        <v>0</v>
      </c>
      <c r="B309" s="54" t="s">
        <v>450</v>
      </c>
      <c r="C309" s="48" t="n">
        <f aca="false">'Get Started'!$C$4-270+3</f>
        <v>46285</v>
      </c>
      <c r="D309" s="47" t="s">
        <v>66</v>
      </c>
      <c r="E309" s="47" t="s">
        <v>127</v>
      </c>
      <c r="F309" s="47" t="s">
        <v>134</v>
      </c>
    </row>
    <row r="310" customFormat="false" ht="15" hidden="false" customHeight="false" outlineLevel="0" collapsed="false">
      <c r="A310" s="55" t="n">
        <f aca="false">FALSE()</f>
        <v>0</v>
      </c>
      <c r="B310" s="56" t="s">
        <v>451</v>
      </c>
      <c r="C310" s="46" t="n">
        <f aca="false">'Get Started'!$C$4-270+3</f>
        <v>46285</v>
      </c>
      <c r="D310" s="45" t="s">
        <v>66</v>
      </c>
      <c r="E310" s="45" t="s">
        <v>127</v>
      </c>
      <c r="F310" s="45" t="s">
        <v>134</v>
      </c>
    </row>
    <row r="311" customFormat="false" ht="15" hidden="false" customHeight="false" outlineLevel="0" collapsed="false">
      <c r="A311" s="53" t="n">
        <f aca="false">FALSE()</f>
        <v>0</v>
      </c>
      <c r="B311" s="54" t="s">
        <v>452</v>
      </c>
      <c r="C311" s="48" t="n">
        <f aca="false">'Get Started'!$C$4-270+4</f>
        <v>46286</v>
      </c>
      <c r="D311" s="47" t="s">
        <v>66</v>
      </c>
      <c r="E311" s="47" t="s">
        <v>127</v>
      </c>
      <c r="F311" s="47" t="s">
        <v>134</v>
      </c>
    </row>
    <row r="312" customFormat="false" ht="15" hidden="false" customHeight="false" outlineLevel="0" collapsed="false">
      <c r="A312" s="55" t="n">
        <f aca="false">FALSE()</f>
        <v>0</v>
      </c>
      <c r="B312" s="56" t="s">
        <v>453</v>
      </c>
      <c r="C312" s="46" t="n">
        <f aca="false">'Get Started'!$C$4-270+4</f>
        <v>46286</v>
      </c>
      <c r="D312" s="45" t="s">
        <v>66</v>
      </c>
      <c r="E312" s="45" t="s">
        <v>127</v>
      </c>
      <c r="F312" s="45" t="s">
        <v>134</v>
      </c>
    </row>
    <row r="313" customFormat="false" ht="15" hidden="false" customHeight="false" outlineLevel="0" collapsed="false">
      <c r="A313" s="53" t="n">
        <f aca="false">FALSE()</f>
        <v>0</v>
      </c>
      <c r="B313" s="54" t="s">
        <v>454</v>
      </c>
      <c r="C313" s="48" t="n">
        <f aca="false">'Get Started'!$C$4-270+4</f>
        <v>46286</v>
      </c>
      <c r="D313" s="47" t="s">
        <v>66</v>
      </c>
      <c r="E313" s="47" t="s">
        <v>127</v>
      </c>
      <c r="F313" s="47" t="s">
        <v>134</v>
      </c>
    </row>
    <row r="314" customFormat="false" ht="15" hidden="false" customHeight="false" outlineLevel="0" collapsed="false">
      <c r="A314" s="55" t="n">
        <f aca="false">FALSE()</f>
        <v>0</v>
      </c>
      <c r="B314" s="56" t="s">
        <v>455</v>
      </c>
      <c r="C314" s="46" t="n">
        <f aca="false">'Get Started'!$C$4-270+4</f>
        <v>46286</v>
      </c>
      <c r="D314" s="45" t="s">
        <v>66</v>
      </c>
      <c r="E314" s="45" t="s">
        <v>127</v>
      </c>
      <c r="F314" s="45" t="s">
        <v>134</v>
      </c>
    </row>
    <row r="315" customFormat="false" ht="15" hidden="false" customHeight="false" outlineLevel="0" collapsed="false">
      <c r="A315" s="53" t="n">
        <f aca="false">FALSE()</f>
        <v>0</v>
      </c>
      <c r="B315" s="54" t="s">
        <v>456</v>
      </c>
      <c r="C315" s="48" t="n">
        <f aca="false">'Get Started'!$C$4-270+4</f>
        <v>46286</v>
      </c>
      <c r="D315" s="47" t="s">
        <v>66</v>
      </c>
      <c r="E315" s="47" t="s">
        <v>127</v>
      </c>
      <c r="F315" s="47" t="s">
        <v>134</v>
      </c>
    </row>
    <row r="316" customFormat="false" ht="15" hidden="false" customHeight="false" outlineLevel="0" collapsed="false">
      <c r="A316" s="55" t="n">
        <f aca="false">FALSE()</f>
        <v>0</v>
      </c>
      <c r="B316" s="56" t="s">
        <v>457</v>
      </c>
      <c r="C316" s="46" t="n">
        <f aca="false">'Get Started'!$C$4-270+4</f>
        <v>46286</v>
      </c>
      <c r="D316" s="45" t="s">
        <v>66</v>
      </c>
      <c r="E316" s="45" t="s">
        <v>127</v>
      </c>
      <c r="F316" s="45" t="s">
        <v>134</v>
      </c>
    </row>
    <row r="317" customFormat="false" ht="15" hidden="false" customHeight="false" outlineLevel="0" collapsed="false">
      <c r="A317" s="53" t="n">
        <f aca="false">FALSE()</f>
        <v>0</v>
      </c>
      <c r="B317" s="54" t="s">
        <v>458</v>
      </c>
      <c r="C317" s="48" t="n">
        <f aca="false">'Get Started'!$C$4-270+4</f>
        <v>46286</v>
      </c>
      <c r="D317" s="47" t="s">
        <v>66</v>
      </c>
      <c r="E317" s="47" t="s">
        <v>127</v>
      </c>
      <c r="F317" s="47" t="s">
        <v>134</v>
      </c>
    </row>
    <row r="318" customFormat="false" ht="15" hidden="false" customHeight="false" outlineLevel="0" collapsed="false">
      <c r="A318" s="55" t="n">
        <f aca="false">FALSE()</f>
        <v>0</v>
      </c>
      <c r="B318" s="56" t="s">
        <v>459</v>
      </c>
      <c r="C318" s="46" t="n">
        <f aca="false">'Get Started'!$C$4-270+4</f>
        <v>46286</v>
      </c>
      <c r="D318" s="45" t="s">
        <v>66</v>
      </c>
      <c r="E318" s="45" t="s">
        <v>127</v>
      </c>
      <c r="F318" s="45" t="s">
        <v>134</v>
      </c>
    </row>
    <row r="319" customFormat="false" ht="15" hidden="false" customHeight="false" outlineLevel="0" collapsed="false">
      <c r="A319" s="53" t="n">
        <f aca="false">FALSE()</f>
        <v>0</v>
      </c>
      <c r="B319" s="54" t="s">
        <v>460</v>
      </c>
      <c r="C319" s="48" t="n">
        <f aca="false">'Get Started'!$C$4-270+4</f>
        <v>46286</v>
      </c>
      <c r="D319" s="47" t="s">
        <v>66</v>
      </c>
      <c r="E319" s="47" t="s">
        <v>127</v>
      </c>
      <c r="F319" s="47" t="s">
        <v>134</v>
      </c>
    </row>
    <row r="320" customFormat="false" ht="15" hidden="false" customHeight="false" outlineLevel="0" collapsed="false">
      <c r="A320" s="55" t="n">
        <f aca="false">FALSE()</f>
        <v>0</v>
      </c>
      <c r="B320" s="56" t="s">
        <v>461</v>
      </c>
      <c r="C320" s="46" t="n">
        <f aca="false">'Get Started'!$C$4-270+4</f>
        <v>46286</v>
      </c>
      <c r="D320" s="45" t="s">
        <v>66</v>
      </c>
      <c r="E320" s="45" t="s">
        <v>127</v>
      </c>
      <c r="F320" s="45" t="s">
        <v>134</v>
      </c>
    </row>
    <row r="321" customFormat="false" ht="15" hidden="false" customHeight="false" outlineLevel="0" collapsed="false">
      <c r="A321" s="53" t="n">
        <f aca="false">FALSE()</f>
        <v>0</v>
      </c>
      <c r="B321" s="54" t="s">
        <v>462</v>
      </c>
      <c r="C321" s="48" t="n">
        <f aca="false">'Get Started'!$C$4-270+4</f>
        <v>46286</v>
      </c>
      <c r="D321" s="47" t="s">
        <v>66</v>
      </c>
      <c r="E321" s="47" t="s">
        <v>127</v>
      </c>
      <c r="F321" s="47" t="s">
        <v>134</v>
      </c>
    </row>
    <row r="322" customFormat="false" ht="15" hidden="false" customHeight="false" outlineLevel="0" collapsed="false">
      <c r="A322" s="55" t="n">
        <f aca="false">FALSE()</f>
        <v>0</v>
      </c>
      <c r="B322" s="56" t="s">
        <v>463</v>
      </c>
      <c r="C322" s="46" t="n">
        <f aca="false">'Get Started'!$C$4-270+4</f>
        <v>46286</v>
      </c>
      <c r="D322" s="45" t="s">
        <v>66</v>
      </c>
      <c r="E322" s="45" t="s">
        <v>127</v>
      </c>
      <c r="F322" s="45" t="s">
        <v>134</v>
      </c>
    </row>
    <row r="323" customFormat="false" ht="15" hidden="false" customHeight="false" outlineLevel="0" collapsed="false">
      <c r="A323" s="53" t="n">
        <f aca="false">FALSE()</f>
        <v>0</v>
      </c>
      <c r="B323" s="54" t="s">
        <v>464</v>
      </c>
      <c r="C323" s="48" t="n">
        <f aca="false">'Get Started'!$C$4-270+4</f>
        <v>46286</v>
      </c>
      <c r="D323" s="47" t="s">
        <v>66</v>
      </c>
      <c r="E323" s="47" t="s">
        <v>127</v>
      </c>
      <c r="F323" s="47" t="s">
        <v>134</v>
      </c>
    </row>
    <row r="324" customFormat="false" ht="15" hidden="false" customHeight="false" outlineLevel="0" collapsed="false">
      <c r="A324" s="55" t="n">
        <f aca="false">FALSE()</f>
        <v>0</v>
      </c>
      <c r="B324" s="56" t="s">
        <v>465</v>
      </c>
      <c r="C324" s="46" t="n">
        <f aca="false">'Get Started'!$C$4-270+5</f>
        <v>46287</v>
      </c>
      <c r="D324" s="45" t="s">
        <v>66</v>
      </c>
      <c r="E324" s="45" t="s">
        <v>127</v>
      </c>
      <c r="F324" s="45" t="s">
        <v>134</v>
      </c>
    </row>
    <row r="325" customFormat="false" ht="15" hidden="false" customHeight="false" outlineLevel="0" collapsed="false">
      <c r="A325" s="53" t="n">
        <f aca="false">FALSE()</f>
        <v>0</v>
      </c>
      <c r="B325" s="54" t="s">
        <v>466</v>
      </c>
      <c r="C325" s="48" t="n">
        <f aca="false">'Get Started'!$C$4-210+-5</f>
        <v>46337</v>
      </c>
      <c r="D325" s="47" t="s">
        <v>66</v>
      </c>
      <c r="E325" s="47" t="s">
        <v>127</v>
      </c>
      <c r="F325" s="47" t="s">
        <v>136</v>
      </c>
    </row>
    <row r="326" customFormat="false" ht="15" hidden="false" customHeight="false" outlineLevel="0" collapsed="false">
      <c r="A326" s="55" t="n">
        <f aca="false">FALSE()</f>
        <v>0</v>
      </c>
      <c r="B326" s="56" t="s">
        <v>467</v>
      </c>
      <c r="C326" s="46" t="n">
        <f aca="false">'Get Started'!$C$4-210+-5</f>
        <v>46337</v>
      </c>
      <c r="D326" s="45" t="s">
        <v>66</v>
      </c>
      <c r="E326" s="45" t="s">
        <v>127</v>
      </c>
      <c r="F326" s="45" t="s">
        <v>136</v>
      </c>
    </row>
    <row r="327" customFormat="false" ht="15" hidden="false" customHeight="false" outlineLevel="0" collapsed="false">
      <c r="A327" s="53" t="n">
        <f aca="false">FALSE()</f>
        <v>0</v>
      </c>
      <c r="B327" s="54" t="s">
        <v>468</v>
      </c>
      <c r="C327" s="48" t="n">
        <f aca="false">'Get Started'!$C$4-210+-5</f>
        <v>46337</v>
      </c>
      <c r="D327" s="47" t="s">
        <v>66</v>
      </c>
      <c r="E327" s="47" t="s">
        <v>127</v>
      </c>
      <c r="F327" s="47" t="s">
        <v>136</v>
      </c>
    </row>
    <row r="328" customFormat="false" ht="15" hidden="false" customHeight="false" outlineLevel="0" collapsed="false">
      <c r="A328" s="55" t="n">
        <f aca="false">FALSE()</f>
        <v>0</v>
      </c>
      <c r="B328" s="56" t="s">
        <v>469</v>
      </c>
      <c r="C328" s="46" t="n">
        <f aca="false">'Get Started'!$C$4-210+-5</f>
        <v>46337</v>
      </c>
      <c r="D328" s="45" t="s">
        <v>66</v>
      </c>
      <c r="E328" s="45" t="s">
        <v>127</v>
      </c>
      <c r="F328" s="45" t="s">
        <v>136</v>
      </c>
    </row>
    <row r="329" customFormat="false" ht="15" hidden="false" customHeight="false" outlineLevel="0" collapsed="false">
      <c r="A329" s="53" t="n">
        <f aca="false">FALSE()</f>
        <v>0</v>
      </c>
      <c r="B329" s="54" t="s">
        <v>470</v>
      </c>
      <c r="C329" s="48" t="n">
        <f aca="false">'Get Started'!$C$4-210+-5</f>
        <v>46337</v>
      </c>
      <c r="D329" s="47" t="s">
        <v>66</v>
      </c>
      <c r="E329" s="47" t="s">
        <v>127</v>
      </c>
      <c r="F329" s="47" t="s">
        <v>136</v>
      </c>
    </row>
    <row r="330" customFormat="false" ht="15" hidden="false" customHeight="false" outlineLevel="0" collapsed="false">
      <c r="A330" s="55" t="n">
        <f aca="false">FALSE()</f>
        <v>0</v>
      </c>
      <c r="B330" s="56" t="s">
        <v>471</v>
      </c>
      <c r="C330" s="46" t="n">
        <f aca="false">'Get Started'!$C$4-210+-5</f>
        <v>46337</v>
      </c>
      <c r="D330" s="45" t="s">
        <v>66</v>
      </c>
      <c r="E330" s="45" t="s">
        <v>127</v>
      </c>
      <c r="F330" s="45" t="s">
        <v>136</v>
      </c>
    </row>
    <row r="331" customFormat="false" ht="15" hidden="false" customHeight="false" outlineLevel="0" collapsed="false">
      <c r="A331" s="53" t="n">
        <f aca="false">FALSE()</f>
        <v>0</v>
      </c>
      <c r="B331" s="54" t="s">
        <v>472</v>
      </c>
      <c r="C331" s="48" t="n">
        <f aca="false">'Get Started'!$C$4-210+-5</f>
        <v>46337</v>
      </c>
      <c r="D331" s="47" t="s">
        <v>66</v>
      </c>
      <c r="E331" s="47" t="s">
        <v>127</v>
      </c>
      <c r="F331" s="47" t="s">
        <v>136</v>
      </c>
    </row>
    <row r="332" customFormat="false" ht="15" hidden="false" customHeight="false" outlineLevel="0" collapsed="false">
      <c r="A332" s="55" t="n">
        <f aca="false">FALSE()</f>
        <v>0</v>
      </c>
      <c r="B332" s="56" t="s">
        <v>473</v>
      </c>
      <c r="C332" s="46" t="n">
        <f aca="false">'Get Started'!$C$4-210+-5</f>
        <v>46337</v>
      </c>
      <c r="D332" s="45" t="s">
        <v>66</v>
      </c>
      <c r="E332" s="45" t="s">
        <v>127</v>
      </c>
      <c r="F332" s="45" t="s">
        <v>136</v>
      </c>
    </row>
    <row r="333" customFormat="false" ht="15" hidden="false" customHeight="false" outlineLevel="0" collapsed="false">
      <c r="A333" s="53" t="n">
        <f aca="false">FALSE()</f>
        <v>0</v>
      </c>
      <c r="B333" s="54" t="s">
        <v>474</v>
      </c>
      <c r="C333" s="48" t="n">
        <f aca="false">'Get Started'!$C$4-210+-5</f>
        <v>46337</v>
      </c>
      <c r="D333" s="47" t="s">
        <v>66</v>
      </c>
      <c r="E333" s="47" t="s">
        <v>127</v>
      </c>
      <c r="F333" s="47" t="s">
        <v>136</v>
      </c>
    </row>
    <row r="334" customFormat="false" ht="15" hidden="false" customHeight="false" outlineLevel="0" collapsed="false">
      <c r="A334" s="55" t="n">
        <f aca="false">FALSE()</f>
        <v>0</v>
      </c>
      <c r="B334" s="56" t="s">
        <v>475</v>
      </c>
      <c r="C334" s="46" t="n">
        <f aca="false">'Get Started'!$C$4-210+-5</f>
        <v>46337</v>
      </c>
      <c r="D334" s="45" t="s">
        <v>66</v>
      </c>
      <c r="E334" s="45" t="s">
        <v>127</v>
      </c>
      <c r="F334" s="45" t="s">
        <v>136</v>
      </c>
    </row>
    <row r="335" customFormat="false" ht="15" hidden="false" customHeight="false" outlineLevel="0" collapsed="false">
      <c r="A335" s="53" t="n">
        <f aca="false">FALSE()</f>
        <v>0</v>
      </c>
      <c r="B335" s="54" t="s">
        <v>476</v>
      </c>
      <c r="C335" s="48" t="n">
        <f aca="false">'Get Started'!$C$4-210+-4</f>
        <v>46338</v>
      </c>
      <c r="D335" s="47" t="s">
        <v>66</v>
      </c>
      <c r="E335" s="47" t="s">
        <v>127</v>
      </c>
      <c r="F335" s="47" t="s">
        <v>136</v>
      </c>
    </row>
    <row r="336" customFormat="false" ht="15" hidden="false" customHeight="false" outlineLevel="0" collapsed="false">
      <c r="A336" s="55" t="n">
        <f aca="false">FALSE()</f>
        <v>0</v>
      </c>
      <c r="B336" s="56" t="s">
        <v>477</v>
      </c>
      <c r="C336" s="46" t="n">
        <f aca="false">'Get Started'!$C$4-210+-4</f>
        <v>46338</v>
      </c>
      <c r="D336" s="45" t="s">
        <v>66</v>
      </c>
      <c r="E336" s="45" t="s">
        <v>127</v>
      </c>
      <c r="F336" s="45" t="s">
        <v>136</v>
      </c>
    </row>
    <row r="337" customFormat="false" ht="15" hidden="false" customHeight="false" outlineLevel="0" collapsed="false">
      <c r="A337" s="53" t="n">
        <f aca="false">FALSE()</f>
        <v>0</v>
      </c>
      <c r="B337" s="54" t="s">
        <v>478</v>
      </c>
      <c r="C337" s="48" t="n">
        <f aca="false">'Get Started'!$C$4-210+-4</f>
        <v>46338</v>
      </c>
      <c r="D337" s="47" t="s">
        <v>66</v>
      </c>
      <c r="E337" s="47" t="s">
        <v>127</v>
      </c>
      <c r="F337" s="47" t="s">
        <v>136</v>
      </c>
    </row>
    <row r="338" customFormat="false" ht="15" hidden="false" customHeight="false" outlineLevel="0" collapsed="false">
      <c r="A338" s="55" t="n">
        <f aca="false">FALSE()</f>
        <v>0</v>
      </c>
      <c r="B338" s="56" t="s">
        <v>479</v>
      </c>
      <c r="C338" s="46" t="n">
        <f aca="false">'Get Started'!$C$4-210+-4</f>
        <v>46338</v>
      </c>
      <c r="D338" s="45" t="s">
        <v>66</v>
      </c>
      <c r="E338" s="45" t="s">
        <v>127</v>
      </c>
      <c r="F338" s="45" t="s">
        <v>136</v>
      </c>
    </row>
    <row r="339" customFormat="false" ht="15" hidden="false" customHeight="false" outlineLevel="0" collapsed="false">
      <c r="A339" s="53" t="n">
        <f aca="false">FALSE()</f>
        <v>0</v>
      </c>
      <c r="B339" s="54" t="s">
        <v>480</v>
      </c>
      <c r="C339" s="48" t="n">
        <f aca="false">'Get Started'!$C$4-210+-4</f>
        <v>46338</v>
      </c>
      <c r="D339" s="47" t="s">
        <v>66</v>
      </c>
      <c r="E339" s="47" t="s">
        <v>127</v>
      </c>
      <c r="F339" s="47" t="s">
        <v>136</v>
      </c>
    </row>
    <row r="340" customFormat="false" ht="15" hidden="false" customHeight="false" outlineLevel="0" collapsed="false">
      <c r="A340" s="55" t="n">
        <f aca="false">FALSE()</f>
        <v>0</v>
      </c>
      <c r="B340" s="56" t="s">
        <v>481</v>
      </c>
      <c r="C340" s="46" t="n">
        <f aca="false">'Get Started'!$C$4-210+-4</f>
        <v>46338</v>
      </c>
      <c r="D340" s="45" t="s">
        <v>66</v>
      </c>
      <c r="E340" s="45" t="s">
        <v>127</v>
      </c>
      <c r="F340" s="45" t="s">
        <v>136</v>
      </c>
    </row>
    <row r="341" customFormat="false" ht="15" hidden="false" customHeight="false" outlineLevel="0" collapsed="false">
      <c r="A341" s="53" t="n">
        <f aca="false">FALSE()</f>
        <v>0</v>
      </c>
      <c r="B341" s="54" t="s">
        <v>482</v>
      </c>
      <c r="C341" s="48" t="n">
        <f aca="false">'Get Started'!$C$4-210+-4</f>
        <v>46338</v>
      </c>
      <c r="D341" s="47" t="s">
        <v>66</v>
      </c>
      <c r="E341" s="47" t="s">
        <v>127</v>
      </c>
      <c r="F341" s="47" t="s">
        <v>136</v>
      </c>
    </row>
    <row r="342" customFormat="false" ht="15" hidden="false" customHeight="false" outlineLevel="0" collapsed="false">
      <c r="A342" s="55" t="n">
        <f aca="false">FALSE()</f>
        <v>0</v>
      </c>
      <c r="B342" s="56" t="s">
        <v>483</v>
      </c>
      <c r="C342" s="46" t="n">
        <f aca="false">'Get Started'!$C$4-210+-4</f>
        <v>46338</v>
      </c>
      <c r="D342" s="45" t="s">
        <v>66</v>
      </c>
      <c r="E342" s="45" t="s">
        <v>127</v>
      </c>
      <c r="F342" s="45" t="s">
        <v>136</v>
      </c>
    </row>
    <row r="343" customFormat="false" ht="15" hidden="false" customHeight="false" outlineLevel="0" collapsed="false">
      <c r="A343" s="53" t="n">
        <f aca="false">FALSE()</f>
        <v>0</v>
      </c>
      <c r="B343" s="54" t="s">
        <v>484</v>
      </c>
      <c r="C343" s="48" t="n">
        <f aca="false">'Get Started'!$C$4-210+-4</f>
        <v>46338</v>
      </c>
      <c r="D343" s="47" t="s">
        <v>66</v>
      </c>
      <c r="E343" s="47" t="s">
        <v>127</v>
      </c>
      <c r="F343" s="47" t="s">
        <v>136</v>
      </c>
    </row>
    <row r="344" customFormat="false" ht="15" hidden="false" customHeight="false" outlineLevel="0" collapsed="false">
      <c r="A344" s="55" t="n">
        <f aca="false">FALSE()</f>
        <v>0</v>
      </c>
      <c r="B344" s="56" t="s">
        <v>485</v>
      </c>
      <c r="C344" s="46" t="n">
        <f aca="false">'Get Started'!$C$4-210+-4</f>
        <v>46338</v>
      </c>
      <c r="D344" s="45" t="s">
        <v>66</v>
      </c>
      <c r="E344" s="45" t="s">
        <v>127</v>
      </c>
      <c r="F344" s="45" t="s">
        <v>136</v>
      </c>
    </row>
    <row r="345" customFormat="false" ht="15" hidden="false" customHeight="false" outlineLevel="0" collapsed="false">
      <c r="A345" s="53" t="n">
        <f aca="false">FALSE()</f>
        <v>0</v>
      </c>
      <c r="B345" s="54" t="s">
        <v>486</v>
      </c>
      <c r="C345" s="48" t="n">
        <f aca="false">'Get Started'!$C$4-210+-3</f>
        <v>46339</v>
      </c>
      <c r="D345" s="47" t="s">
        <v>66</v>
      </c>
      <c r="E345" s="47" t="s">
        <v>127</v>
      </c>
      <c r="F345" s="47" t="s">
        <v>136</v>
      </c>
    </row>
    <row r="346" customFormat="false" ht="15" hidden="false" customHeight="false" outlineLevel="0" collapsed="false">
      <c r="A346" s="55" t="n">
        <f aca="false">FALSE()</f>
        <v>0</v>
      </c>
      <c r="B346" s="56" t="s">
        <v>487</v>
      </c>
      <c r="C346" s="46" t="n">
        <f aca="false">'Get Started'!$C$4-210+-3</f>
        <v>46339</v>
      </c>
      <c r="D346" s="45" t="s">
        <v>66</v>
      </c>
      <c r="E346" s="45" t="s">
        <v>127</v>
      </c>
      <c r="F346" s="45" t="s">
        <v>136</v>
      </c>
    </row>
    <row r="347" customFormat="false" ht="15" hidden="false" customHeight="false" outlineLevel="0" collapsed="false">
      <c r="A347" s="53" t="n">
        <f aca="false">FALSE()</f>
        <v>0</v>
      </c>
      <c r="B347" s="54" t="s">
        <v>488</v>
      </c>
      <c r="C347" s="48" t="n">
        <f aca="false">'Get Started'!$C$4-210+-3</f>
        <v>46339</v>
      </c>
      <c r="D347" s="47" t="s">
        <v>66</v>
      </c>
      <c r="E347" s="47" t="s">
        <v>127</v>
      </c>
      <c r="F347" s="47" t="s">
        <v>136</v>
      </c>
    </row>
    <row r="348" customFormat="false" ht="15" hidden="false" customHeight="false" outlineLevel="0" collapsed="false">
      <c r="A348" s="55" t="n">
        <f aca="false">FALSE()</f>
        <v>0</v>
      </c>
      <c r="B348" s="56" t="s">
        <v>489</v>
      </c>
      <c r="C348" s="46" t="n">
        <f aca="false">'Get Started'!$C$4-210+-3</f>
        <v>46339</v>
      </c>
      <c r="D348" s="45" t="s">
        <v>66</v>
      </c>
      <c r="E348" s="45" t="s">
        <v>127</v>
      </c>
      <c r="F348" s="45" t="s">
        <v>136</v>
      </c>
    </row>
    <row r="349" customFormat="false" ht="15" hidden="false" customHeight="false" outlineLevel="0" collapsed="false">
      <c r="A349" s="53" t="n">
        <f aca="false">FALSE()</f>
        <v>0</v>
      </c>
      <c r="B349" s="54" t="s">
        <v>490</v>
      </c>
      <c r="C349" s="48" t="n">
        <f aca="false">'Get Started'!$C$4-210+-3</f>
        <v>46339</v>
      </c>
      <c r="D349" s="47" t="s">
        <v>66</v>
      </c>
      <c r="E349" s="47" t="s">
        <v>127</v>
      </c>
      <c r="F349" s="47" t="s">
        <v>136</v>
      </c>
    </row>
    <row r="350" customFormat="false" ht="15" hidden="false" customHeight="false" outlineLevel="0" collapsed="false">
      <c r="A350" s="55" t="n">
        <f aca="false">FALSE()</f>
        <v>0</v>
      </c>
      <c r="B350" s="56" t="s">
        <v>491</v>
      </c>
      <c r="C350" s="46" t="n">
        <f aca="false">'Get Started'!$C$4-210+-3</f>
        <v>46339</v>
      </c>
      <c r="D350" s="45" t="s">
        <v>66</v>
      </c>
      <c r="E350" s="45" t="s">
        <v>127</v>
      </c>
      <c r="F350" s="45" t="s">
        <v>136</v>
      </c>
    </row>
    <row r="351" customFormat="false" ht="15" hidden="false" customHeight="false" outlineLevel="0" collapsed="false">
      <c r="A351" s="53" t="n">
        <f aca="false">FALSE()</f>
        <v>0</v>
      </c>
      <c r="B351" s="54" t="s">
        <v>492</v>
      </c>
      <c r="C351" s="48" t="n">
        <f aca="false">'Get Started'!$C$4-210+-3</f>
        <v>46339</v>
      </c>
      <c r="D351" s="47" t="s">
        <v>66</v>
      </c>
      <c r="E351" s="47" t="s">
        <v>127</v>
      </c>
      <c r="F351" s="47" t="s">
        <v>136</v>
      </c>
    </row>
    <row r="352" customFormat="false" ht="15" hidden="false" customHeight="false" outlineLevel="0" collapsed="false">
      <c r="A352" s="55" t="n">
        <f aca="false">FALSE()</f>
        <v>0</v>
      </c>
      <c r="B352" s="56" t="s">
        <v>493</v>
      </c>
      <c r="C352" s="46" t="n">
        <f aca="false">'Get Started'!$C$4-210+-3</f>
        <v>46339</v>
      </c>
      <c r="D352" s="45" t="s">
        <v>66</v>
      </c>
      <c r="E352" s="45" t="s">
        <v>127</v>
      </c>
      <c r="F352" s="45" t="s">
        <v>136</v>
      </c>
    </row>
    <row r="353" customFormat="false" ht="15" hidden="false" customHeight="false" outlineLevel="0" collapsed="false">
      <c r="A353" s="53" t="n">
        <f aca="false">FALSE()</f>
        <v>0</v>
      </c>
      <c r="B353" s="54" t="s">
        <v>494</v>
      </c>
      <c r="C353" s="48" t="n">
        <f aca="false">'Get Started'!$C$4-210+-3</f>
        <v>46339</v>
      </c>
      <c r="D353" s="47" t="s">
        <v>66</v>
      </c>
      <c r="E353" s="47" t="s">
        <v>127</v>
      </c>
      <c r="F353" s="47" t="s">
        <v>136</v>
      </c>
    </row>
    <row r="354" customFormat="false" ht="15" hidden="false" customHeight="false" outlineLevel="0" collapsed="false">
      <c r="A354" s="55" t="n">
        <f aca="false">FALSE()</f>
        <v>0</v>
      </c>
      <c r="B354" s="56" t="s">
        <v>495</v>
      </c>
      <c r="C354" s="46" t="n">
        <f aca="false">'Get Started'!$C$4-210+-2</f>
        <v>46340</v>
      </c>
      <c r="D354" s="45" t="s">
        <v>66</v>
      </c>
      <c r="E354" s="45" t="s">
        <v>127</v>
      </c>
      <c r="F354" s="45" t="s">
        <v>136</v>
      </c>
    </row>
    <row r="355" customFormat="false" ht="15" hidden="false" customHeight="false" outlineLevel="0" collapsed="false">
      <c r="A355" s="53" t="n">
        <f aca="false">FALSE()</f>
        <v>0</v>
      </c>
      <c r="B355" s="54" t="s">
        <v>496</v>
      </c>
      <c r="C355" s="48" t="n">
        <f aca="false">'Get Started'!$C$4-210+-2</f>
        <v>46340</v>
      </c>
      <c r="D355" s="47" t="s">
        <v>66</v>
      </c>
      <c r="E355" s="47" t="s">
        <v>127</v>
      </c>
      <c r="F355" s="47" t="s">
        <v>136</v>
      </c>
    </row>
    <row r="356" customFormat="false" ht="15" hidden="false" customHeight="false" outlineLevel="0" collapsed="false">
      <c r="A356" s="55" t="n">
        <f aca="false">FALSE()</f>
        <v>0</v>
      </c>
      <c r="B356" s="56" t="s">
        <v>497</v>
      </c>
      <c r="C356" s="46" t="n">
        <f aca="false">'Get Started'!$C$4-210+-2</f>
        <v>46340</v>
      </c>
      <c r="D356" s="45" t="s">
        <v>66</v>
      </c>
      <c r="E356" s="45" t="s">
        <v>127</v>
      </c>
      <c r="F356" s="45" t="s">
        <v>136</v>
      </c>
    </row>
    <row r="357" customFormat="false" ht="15" hidden="false" customHeight="false" outlineLevel="0" collapsed="false">
      <c r="A357" s="53" t="n">
        <f aca="false">FALSE()</f>
        <v>0</v>
      </c>
      <c r="B357" s="54" t="s">
        <v>498</v>
      </c>
      <c r="C357" s="48" t="n">
        <f aca="false">'Get Started'!$C$4-210+-2</f>
        <v>46340</v>
      </c>
      <c r="D357" s="47" t="s">
        <v>66</v>
      </c>
      <c r="E357" s="47" t="s">
        <v>127</v>
      </c>
      <c r="F357" s="47" t="s">
        <v>136</v>
      </c>
    </row>
    <row r="358" customFormat="false" ht="15" hidden="false" customHeight="false" outlineLevel="0" collapsed="false">
      <c r="A358" s="55" t="n">
        <f aca="false">FALSE()</f>
        <v>0</v>
      </c>
      <c r="B358" s="56" t="s">
        <v>499</v>
      </c>
      <c r="C358" s="46" t="n">
        <f aca="false">'Get Started'!$C$4-210+-2</f>
        <v>46340</v>
      </c>
      <c r="D358" s="45" t="s">
        <v>66</v>
      </c>
      <c r="E358" s="45" t="s">
        <v>127</v>
      </c>
      <c r="F358" s="45" t="s">
        <v>136</v>
      </c>
    </row>
    <row r="359" customFormat="false" ht="15" hidden="false" customHeight="false" outlineLevel="0" collapsed="false">
      <c r="A359" s="53" t="n">
        <f aca="false">FALSE()</f>
        <v>0</v>
      </c>
      <c r="B359" s="54" t="s">
        <v>500</v>
      </c>
      <c r="C359" s="48" t="n">
        <f aca="false">'Get Started'!$C$4-210+-2</f>
        <v>46340</v>
      </c>
      <c r="D359" s="47" t="s">
        <v>66</v>
      </c>
      <c r="E359" s="47" t="s">
        <v>127</v>
      </c>
      <c r="F359" s="47" t="s">
        <v>136</v>
      </c>
    </row>
    <row r="360" customFormat="false" ht="15" hidden="false" customHeight="false" outlineLevel="0" collapsed="false">
      <c r="A360" s="55" t="n">
        <f aca="false">FALSE()</f>
        <v>0</v>
      </c>
      <c r="B360" s="56" t="s">
        <v>501</v>
      </c>
      <c r="C360" s="46" t="n">
        <f aca="false">'Get Started'!$C$4-210+-2</f>
        <v>46340</v>
      </c>
      <c r="D360" s="45" t="s">
        <v>66</v>
      </c>
      <c r="E360" s="45" t="s">
        <v>127</v>
      </c>
      <c r="F360" s="45" t="s">
        <v>136</v>
      </c>
    </row>
    <row r="361" customFormat="false" ht="15" hidden="false" customHeight="false" outlineLevel="0" collapsed="false">
      <c r="A361" s="53" t="n">
        <f aca="false">FALSE()</f>
        <v>0</v>
      </c>
      <c r="B361" s="54" t="s">
        <v>502</v>
      </c>
      <c r="C361" s="48" t="n">
        <f aca="false">'Get Started'!$C$4-210+-2</f>
        <v>46340</v>
      </c>
      <c r="D361" s="47" t="s">
        <v>66</v>
      </c>
      <c r="E361" s="47" t="s">
        <v>127</v>
      </c>
      <c r="F361" s="47" t="s">
        <v>136</v>
      </c>
    </row>
    <row r="362" customFormat="false" ht="15" hidden="false" customHeight="false" outlineLevel="0" collapsed="false">
      <c r="A362" s="55" t="n">
        <f aca="false">FALSE()</f>
        <v>0</v>
      </c>
      <c r="B362" s="56" t="s">
        <v>503</v>
      </c>
      <c r="C362" s="46" t="n">
        <f aca="false">'Get Started'!$C$4-210+-2</f>
        <v>46340</v>
      </c>
      <c r="D362" s="45" t="s">
        <v>66</v>
      </c>
      <c r="E362" s="45" t="s">
        <v>127</v>
      </c>
      <c r="F362" s="45" t="s">
        <v>136</v>
      </c>
    </row>
    <row r="363" customFormat="false" ht="15" hidden="false" customHeight="false" outlineLevel="0" collapsed="false">
      <c r="A363" s="53" t="n">
        <f aca="false">FALSE()</f>
        <v>0</v>
      </c>
      <c r="B363" s="54" t="s">
        <v>504</v>
      </c>
      <c r="C363" s="48" t="n">
        <f aca="false">'Get Started'!$C$4-210+-2</f>
        <v>46340</v>
      </c>
      <c r="D363" s="47" t="s">
        <v>66</v>
      </c>
      <c r="E363" s="47" t="s">
        <v>127</v>
      </c>
      <c r="F363" s="47" t="s">
        <v>136</v>
      </c>
    </row>
    <row r="364" customFormat="false" ht="15" hidden="false" customHeight="false" outlineLevel="0" collapsed="false">
      <c r="A364" s="55" t="n">
        <f aca="false">FALSE()</f>
        <v>0</v>
      </c>
      <c r="B364" s="56" t="s">
        <v>505</v>
      </c>
      <c r="C364" s="46" t="n">
        <f aca="false">'Get Started'!$C$4-210+-1</f>
        <v>46341</v>
      </c>
      <c r="D364" s="45" t="s">
        <v>66</v>
      </c>
      <c r="E364" s="45" t="s">
        <v>127</v>
      </c>
      <c r="F364" s="45" t="s">
        <v>136</v>
      </c>
    </row>
    <row r="365" customFormat="false" ht="15" hidden="false" customHeight="false" outlineLevel="0" collapsed="false">
      <c r="A365" s="53" t="n">
        <f aca="false">FALSE()</f>
        <v>0</v>
      </c>
      <c r="B365" s="54" t="s">
        <v>506</v>
      </c>
      <c r="C365" s="48" t="n">
        <f aca="false">'Get Started'!$C$4-210+-1</f>
        <v>46341</v>
      </c>
      <c r="D365" s="47" t="s">
        <v>66</v>
      </c>
      <c r="E365" s="47" t="s">
        <v>127</v>
      </c>
      <c r="F365" s="47" t="s">
        <v>136</v>
      </c>
    </row>
    <row r="366" customFormat="false" ht="15" hidden="false" customHeight="false" outlineLevel="0" collapsed="false">
      <c r="A366" s="55" t="n">
        <f aca="false">FALSE()</f>
        <v>0</v>
      </c>
      <c r="B366" s="56" t="s">
        <v>507</v>
      </c>
      <c r="C366" s="46" t="n">
        <f aca="false">'Get Started'!$C$4-210+-1</f>
        <v>46341</v>
      </c>
      <c r="D366" s="45" t="s">
        <v>66</v>
      </c>
      <c r="E366" s="45" t="s">
        <v>127</v>
      </c>
      <c r="F366" s="45" t="s">
        <v>136</v>
      </c>
    </row>
    <row r="367" customFormat="false" ht="15" hidden="false" customHeight="false" outlineLevel="0" collapsed="false">
      <c r="A367" s="53" t="n">
        <f aca="false">FALSE()</f>
        <v>0</v>
      </c>
      <c r="B367" s="54" t="s">
        <v>508</v>
      </c>
      <c r="C367" s="48" t="n">
        <f aca="false">'Get Started'!$C$4-210+-1</f>
        <v>46341</v>
      </c>
      <c r="D367" s="47" t="s">
        <v>66</v>
      </c>
      <c r="E367" s="47" t="s">
        <v>127</v>
      </c>
      <c r="F367" s="47" t="s">
        <v>136</v>
      </c>
    </row>
    <row r="368" customFormat="false" ht="15" hidden="false" customHeight="false" outlineLevel="0" collapsed="false">
      <c r="A368" s="55" t="n">
        <f aca="false">FALSE()</f>
        <v>0</v>
      </c>
      <c r="B368" s="56" t="s">
        <v>509</v>
      </c>
      <c r="C368" s="46" t="n">
        <f aca="false">'Get Started'!$C$4-210+-1</f>
        <v>46341</v>
      </c>
      <c r="D368" s="45" t="s">
        <v>66</v>
      </c>
      <c r="E368" s="45" t="s">
        <v>127</v>
      </c>
      <c r="F368" s="45" t="s">
        <v>136</v>
      </c>
    </row>
    <row r="369" customFormat="false" ht="15" hidden="false" customHeight="false" outlineLevel="0" collapsed="false">
      <c r="A369" s="53" t="n">
        <f aca="false">FALSE()</f>
        <v>0</v>
      </c>
      <c r="B369" s="54" t="s">
        <v>510</v>
      </c>
      <c r="C369" s="48" t="n">
        <f aca="false">'Get Started'!$C$4-210+-1</f>
        <v>46341</v>
      </c>
      <c r="D369" s="47" t="s">
        <v>66</v>
      </c>
      <c r="E369" s="47" t="s">
        <v>127</v>
      </c>
      <c r="F369" s="47" t="s">
        <v>136</v>
      </c>
    </row>
    <row r="370" customFormat="false" ht="15" hidden="false" customHeight="false" outlineLevel="0" collapsed="false">
      <c r="A370" s="55" t="n">
        <f aca="false">FALSE()</f>
        <v>0</v>
      </c>
      <c r="B370" s="56" t="s">
        <v>511</v>
      </c>
      <c r="C370" s="46" t="n">
        <f aca="false">'Get Started'!$C$4-210+-1</f>
        <v>46341</v>
      </c>
      <c r="D370" s="45" t="s">
        <v>66</v>
      </c>
      <c r="E370" s="45" t="s">
        <v>127</v>
      </c>
      <c r="F370" s="45" t="s">
        <v>136</v>
      </c>
    </row>
    <row r="371" customFormat="false" ht="15" hidden="false" customHeight="false" outlineLevel="0" collapsed="false">
      <c r="A371" s="53" t="n">
        <f aca="false">FALSE()</f>
        <v>0</v>
      </c>
      <c r="B371" s="54" t="s">
        <v>512</v>
      </c>
      <c r="C371" s="48" t="n">
        <f aca="false">'Get Started'!$C$4-210+-1</f>
        <v>46341</v>
      </c>
      <c r="D371" s="47" t="s">
        <v>66</v>
      </c>
      <c r="E371" s="47" t="s">
        <v>127</v>
      </c>
      <c r="F371" s="47" t="s">
        <v>136</v>
      </c>
    </row>
    <row r="372" customFormat="false" ht="15" hidden="false" customHeight="false" outlineLevel="0" collapsed="false">
      <c r="A372" s="55" t="n">
        <f aca="false">FALSE()</f>
        <v>0</v>
      </c>
      <c r="B372" s="56" t="s">
        <v>513</v>
      </c>
      <c r="C372" s="46" t="n">
        <f aca="false">'Get Started'!$C$4-210+-1</f>
        <v>46341</v>
      </c>
      <c r="D372" s="45" t="s">
        <v>66</v>
      </c>
      <c r="E372" s="45" t="s">
        <v>127</v>
      </c>
      <c r="F372" s="45" t="s">
        <v>136</v>
      </c>
    </row>
    <row r="373" customFormat="false" ht="15" hidden="false" customHeight="false" outlineLevel="0" collapsed="false">
      <c r="A373" s="53" t="n">
        <f aca="false">FALSE()</f>
        <v>0</v>
      </c>
      <c r="B373" s="54" t="s">
        <v>514</v>
      </c>
      <c r="C373" s="48" t="n">
        <f aca="false">'Get Started'!$C$4-210+0</f>
        <v>46342</v>
      </c>
      <c r="D373" s="47" t="s">
        <v>66</v>
      </c>
      <c r="E373" s="47" t="s">
        <v>127</v>
      </c>
      <c r="F373" s="47" t="s">
        <v>136</v>
      </c>
    </row>
    <row r="374" customFormat="false" ht="15" hidden="false" customHeight="false" outlineLevel="0" collapsed="false">
      <c r="A374" s="55" t="n">
        <f aca="false">FALSE()</f>
        <v>0</v>
      </c>
      <c r="B374" s="56" t="s">
        <v>515</v>
      </c>
      <c r="C374" s="46" t="n">
        <f aca="false">'Get Started'!$C$4-210+0</f>
        <v>46342</v>
      </c>
      <c r="D374" s="45" t="s">
        <v>66</v>
      </c>
      <c r="E374" s="45" t="s">
        <v>127</v>
      </c>
      <c r="F374" s="45" t="s">
        <v>136</v>
      </c>
    </row>
    <row r="375" customFormat="false" ht="15" hidden="false" customHeight="false" outlineLevel="0" collapsed="false">
      <c r="A375" s="53" t="n">
        <f aca="false">FALSE()</f>
        <v>0</v>
      </c>
      <c r="B375" s="54" t="s">
        <v>516</v>
      </c>
      <c r="C375" s="48" t="n">
        <f aca="false">'Get Started'!$C$4-210+0</f>
        <v>46342</v>
      </c>
      <c r="D375" s="47" t="s">
        <v>66</v>
      </c>
      <c r="E375" s="47" t="s">
        <v>127</v>
      </c>
      <c r="F375" s="47" t="s">
        <v>136</v>
      </c>
    </row>
    <row r="376" customFormat="false" ht="15" hidden="false" customHeight="false" outlineLevel="0" collapsed="false">
      <c r="A376" s="55" t="n">
        <f aca="false">FALSE()</f>
        <v>0</v>
      </c>
      <c r="B376" s="56" t="s">
        <v>517</v>
      </c>
      <c r="C376" s="46" t="n">
        <f aca="false">'Get Started'!$C$4-210+0</f>
        <v>46342</v>
      </c>
      <c r="D376" s="45" t="s">
        <v>66</v>
      </c>
      <c r="E376" s="45" t="s">
        <v>127</v>
      </c>
      <c r="F376" s="45" t="s">
        <v>136</v>
      </c>
    </row>
    <row r="377" customFormat="false" ht="15" hidden="false" customHeight="false" outlineLevel="0" collapsed="false">
      <c r="A377" s="53" t="n">
        <f aca="false">FALSE()</f>
        <v>0</v>
      </c>
      <c r="B377" s="54" t="s">
        <v>518</v>
      </c>
      <c r="C377" s="48" t="n">
        <f aca="false">'Get Started'!$C$4-210+0</f>
        <v>46342</v>
      </c>
      <c r="D377" s="47" t="s">
        <v>66</v>
      </c>
      <c r="E377" s="47" t="s">
        <v>127</v>
      </c>
      <c r="F377" s="47" t="s">
        <v>136</v>
      </c>
    </row>
    <row r="378" customFormat="false" ht="15" hidden="false" customHeight="false" outlineLevel="0" collapsed="false">
      <c r="A378" s="55" t="n">
        <f aca="false">FALSE()</f>
        <v>0</v>
      </c>
      <c r="B378" s="56" t="s">
        <v>519</v>
      </c>
      <c r="C378" s="46" t="n">
        <f aca="false">'Get Started'!$C$4-210+0</f>
        <v>46342</v>
      </c>
      <c r="D378" s="45" t="s">
        <v>66</v>
      </c>
      <c r="E378" s="45" t="s">
        <v>127</v>
      </c>
      <c r="F378" s="45" t="s">
        <v>136</v>
      </c>
    </row>
    <row r="379" customFormat="false" ht="15" hidden="false" customHeight="false" outlineLevel="0" collapsed="false">
      <c r="A379" s="53" t="n">
        <f aca="false">FALSE()</f>
        <v>0</v>
      </c>
      <c r="B379" s="54" t="s">
        <v>520</v>
      </c>
      <c r="C379" s="48" t="n">
        <f aca="false">'Get Started'!$C$4-210+0</f>
        <v>46342</v>
      </c>
      <c r="D379" s="47" t="s">
        <v>66</v>
      </c>
      <c r="E379" s="47" t="s">
        <v>127</v>
      </c>
      <c r="F379" s="47" t="s">
        <v>136</v>
      </c>
    </row>
    <row r="380" customFormat="false" ht="15" hidden="false" customHeight="false" outlineLevel="0" collapsed="false">
      <c r="A380" s="55" t="n">
        <f aca="false">FALSE()</f>
        <v>0</v>
      </c>
      <c r="B380" s="56" t="s">
        <v>521</v>
      </c>
      <c r="C380" s="46" t="n">
        <f aca="false">'Get Started'!$C$4-210+0</f>
        <v>46342</v>
      </c>
      <c r="D380" s="45" t="s">
        <v>66</v>
      </c>
      <c r="E380" s="45" t="s">
        <v>127</v>
      </c>
      <c r="F380" s="45" t="s">
        <v>136</v>
      </c>
    </row>
    <row r="381" customFormat="false" ht="15" hidden="false" customHeight="false" outlineLevel="0" collapsed="false">
      <c r="A381" s="53" t="n">
        <f aca="false">FALSE()</f>
        <v>0</v>
      </c>
      <c r="B381" s="54" t="s">
        <v>522</v>
      </c>
      <c r="C381" s="48" t="n">
        <f aca="false">'Get Started'!$C$4-210+0</f>
        <v>46342</v>
      </c>
      <c r="D381" s="47" t="s">
        <v>66</v>
      </c>
      <c r="E381" s="47" t="s">
        <v>127</v>
      </c>
      <c r="F381" s="47" t="s">
        <v>136</v>
      </c>
    </row>
    <row r="382" customFormat="false" ht="15" hidden="false" customHeight="false" outlineLevel="0" collapsed="false">
      <c r="A382" s="55" t="n">
        <f aca="false">FALSE()</f>
        <v>0</v>
      </c>
      <c r="B382" s="56" t="s">
        <v>523</v>
      </c>
      <c r="C382" s="46" t="n">
        <f aca="false">'Get Started'!$C$4-210+0</f>
        <v>46342</v>
      </c>
      <c r="D382" s="45" t="s">
        <v>66</v>
      </c>
      <c r="E382" s="45" t="s">
        <v>127</v>
      </c>
      <c r="F382" s="45" t="s">
        <v>136</v>
      </c>
    </row>
    <row r="383" customFormat="false" ht="15" hidden="false" customHeight="false" outlineLevel="0" collapsed="false">
      <c r="A383" s="53" t="n">
        <f aca="false">FALSE()</f>
        <v>0</v>
      </c>
      <c r="B383" s="54" t="s">
        <v>524</v>
      </c>
      <c r="C383" s="48" t="n">
        <f aca="false">'Get Started'!$C$4-210+1</f>
        <v>46343</v>
      </c>
      <c r="D383" s="47" t="s">
        <v>66</v>
      </c>
      <c r="E383" s="47" t="s">
        <v>127</v>
      </c>
      <c r="F383" s="47" t="s">
        <v>136</v>
      </c>
    </row>
    <row r="384" customFormat="false" ht="15" hidden="false" customHeight="false" outlineLevel="0" collapsed="false">
      <c r="A384" s="55" t="n">
        <f aca="false">FALSE()</f>
        <v>0</v>
      </c>
      <c r="B384" s="56" t="s">
        <v>525</v>
      </c>
      <c r="C384" s="46" t="n">
        <f aca="false">'Get Started'!$C$4-210+1</f>
        <v>46343</v>
      </c>
      <c r="D384" s="45" t="s">
        <v>66</v>
      </c>
      <c r="E384" s="45" t="s">
        <v>127</v>
      </c>
      <c r="F384" s="45" t="s">
        <v>136</v>
      </c>
    </row>
    <row r="385" customFormat="false" ht="15" hidden="false" customHeight="false" outlineLevel="0" collapsed="false">
      <c r="A385" s="53" t="n">
        <f aca="false">FALSE()</f>
        <v>0</v>
      </c>
      <c r="B385" s="54" t="s">
        <v>526</v>
      </c>
      <c r="C385" s="48" t="n">
        <f aca="false">'Get Started'!$C$4-210+1</f>
        <v>46343</v>
      </c>
      <c r="D385" s="47" t="s">
        <v>66</v>
      </c>
      <c r="E385" s="47" t="s">
        <v>127</v>
      </c>
      <c r="F385" s="47" t="s">
        <v>136</v>
      </c>
    </row>
    <row r="386" customFormat="false" ht="15" hidden="false" customHeight="false" outlineLevel="0" collapsed="false">
      <c r="A386" s="55" t="n">
        <f aca="false">FALSE()</f>
        <v>0</v>
      </c>
      <c r="B386" s="56" t="s">
        <v>527</v>
      </c>
      <c r="C386" s="46" t="n">
        <f aca="false">'Get Started'!$C$4-210+1</f>
        <v>46343</v>
      </c>
      <c r="D386" s="45" t="s">
        <v>66</v>
      </c>
      <c r="E386" s="45" t="s">
        <v>127</v>
      </c>
      <c r="F386" s="45" t="s">
        <v>136</v>
      </c>
    </row>
    <row r="387" customFormat="false" ht="15" hidden="false" customHeight="false" outlineLevel="0" collapsed="false">
      <c r="A387" s="53" t="n">
        <f aca="false">FALSE()</f>
        <v>0</v>
      </c>
      <c r="B387" s="54" t="s">
        <v>528</v>
      </c>
      <c r="C387" s="48" t="n">
        <f aca="false">'Get Started'!$C$4-210+1</f>
        <v>46343</v>
      </c>
      <c r="D387" s="47" t="s">
        <v>66</v>
      </c>
      <c r="E387" s="47" t="s">
        <v>127</v>
      </c>
      <c r="F387" s="47" t="s">
        <v>136</v>
      </c>
    </row>
    <row r="388" customFormat="false" ht="15" hidden="false" customHeight="false" outlineLevel="0" collapsed="false">
      <c r="A388" s="55" t="n">
        <f aca="false">FALSE()</f>
        <v>0</v>
      </c>
      <c r="B388" s="56" t="s">
        <v>529</v>
      </c>
      <c r="C388" s="46" t="n">
        <f aca="false">'Get Started'!$C$4-210+1</f>
        <v>46343</v>
      </c>
      <c r="D388" s="45" t="s">
        <v>66</v>
      </c>
      <c r="E388" s="45" t="s">
        <v>127</v>
      </c>
      <c r="F388" s="45" t="s">
        <v>136</v>
      </c>
    </row>
    <row r="389" customFormat="false" ht="15" hidden="false" customHeight="false" outlineLevel="0" collapsed="false">
      <c r="A389" s="53" t="n">
        <f aca="false">FALSE()</f>
        <v>0</v>
      </c>
      <c r="B389" s="54" t="s">
        <v>530</v>
      </c>
      <c r="C389" s="48" t="n">
        <f aca="false">'Get Started'!$C$4-210+1</f>
        <v>46343</v>
      </c>
      <c r="D389" s="47" t="s">
        <v>66</v>
      </c>
      <c r="E389" s="47" t="s">
        <v>127</v>
      </c>
      <c r="F389" s="47" t="s">
        <v>136</v>
      </c>
    </row>
    <row r="390" customFormat="false" ht="15" hidden="false" customHeight="false" outlineLevel="0" collapsed="false">
      <c r="A390" s="55" t="n">
        <f aca="false">FALSE()</f>
        <v>0</v>
      </c>
      <c r="B390" s="56" t="s">
        <v>531</v>
      </c>
      <c r="C390" s="46" t="n">
        <f aca="false">'Get Started'!$C$4-210+1</f>
        <v>46343</v>
      </c>
      <c r="D390" s="45" t="s">
        <v>66</v>
      </c>
      <c r="E390" s="45" t="s">
        <v>127</v>
      </c>
      <c r="F390" s="45" t="s">
        <v>136</v>
      </c>
    </row>
    <row r="391" customFormat="false" ht="15" hidden="false" customHeight="false" outlineLevel="0" collapsed="false">
      <c r="A391" s="53" t="n">
        <f aca="false">FALSE()</f>
        <v>0</v>
      </c>
      <c r="B391" s="54" t="s">
        <v>532</v>
      </c>
      <c r="C391" s="48" t="n">
        <f aca="false">'Get Started'!$C$4-210+1</f>
        <v>46343</v>
      </c>
      <c r="D391" s="47" t="s">
        <v>66</v>
      </c>
      <c r="E391" s="47" t="s">
        <v>127</v>
      </c>
      <c r="F391" s="47" t="s">
        <v>136</v>
      </c>
    </row>
    <row r="392" customFormat="false" ht="15" hidden="false" customHeight="false" outlineLevel="0" collapsed="false">
      <c r="A392" s="55" t="n">
        <f aca="false">FALSE()</f>
        <v>0</v>
      </c>
      <c r="B392" s="56" t="s">
        <v>533</v>
      </c>
      <c r="C392" s="46" t="n">
        <f aca="false">'Get Started'!$C$4-210+1</f>
        <v>46343</v>
      </c>
      <c r="D392" s="45" t="s">
        <v>66</v>
      </c>
      <c r="E392" s="45" t="s">
        <v>127</v>
      </c>
      <c r="F392" s="45" t="s">
        <v>136</v>
      </c>
    </row>
    <row r="393" customFormat="false" ht="15" hidden="false" customHeight="false" outlineLevel="0" collapsed="false">
      <c r="A393" s="53" t="n">
        <f aca="false">FALSE()</f>
        <v>0</v>
      </c>
      <c r="B393" s="54" t="s">
        <v>534</v>
      </c>
      <c r="C393" s="48" t="n">
        <f aca="false">'Get Started'!$C$4-210+2</f>
        <v>46344</v>
      </c>
      <c r="D393" s="47" t="s">
        <v>66</v>
      </c>
      <c r="E393" s="47" t="s">
        <v>127</v>
      </c>
      <c r="F393" s="47" t="s">
        <v>136</v>
      </c>
    </row>
    <row r="394" customFormat="false" ht="15" hidden="false" customHeight="false" outlineLevel="0" collapsed="false">
      <c r="A394" s="55" t="n">
        <f aca="false">FALSE()</f>
        <v>0</v>
      </c>
      <c r="B394" s="56" t="s">
        <v>535</v>
      </c>
      <c r="C394" s="46" t="n">
        <f aca="false">'Get Started'!$C$4-210+2</f>
        <v>46344</v>
      </c>
      <c r="D394" s="45" t="s">
        <v>66</v>
      </c>
      <c r="E394" s="45" t="s">
        <v>127</v>
      </c>
      <c r="F394" s="45" t="s">
        <v>136</v>
      </c>
    </row>
    <row r="395" customFormat="false" ht="15" hidden="false" customHeight="false" outlineLevel="0" collapsed="false">
      <c r="A395" s="53" t="n">
        <f aca="false">FALSE()</f>
        <v>0</v>
      </c>
      <c r="B395" s="54" t="s">
        <v>536</v>
      </c>
      <c r="C395" s="48" t="n">
        <f aca="false">'Get Started'!$C$4-210+2</f>
        <v>46344</v>
      </c>
      <c r="D395" s="47" t="s">
        <v>66</v>
      </c>
      <c r="E395" s="47" t="s">
        <v>127</v>
      </c>
      <c r="F395" s="47" t="s">
        <v>136</v>
      </c>
    </row>
    <row r="396" customFormat="false" ht="15" hidden="false" customHeight="false" outlineLevel="0" collapsed="false">
      <c r="A396" s="55" t="n">
        <f aca="false">FALSE()</f>
        <v>0</v>
      </c>
      <c r="B396" s="56" t="s">
        <v>537</v>
      </c>
      <c r="C396" s="46" t="n">
        <f aca="false">'Get Started'!$C$4-210+2</f>
        <v>46344</v>
      </c>
      <c r="D396" s="45" t="s">
        <v>66</v>
      </c>
      <c r="E396" s="45" t="s">
        <v>127</v>
      </c>
      <c r="F396" s="45" t="s">
        <v>136</v>
      </c>
    </row>
    <row r="397" customFormat="false" ht="15" hidden="false" customHeight="false" outlineLevel="0" collapsed="false">
      <c r="A397" s="53" t="n">
        <f aca="false">FALSE()</f>
        <v>0</v>
      </c>
      <c r="B397" s="54" t="s">
        <v>538</v>
      </c>
      <c r="C397" s="48" t="n">
        <f aca="false">'Get Started'!$C$4-210+2</f>
        <v>46344</v>
      </c>
      <c r="D397" s="47" t="s">
        <v>66</v>
      </c>
      <c r="E397" s="47" t="s">
        <v>127</v>
      </c>
      <c r="F397" s="47" t="s">
        <v>136</v>
      </c>
    </row>
    <row r="398" customFormat="false" ht="15" hidden="false" customHeight="false" outlineLevel="0" collapsed="false">
      <c r="A398" s="55" t="n">
        <f aca="false">FALSE()</f>
        <v>0</v>
      </c>
      <c r="B398" s="56" t="s">
        <v>539</v>
      </c>
      <c r="C398" s="46" t="n">
        <f aca="false">'Get Started'!$C$4-210+2</f>
        <v>46344</v>
      </c>
      <c r="D398" s="45" t="s">
        <v>66</v>
      </c>
      <c r="E398" s="45" t="s">
        <v>127</v>
      </c>
      <c r="F398" s="45" t="s">
        <v>136</v>
      </c>
    </row>
    <row r="399" customFormat="false" ht="15" hidden="false" customHeight="false" outlineLevel="0" collapsed="false">
      <c r="A399" s="53" t="n">
        <f aca="false">FALSE()</f>
        <v>0</v>
      </c>
      <c r="B399" s="54" t="s">
        <v>540</v>
      </c>
      <c r="C399" s="48" t="n">
        <f aca="false">'Get Started'!$C$4-210+2</f>
        <v>46344</v>
      </c>
      <c r="D399" s="47" t="s">
        <v>66</v>
      </c>
      <c r="E399" s="47" t="s">
        <v>127</v>
      </c>
      <c r="F399" s="47" t="s">
        <v>136</v>
      </c>
    </row>
    <row r="400" customFormat="false" ht="15" hidden="false" customHeight="false" outlineLevel="0" collapsed="false">
      <c r="A400" s="55" t="n">
        <f aca="false">FALSE()</f>
        <v>0</v>
      </c>
      <c r="B400" s="56" t="s">
        <v>541</v>
      </c>
      <c r="C400" s="46" t="n">
        <f aca="false">'Get Started'!$C$4-210+2</f>
        <v>46344</v>
      </c>
      <c r="D400" s="45" t="s">
        <v>66</v>
      </c>
      <c r="E400" s="45" t="s">
        <v>127</v>
      </c>
      <c r="F400" s="45" t="s">
        <v>136</v>
      </c>
    </row>
    <row r="401" customFormat="false" ht="15" hidden="false" customHeight="false" outlineLevel="0" collapsed="false">
      <c r="A401" s="53" t="n">
        <f aca="false">FALSE()</f>
        <v>0</v>
      </c>
      <c r="B401" s="54" t="s">
        <v>542</v>
      </c>
      <c r="C401" s="48" t="n">
        <f aca="false">'Get Started'!$C$4-210+2</f>
        <v>46344</v>
      </c>
      <c r="D401" s="47" t="s">
        <v>66</v>
      </c>
      <c r="E401" s="47" t="s">
        <v>127</v>
      </c>
      <c r="F401" s="47" t="s">
        <v>136</v>
      </c>
    </row>
    <row r="402" customFormat="false" ht="15" hidden="false" customHeight="false" outlineLevel="0" collapsed="false">
      <c r="A402" s="55" t="n">
        <f aca="false">FALSE()</f>
        <v>0</v>
      </c>
      <c r="B402" s="56" t="s">
        <v>543</v>
      </c>
      <c r="C402" s="46" t="n">
        <f aca="false">'Get Started'!$C$4-210+3</f>
        <v>46345</v>
      </c>
      <c r="D402" s="45" t="s">
        <v>66</v>
      </c>
      <c r="E402" s="45" t="s">
        <v>127</v>
      </c>
      <c r="F402" s="45" t="s">
        <v>136</v>
      </c>
    </row>
    <row r="403" customFormat="false" ht="15" hidden="false" customHeight="false" outlineLevel="0" collapsed="false">
      <c r="A403" s="53" t="n">
        <f aca="false">FALSE()</f>
        <v>0</v>
      </c>
      <c r="B403" s="54" t="s">
        <v>544</v>
      </c>
      <c r="C403" s="48" t="n">
        <f aca="false">'Get Started'!$C$4-210+3</f>
        <v>46345</v>
      </c>
      <c r="D403" s="47" t="s">
        <v>66</v>
      </c>
      <c r="E403" s="47" t="s">
        <v>127</v>
      </c>
      <c r="F403" s="47" t="s">
        <v>136</v>
      </c>
    </row>
    <row r="404" customFormat="false" ht="15" hidden="false" customHeight="false" outlineLevel="0" collapsed="false">
      <c r="A404" s="55" t="n">
        <f aca="false">FALSE()</f>
        <v>0</v>
      </c>
      <c r="B404" s="56" t="s">
        <v>545</v>
      </c>
      <c r="C404" s="46" t="n">
        <f aca="false">'Get Started'!$C$4-210+3</f>
        <v>46345</v>
      </c>
      <c r="D404" s="45" t="s">
        <v>66</v>
      </c>
      <c r="E404" s="45" t="s">
        <v>127</v>
      </c>
      <c r="F404" s="45" t="s">
        <v>136</v>
      </c>
    </row>
    <row r="405" customFormat="false" ht="15" hidden="false" customHeight="false" outlineLevel="0" collapsed="false">
      <c r="A405" s="53" t="n">
        <f aca="false">FALSE()</f>
        <v>0</v>
      </c>
      <c r="B405" s="54" t="s">
        <v>546</v>
      </c>
      <c r="C405" s="48" t="n">
        <f aca="false">'Get Started'!$C$4-210+3</f>
        <v>46345</v>
      </c>
      <c r="D405" s="47" t="s">
        <v>66</v>
      </c>
      <c r="E405" s="47" t="s">
        <v>127</v>
      </c>
      <c r="F405" s="47" t="s">
        <v>136</v>
      </c>
    </row>
    <row r="406" customFormat="false" ht="15" hidden="false" customHeight="false" outlineLevel="0" collapsed="false">
      <c r="A406" s="55" t="n">
        <f aca="false">FALSE()</f>
        <v>0</v>
      </c>
      <c r="B406" s="56" t="s">
        <v>547</v>
      </c>
      <c r="C406" s="46" t="n">
        <f aca="false">'Get Started'!$C$4-210+3</f>
        <v>46345</v>
      </c>
      <c r="D406" s="45" t="s">
        <v>66</v>
      </c>
      <c r="E406" s="45" t="s">
        <v>127</v>
      </c>
      <c r="F406" s="45" t="s">
        <v>136</v>
      </c>
    </row>
    <row r="407" customFormat="false" ht="15" hidden="false" customHeight="false" outlineLevel="0" collapsed="false">
      <c r="A407" s="53" t="n">
        <f aca="false">FALSE()</f>
        <v>0</v>
      </c>
      <c r="B407" s="54" t="s">
        <v>548</v>
      </c>
      <c r="C407" s="48" t="n">
        <f aca="false">'Get Started'!$C$4-210+3</f>
        <v>46345</v>
      </c>
      <c r="D407" s="47" t="s">
        <v>66</v>
      </c>
      <c r="E407" s="47" t="s">
        <v>127</v>
      </c>
      <c r="F407" s="47" t="s">
        <v>136</v>
      </c>
    </row>
    <row r="408" customFormat="false" ht="15" hidden="false" customHeight="false" outlineLevel="0" collapsed="false">
      <c r="A408" s="55" t="n">
        <f aca="false">FALSE()</f>
        <v>0</v>
      </c>
      <c r="B408" s="56" t="s">
        <v>549</v>
      </c>
      <c r="C408" s="46" t="n">
        <f aca="false">'Get Started'!$C$4-210+3</f>
        <v>46345</v>
      </c>
      <c r="D408" s="45" t="s">
        <v>66</v>
      </c>
      <c r="E408" s="45" t="s">
        <v>127</v>
      </c>
      <c r="F408" s="45" t="s">
        <v>136</v>
      </c>
    </row>
    <row r="409" customFormat="false" ht="15" hidden="false" customHeight="false" outlineLevel="0" collapsed="false">
      <c r="A409" s="53" t="n">
        <f aca="false">FALSE()</f>
        <v>0</v>
      </c>
      <c r="B409" s="54" t="s">
        <v>550</v>
      </c>
      <c r="C409" s="48" t="n">
        <f aca="false">'Get Started'!$C$4-210+3</f>
        <v>46345</v>
      </c>
      <c r="D409" s="47" t="s">
        <v>66</v>
      </c>
      <c r="E409" s="47" t="s">
        <v>127</v>
      </c>
      <c r="F409" s="47" t="s">
        <v>136</v>
      </c>
    </row>
    <row r="410" customFormat="false" ht="15" hidden="false" customHeight="false" outlineLevel="0" collapsed="false">
      <c r="A410" s="55" t="n">
        <f aca="false">FALSE()</f>
        <v>0</v>
      </c>
      <c r="B410" s="56" t="s">
        <v>551</v>
      </c>
      <c r="C410" s="46" t="n">
        <f aca="false">'Get Started'!$C$4-210+3</f>
        <v>46345</v>
      </c>
      <c r="D410" s="45" t="s">
        <v>66</v>
      </c>
      <c r="E410" s="45" t="s">
        <v>127</v>
      </c>
      <c r="F410" s="45" t="s">
        <v>136</v>
      </c>
    </row>
    <row r="411" customFormat="false" ht="15" hidden="false" customHeight="false" outlineLevel="0" collapsed="false">
      <c r="A411" s="53" t="n">
        <f aca="false">FALSE()</f>
        <v>0</v>
      </c>
      <c r="B411" s="54" t="s">
        <v>552</v>
      </c>
      <c r="C411" s="48" t="n">
        <f aca="false">'Get Started'!$C$4-210+3</f>
        <v>46345</v>
      </c>
      <c r="D411" s="47" t="s">
        <v>66</v>
      </c>
      <c r="E411" s="47" t="s">
        <v>127</v>
      </c>
      <c r="F411" s="47" t="s">
        <v>136</v>
      </c>
    </row>
    <row r="412" customFormat="false" ht="15" hidden="false" customHeight="false" outlineLevel="0" collapsed="false">
      <c r="A412" s="55" t="n">
        <f aca="false">FALSE()</f>
        <v>0</v>
      </c>
      <c r="B412" s="56" t="s">
        <v>553</v>
      </c>
      <c r="C412" s="46" t="n">
        <f aca="false">'Get Started'!$C$4-210+4</f>
        <v>46346</v>
      </c>
      <c r="D412" s="45" t="s">
        <v>66</v>
      </c>
      <c r="E412" s="45" t="s">
        <v>127</v>
      </c>
      <c r="F412" s="45" t="s">
        <v>136</v>
      </c>
    </row>
    <row r="413" customFormat="false" ht="15" hidden="false" customHeight="false" outlineLevel="0" collapsed="false">
      <c r="A413" s="53" t="n">
        <f aca="false">FALSE()</f>
        <v>0</v>
      </c>
      <c r="B413" s="54" t="s">
        <v>554</v>
      </c>
      <c r="C413" s="48" t="n">
        <f aca="false">'Get Started'!$C$4-210+4</f>
        <v>46346</v>
      </c>
      <c r="D413" s="47" t="s">
        <v>66</v>
      </c>
      <c r="E413" s="47" t="s">
        <v>127</v>
      </c>
      <c r="F413" s="47" t="s">
        <v>136</v>
      </c>
    </row>
    <row r="414" customFormat="false" ht="15" hidden="false" customHeight="false" outlineLevel="0" collapsed="false">
      <c r="A414" s="55" t="n">
        <f aca="false">FALSE()</f>
        <v>0</v>
      </c>
      <c r="B414" s="56" t="s">
        <v>555</v>
      </c>
      <c r="C414" s="46" t="n">
        <f aca="false">'Get Started'!$C$4-210+4</f>
        <v>46346</v>
      </c>
      <c r="D414" s="45" t="s">
        <v>66</v>
      </c>
      <c r="E414" s="45" t="s">
        <v>127</v>
      </c>
      <c r="F414" s="45" t="s">
        <v>136</v>
      </c>
    </row>
    <row r="415" customFormat="false" ht="15" hidden="false" customHeight="false" outlineLevel="0" collapsed="false">
      <c r="A415" s="53" t="n">
        <f aca="false">FALSE()</f>
        <v>0</v>
      </c>
      <c r="B415" s="54" t="s">
        <v>556</v>
      </c>
      <c r="C415" s="48" t="n">
        <f aca="false">'Get Started'!$C$4-210+4</f>
        <v>46346</v>
      </c>
      <c r="D415" s="47" t="s">
        <v>66</v>
      </c>
      <c r="E415" s="47" t="s">
        <v>127</v>
      </c>
      <c r="F415" s="47" t="s">
        <v>136</v>
      </c>
    </row>
    <row r="416" customFormat="false" ht="15" hidden="false" customHeight="false" outlineLevel="0" collapsed="false">
      <c r="A416" s="55" t="n">
        <f aca="false">FALSE()</f>
        <v>0</v>
      </c>
      <c r="B416" s="56" t="s">
        <v>557</v>
      </c>
      <c r="C416" s="46" t="n">
        <f aca="false">'Get Started'!$C$4-210+4</f>
        <v>46346</v>
      </c>
      <c r="D416" s="45" t="s">
        <v>66</v>
      </c>
      <c r="E416" s="45" t="s">
        <v>127</v>
      </c>
      <c r="F416" s="45" t="s">
        <v>136</v>
      </c>
    </row>
    <row r="417" customFormat="false" ht="15" hidden="false" customHeight="false" outlineLevel="0" collapsed="false">
      <c r="A417" s="53" t="n">
        <f aca="false">FALSE()</f>
        <v>0</v>
      </c>
      <c r="B417" s="54" t="s">
        <v>558</v>
      </c>
      <c r="C417" s="48" t="n">
        <f aca="false">'Get Started'!$C$4-210+4</f>
        <v>46346</v>
      </c>
      <c r="D417" s="47" t="s">
        <v>66</v>
      </c>
      <c r="E417" s="47" t="s">
        <v>127</v>
      </c>
      <c r="F417" s="47" t="s">
        <v>136</v>
      </c>
    </row>
    <row r="418" customFormat="false" ht="15" hidden="false" customHeight="false" outlineLevel="0" collapsed="false">
      <c r="A418" s="55" t="n">
        <f aca="false">FALSE()</f>
        <v>0</v>
      </c>
      <c r="B418" s="56" t="s">
        <v>559</v>
      </c>
      <c r="C418" s="46" t="n">
        <f aca="false">'Get Started'!$C$4-210+4</f>
        <v>46346</v>
      </c>
      <c r="D418" s="45" t="s">
        <v>66</v>
      </c>
      <c r="E418" s="45" t="s">
        <v>127</v>
      </c>
      <c r="F418" s="45" t="s">
        <v>136</v>
      </c>
    </row>
    <row r="419" customFormat="false" ht="15" hidden="false" customHeight="false" outlineLevel="0" collapsed="false">
      <c r="A419" s="53" t="n">
        <f aca="false">FALSE()</f>
        <v>0</v>
      </c>
      <c r="B419" s="54" t="s">
        <v>560</v>
      </c>
      <c r="C419" s="48" t="n">
        <f aca="false">'Get Started'!$C$4-210+4</f>
        <v>46346</v>
      </c>
      <c r="D419" s="47" t="s">
        <v>66</v>
      </c>
      <c r="E419" s="47" t="s">
        <v>127</v>
      </c>
      <c r="F419" s="47" t="s">
        <v>136</v>
      </c>
    </row>
    <row r="420" customFormat="false" ht="15" hidden="false" customHeight="false" outlineLevel="0" collapsed="false">
      <c r="A420" s="55" t="n">
        <f aca="false">FALSE()</f>
        <v>0</v>
      </c>
      <c r="B420" s="56" t="s">
        <v>561</v>
      </c>
      <c r="C420" s="46" t="n">
        <f aca="false">'Get Started'!$C$4-210+4</f>
        <v>46346</v>
      </c>
      <c r="D420" s="45" t="s">
        <v>66</v>
      </c>
      <c r="E420" s="45" t="s">
        <v>127</v>
      </c>
      <c r="F420" s="45" t="s">
        <v>136</v>
      </c>
    </row>
    <row r="421" customFormat="false" ht="15" hidden="false" customHeight="false" outlineLevel="0" collapsed="false">
      <c r="A421" s="53" t="n">
        <f aca="false">FALSE()</f>
        <v>0</v>
      </c>
      <c r="B421" s="54" t="s">
        <v>562</v>
      </c>
      <c r="C421" s="48" t="n">
        <f aca="false">'Get Started'!$C$4-210+5</f>
        <v>46347</v>
      </c>
      <c r="D421" s="47" t="s">
        <v>66</v>
      </c>
      <c r="E421" s="47" t="s">
        <v>127</v>
      </c>
      <c r="F421" s="47" t="s">
        <v>136</v>
      </c>
    </row>
    <row r="422" customFormat="false" ht="15" hidden="false" customHeight="false" outlineLevel="0" collapsed="false">
      <c r="A422" s="55" t="n">
        <f aca="false">FALSE()</f>
        <v>0</v>
      </c>
      <c r="B422" s="56" t="s">
        <v>563</v>
      </c>
      <c r="C422" s="46" t="n">
        <f aca="false">'Get Started'!$C$4-150+-5</f>
        <v>46397</v>
      </c>
      <c r="D422" s="45" t="s">
        <v>66</v>
      </c>
      <c r="E422" s="45" t="s">
        <v>127</v>
      </c>
      <c r="F422" s="45" t="s">
        <v>138</v>
      </c>
    </row>
    <row r="423" customFormat="false" ht="15" hidden="false" customHeight="false" outlineLevel="0" collapsed="false">
      <c r="A423" s="53" t="n">
        <f aca="false">FALSE()</f>
        <v>0</v>
      </c>
      <c r="B423" s="54" t="s">
        <v>564</v>
      </c>
      <c r="C423" s="48" t="n">
        <f aca="false">'Get Started'!$C$4-150+-5</f>
        <v>46397</v>
      </c>
      <c r="D423" s="47" t="s">
        <v>66</v>
      </c>
      <c r="E423" s="47" t="s">
        <v>127</v>
      </c>
      <c r="F423" s="47" t="s">
        <v>138</v>
      </c>
    </row>
    <row r="424" customFormat="false" ht="15" hidden="false" customHeight="false" outlineLevel="0" collapsed="false">
      <c r="A424" s="55" t="n">
        <f aca="false">FALSE()</f>
        <v>0</v>
      </c>
      <c r="B424" s="56" t="s">
        <v>565</v>
      </c>
      <c r="C424" s="46" t="n">
        <f aca="false">'Get Started'!$C$4-150+-5</f>
        <v>46397</v>
      </c>
      <c r="D424" s="45" t="s">
        <v>66</v>
      </c>
      <c r="E424" s="45" t="s">
        <v>127</v>
      </c>
      <c r="F424" s="45" t="s">
        <v>138</v>
      </c>
    </row>
    <row r="425" customFormat="false" ht="15" hidden="false" customHeight="false" outlineLevel="0" collapsed="false">
      <c r="A425" s="53" t="n">
        <f aca="false">FALSE()</f>
        <v>0</v>
      </c>
      <c r="B425" s="54" t="s">
        <v>566</v>
      </c>
      <c r="C425" s="48" t="n">
        <f aca="false">'Get Started'!$C$4-150+-5</f>
        <v>46397</v>
      </c>
      <c r="D425" s="47" t="s">
        <v>66</v>
      </c>
      <c r="E425" s="47" t="s">
        <v>127</v>
      </c>
      <c r="F425" s="47" t="s">
        <v>138</v>
      </c>
    </row>
    <row r="426" customFormat="false" ht="15" hidden="false" customHeight="false" outlineLevel="0" collapsed="false">
      <c r="A426" s="55" t="n">
        <f aca="false">FALSE()</f>
        <v>0</v>
      </c>
      <c r="B426" s="56" t="s">
        <v>567</v>
      </c>
      <c r="C426" s="46" t="n">
        <f aca="false">'Get Started'!$C$4-150+-5</f>
        <v>46397</v>
      </c>
      <c r="D426" s="45" t="s">
        <v>66</v>
      </c>
      <c r="E426" s="45" t="s">
        <v>127</v>
      </c>
      <c r="F426" s="45" t="s">
        <v>138</v>
      </c>
    </row>
    <row r="427" customFormat="false" ht="15" hidden="false" customHeight="false" outlineLevel="0" collapsed="false">
      <c r="A427" s="53" t="n">
        <f aca="false">FALSE()</f>
        <v>0</v>
      </c>
      <c r="B427" s="54" t="s">
        <v>568</v>
      </c>
      <c r="C427" s="48" t="n">
        <f aca="false">'Get Started'!$C$4-150+-5</f>
        <v>46397</v>
      </c>
      <c r="D427" s="47" t="s">
        <v>66</v>
      </c>
      <c r="E427" s="47" t="s">
        <v>127</v>
      </c>
      <c r="F427" s="47" t="s">
        <v>138</v>
      </c>
    </row>
    <row r="428" customFormat="false" ht="15" hidden="false" customHeight="false" outlineLevel="0" collapsed="false">
      <c r="A428" s="55" t="n">
        <f aca="false">FALSE()</f>
        <v>0</v>
      </c>
      <c r="B428" s="56" t="s">
        <v>569</v>
      </c>
      <c r="C428" s="46" t="n">
        <f aca="false">'Get Started'!$C$4-150+-5</f>
        <v>46397</v>
      </c>
      <c r="D428" s="45" t="s">
        <v>66</v>
      </c>
      <c r="E428" s="45" t="s">
        <v>127</v>
      </c>
      <c r="F428" s="45" t="s">
        <v>138</v>
      </c>
    </row>
    <row r="429" customFormat="false" ht="15" hidden="false" customHeight="false" outlineLevel="0" collapsed="false">
      <c r="A429" s="53" t="n">
        <f aca="false">FALSE()</f>
        <v>0</v>
      </c>
      <c r="B429" s="54" t="s">
        <v>570</v>
      </c>
      <c r="C429" s="48" t="n">
        <f aca="false">'Get Started'!$C$4-150+-5</f>
        <v>46397</v>
      </c>
      <c r="D429" s="47" t="s">
        <v>66</v>
      </c>
      <c r="E429" s="47" t="s">
        <v>127</v>
      </c>
      <c r="F429" s="47" t="s">
        <v>138</v>
      </c>
    </row>
    <row r="430" customFormat="false" ht="15" hidden="false" customHeight="false" outlineLevel="0" collapsed="false">
      <c r="A430" s="55" t="n">
        <f aca="false">FALSE()</f>
        <v>0</v>
      </c>
      <c r="B430" s="56" t="s">
        <v>571</v>
      </c>
      <c r="C430" s="46" t="n">
        <f aca="false">'Get Started'!$C$4-150+-5</f>
        <v>46397</v>
      </c>
      <c r="D430" s="45" t="s">
        <v>66</v>
      </c>
      <c r="E430" s="45" t="s">
        <v>127</v>
      </c>
      <c r="F430" s="45" t="s">
        <v>138</v>
      </c>
    </row>
    <row r="431" customFormat="false" ht="15" hidden="false" customHeight="false" outlineLevel="0" collapsed="false">
      <c r="A431" s="53" t="n">
        <f aca="false">FALSE()</f>
        <v>0</v>
      </c>
      <c r="B431" s="54" t="s">
        <v>572</v>
      </c>
      <c r="C431" s="48" t="n">
        <f aca="false">'Get Started'!$C$4-150+-5</f>
        <v>46397</v>
      </c>
      <c r="D431" s="47" t="s">
        <v>66</v>
      </c>
      <c r="E431" s="47" t="s">
        <v>127</v>
      </c>
      <c r="F431" s="47" t="s">
        <v>138</v>
      </c>
    </row>
    <row r="432" customFormat="false" ht="15" hidden="false" customHeight="false" outlineLevel="0" collapsed="false">
      <c r="A432" s="55" t="n">
        <f aca="false">FALSE()</f>
        <v>0</v>
      </c>
      <c r="B432" s="56" t="s">
        <v>573</v>
      </c>
      <c r="C432" s="46" t="n">
        <f aca="false">'Get Started'!$C$4-150+-4</f>
        <v>46398</v>
      </c>
      <c r="D432" s="45" t="s">
        <v>66</v>
      </c>
      <c r="E432" s="45" t="s">
        <v>127</v>
      </c>
      <c r="F432" s="45" t="s">
        <v>138</v>
      </c>
    </row>
    <row r="433" customFormat="false" ht="15" hidden="false" customHeight="false" outlineLevel="0" collapsed="false">
      <c r="A433" s="53" t="n">
        <f aca="false">FALSE()</f>
        <v>0</v>
      </c>
      <c r="B433" s="54" t="s">
        <v>574</v>
      </c>
      <c r="C433" s="48" t="n">
        <f aca="false">'Get Started'!$C$4-150+-4</f>
        <v>46398</v>
      </c>
      <c r="D433" s="47" t="s">
        <v>66</v>
      </c>
      <c r="E433" s="47" t="s">
        <v>127</v>
      </c>
      <c r="F433" s="47" t="s">
        <v>138</v>
      </c>
    </row>
    <row r="434" customFormat="false" ht="15" hidden="false" customHeight="false" outlineLevel="0" collapsed="false">
      <c r="A434" s="55" t="n">
        <f aca="false">FALSE()</f>
        <v>0</v>
      </c>
      <c r="B434" s="56" t="s">
        <v>575</v>
      </c>
      <c r="C434" s="46" t="n">
        <f aca="false">'Get Started'!$C$4-150+-4</f>
        <v>46398</v>
      </c>
      <c r="D434" s="45" t="s">
        <v>66</v>
      </c>
      <c r="E434" s="45" t="s">
        <v>127</v>
      </c>
      <c r="F434" s="45" t="s">
        <v>138</v>
      </c>
    </row>
    <row r="435" customFormat="false" ht="15" hidden="false" customHeight="false" outlineLevel="0" collapsed="false">
      <c r="A435" s="53" t="n">
        <f aca="false">FALSE()</f>
        <v>0</v>
      </c>
      <c r="B435" s="54" t="s">
        <v>576</v>
      </c>
      <c r="C435" s="48" t="n">
        <f aca="false">'Get Started'!$C$4-150+-4</f>
        <v>46398</v>
      </c>
      <c r="D435" s="47" t="s">
        <v>66</v>
      </c>
      <c r="E435" s="47" t="s">
        <v>127</v>
      </c>
      <c r="F435" s="47" t="s">
        <v>138</v>
      </c>
    </row>
    <row r="436" customFormat="false" ht="15" hidden="false" customHeight="false" outlineLevel="0" collapsed="false">
      <c r="A436" s="55" t="n">
        <f aca="false">FALSE()</f>
        <v>0</v>
      </c>
      <c r="B436" s="56" t="s">
        <v>577</v>
      </c>
      <c r="C436" s="46" t="n">
        <f aca="false">'Get Started'!$C$4-150+-4</f>
        <v>46398</v>
      </c>
      <c r="D436" s="45" t="s">
        <v>66</v>
      </c>
      <c r="E436" s="45" t="s">
        <v>127</v>
      </c>
      <c r="F436" s="45" t="s">
        <v>138</v>
      </c>
    </row>
    <row r="437" customFormat="false" ht="15" hidden="false" customHeight="false" outlineLevel="0" collapsed="false">
      <c r="A437" s="53" t="n">
        <f aca="false">FALSE()</f>
        <v>0</v>
      </c>
      <c r="B437" s="54" t="s">
        <v>578</v>
      </c>
      <c r="C437" s="48" t="n">
        <f aca="false">'Get Started'!$C$4-150+-4</f>
        <v>46398</v>
      </c>
      <c r="D437" s="47" t="s">
        <v>66</v>
      </c>
      <c r="E437" s="47" t="s">
        <v>127</v>
      </c>
      <c r="F437" s="47" t="s">
        <v>138</v>
      </c>
    </row>
    <row r="438" customFormat="false" ht="15" hidden="false" customHeight="false" outlineLevel="0" collapsed="false">
      <c r="A438" s="55" t="n">
        <f aca="false">FALSE()</f>
        <v>0</v>
      </c>
      <c r="B438" s="56" t="s">
        <v>579</v>
      </c>
      <c r="C438" s="46" t="n">
        <f aca="false">'Get Started'!$C$4-150+-4</f>
        <v>46398</v>
      </c>
      <c r="D438" s="45" t="s">
        <v>66</v>
      </c>
      <c r="E438" s="45" t="s">
        <v>127</v>
      </c>
      <c r="F438" s="45" t="s">
        <v>138</v>
      </c>
    </row>
    <row r="439" customFormat="false" ht="15" hidden="false" customHeight="false" outlineLevel="0" collapsed="false">
      <c r="A439" s="53" t="n">
        <f aca="false">FALSE()</f>
        <v>0</v>
      </c>
      <c r="B439" s="54" t="s">
        <v>580</v>
      </c>
      <c r="C439" s="48" t="n">
        <f aca="false">'Get Started'!$C$4-150+-4</f>
        <v>46398</v>
      </c>
      <c r="D439" s="47" t="s">
        <v>66</v>
      </c>
      <c r="E439" s="47" t="s">
        <v>127</v>
      </c>
      <c r="F439" s="47" t="s">
        <v>138</v>
      </c>
    </row>
    <row r="440" customFormat="false" ht="15" hidden="false" customHeight="false" outlineLevel="0" collapsed="false">
      <c r="A440" s="55" t="n">
        <f aca="false">FALSE()</f>
        <v>0</v>
      </c>
      <c r="B440" s="56" t="s">
        <v>581</v>
      </c>
      <c r="C440" s="46" t="n">
        <f aca="false">'Get Started'!$C$4-150+-4</f>
        <v>46398</v>
      </c>
      <c r="D440" s="45" t="s">
        <v>66</v>
      </c>
      <c r="E440" s="45" t="s">
        <v>127</v>
      </c>
      <c r="F440" s="45" t="s">
        <v>138</v>
      </c>
    </row>
    <row r="441" customFormat="false" ht="15" hidden="false" customHeight="false" outlineLevel="0" collapsed="false">
      <c r="A441" s="53" t="n">
        <f aca="false">FALSE()</f>
        <v>0</v>
      </c>
      <c r="B441" s="54" t="s">
        <v>582</v>
      </c>
      <c r="C441" s="48" t="n">
        <f aca="false">'Get Started'!$C$4-150+-3</f>
        <v>46399</v>
      </c>
      <c r="D441" s="47" t="s">
        <v>66</v>
      </c>
      <c r="E441" s="47" t="s">
        <v>127</v>
      </c>
      <c r="F441" s="47" t="s">
        <v>138</v>
      </c>
    </row>
    <row r="442" customFormat="false" ht="15" hidden="false" customHeight="false" outlineLevel="0" collapsed="false">
      <c r="A442" s="55" t="n">
        <f aca="false">FALSE()</f>
        <v>0</v>
      </c>
      <c r="B442" s="56" t="s">
        <v>583</v>
      </c>
      <c r="C442" s="46" t="n">
        <f aca="false">'Get Started'!$C$4-150+-3</f>
        <v>46399</v>
      </c>
      <c r="D442" s="45" t="s">
        <v>66</v>
      </c>
      <c r="E442" s="45" t="s">
        <v>127</v>
      </c>
      <c r="F442" s="45" t="s">
        <v>138</v>
      </c>
    </row>
    <row r="443" customFormat="false" ht="15" hidden="false" customHeight="false" outlineLevel="0" collapsed="false">
      <c r="A443" s="53" t="n">
        <f aca="false">FALSE()</f>
        <v>0</v>
      </c>
      <c r="B443" s="54" t="s">
        <v>584</v>
      </c>
      <c r="C443" s="48" t="n">
        <f aca="false">'Get Started'!$C$4-150+-3</f>
        <v>46399</v>
      </c>
      <c r="D443" s="47" t="s">
        <v>66</v>
      </c>
      <c r="E443" s="47" t="s">
        <v>127</v>
      </c>
      <c r="F443" s="47" t="s">
        <v>138</v>
      </c>
    </row>
    <row r="444" customFormat="false" ht="15" hidden="false" customHeight="false" outlineLevel="0" collapsed="false">
      <c r="A444" s="55" t="n">
        <f aca="false">FALSE()</f>
        <v>0</v>
      </c>
      <c r="B444" s="56" t="s">
        <v>585</v>
      </c>
      <c r="C444" s="46" t="n">
        <f aca="false">'Get Started'!$C$4-150+-3</f>
        <v>46399</v>
      </c>
      <c r="D444" s="45" t="s">
        <v>66</v>
      </c>
      <c r="E444" s="45" t="s">
        <v>127</v>
      </c>
      <c r="F444" s="45" t="s">
        <v>138</v>
      </c>
    </row>
    <row r="445" customFormat="false" ht="15" hidden="false" customHeight="false" outlineLevel="0" collapsed="false">
      <c r="A445" s="53" t="n">
        <f aca="false">FALSE()</f>
        <v>0</v>
      </c>
      <c r="B445" s="54" t="s">
        <v>586</v>
      </c>
      <c r="C445" s="48" t="n">
        <f aca="false">'Get Started'!$C$4-150+-3</f>
        <v>46399</v>
      </c>
      <c r="D445" s="47" t="s">
        <v>66</v>
      </c>
      <c r="E445" s="47" t="s">
        <v>127</v>
      </c>
      <c r="F445" s="47" t="s">
        <v>138</v>
      </c>
    </row>
    <row r="446" customFormat="false" ht="15" hidden="false" customHeight="false" outlineLevel="0" collapsed="false">
      <c r="A446" s="55" t="n">
        <f aca="false">FALSE()</f>
        <v>0</v>
      </c>
      <c r="B446" s="56" t="s">
        <v>587</v>
      </c>
      <c r="C446" s="46" t="n">
        <f aca="false">'Get Started'!$C$4-150+-3</f>
        <v>46399</v>
      </c>
      <c r="D446" s="45" t="s">
        <v>66</v>
      </c>
      <c r="E446" s="45" t="s">
        <v>127</v>
      </c>
      <c r="F446" s="45" t="s">
        <v>138</v>
      </c>
    </row>
    <row r="447" customFormat="false" ht="15" hidden="false" customHeight="false" outlineLevel="0" collapsed="false">
      <c r="A447" s="53" t="n">
        <f aca="false">FALSE()</f>
        <v>0</v>
      </c>
      <c r="B447" s="54" t="s">
        <v>588</v>
      </c>
      <c r="C447" s="48" t="n">
        <f aca="false">'Get Started'!$C$4-150+-3</f>
        <v>46399</v>
      </c>
      <c r="D447" s="47" t="s">
        <v>66</v>
      </c>
      <c r="E447" s="47" t="s">
        <v>127</v>
      </c>
      <c r="F447" s="47" t="s">
        <v>138</v>
      </c>
    </row>
    <row r="448" customFormat="false" ht="15" hidden="false" customHeight="false" outlineLevel="0" collapsed="false">
      <c r="A448" s="55" t="n">
        <f aca="false">FALSE()</f>
        <v>0</v>
      </c>
      <c r="B448" s="56" t="s">
        <v>589</v>
      </c>
      <c r="C448" s="46" t="n">
        <f aca="false">'Get Started'!$C$4-150+-3</f>
        <v>46399</v>
      </c>
      <c r="D448" s="45" t="s">
        <v>66</v>
      </c>
      <c r="E448" s="45" t="s">
        <v>127</v>
      </c>
      <c r="F448" s="45" t="s">
        <v>138</v>
      </c>
    </row>
    <row r="449" customFormat="false" ht="15" hidden="false" customHeight="false" outlineLevel="0" collapsed="false">
      <c r="A449" s="53" t="n">
        <f aca="false">FALSE()</f>
        <v>0</v>
      </c>
      <c r="B449" s="54" t="s">
        <v>590</v>
      </c>
      <c r="C449" s="48" t="n">
        <f aca="false">'Get Started'!$C$4-150+-3</f>
        <v>46399</v>
      </c>
      <c r="D449" s="47" t="s">
        <v>66</v>
      </c>
      <c r="E449" s="47" t="s">
        <v>127</v>
      </c>
      <c r="F449" s="47" t="s">
        <v>138</v>
      </c>
    </row>
    <row r="450" customFormat="false" ht="15" hidden="false" customHeight="false" outlineLevel="0" collapsed="false">
      <c r="A450" s="55" t="n">
        <f aca="false">FALSE()</f>
        <v>0</v>
      </c>
      <c r="B450" s="56" t="s">
        <v>591</v>
      </c>
      <c r="C450" s="46" t="n">
        <f aca="false">'Get Started'!$C$4-150+-2</f>
        <v>46400</v>
      </c>
      <c r="D450" s="45" t="s">
        <v>66</v>
      </c>
      <c r="E450" s="45" t="s">
        <v>127</v>
      </c>
      <c r="F450" s="45" t="s">
        <v>138</v>
      </c>
    </row>
    <row r="451" customFormat="false" ht="15" hidden="false" customHeight="false" outlineLevel="0" collapsed="false">
      <c r="A451" s="53" t="n">
        <f aca="false">FALSE()</f>
        <v>0</v>
      </c>
      <c r="B451" s="54" t="s">
        <v>592</v>
      </c>
      <c r="C451" s="48" t="n">
        <f aca="false">'Get Started'!$C$4-150+-2</f>
        <v>46400</v>
      </c>
      <c r="D451" s="47" t="s">
        <v>66</v>
      </c>
      <c r="E451" s="47" t="s">
        <v>127</v>
      </c>
      <c r="F451" s="47" t="s">
        <v>138</v>
      </c>
    </row>
    <row r="452" customFormat="false" ht="15" hidden="false" customHeight="false" outlineLevel="0" collapsed="false">
      <c r="A452" s="55" t="n">
        <f aca="false">FALSE()</f>
        <v>0</v>
      </c>
      <c r="B452" s="56" t="s">
        <v>593</v>
      </c>
      <c r="C452" s="46" t="n">
        <f aca="false">'Get Started'!$C$4-150+-2</f>
        <v>46400</v>
      </c>
      <c r="D452" s="45" t="s">
        <v>66</v>
      </c>
      <c r="E452" s="45" t="s">
        <v>127</v>
      </c>
      <c r="F452" s="45" t="s">
        <v>138</v>
      </c>
    </row>
    <row r="453" customFormat="false" ht="15" hidden="false" customHeight="false" outlineLevel="0" collapsed="false">
      <c r="A453" s="53" t="n">
        <f aca="false">FALSE()</f>
        <v>0</v>
      </c>
      <c r="B453" s="54" t="s">
        <v>594</v>
      </c>
      <c r="C453" s="48" t="n">
        <f aca="false">'Get Started'!$C$4-150+-2</f>
        <v>46400</v>
      </c>
      <c r="D453" s="47" t="s">
        <v>66</v>
      </c>
      <c r="E453" s="47" t="s">
        <v>127</v>
      </c>
      <c r="F453" s="47" t="s">
        <v>138</v>
      </c>
    </row>
    <row r="454" customFormat="false" ht="15" hidden="false" customHeight="false" outlineLevel="0" collapsed="false">
      <c r="A454" s="55" t="n">
        <f aca="false">FALSE()</f>
        <v>0</v>
      </c>
      <c r="B454" s="56" t="s">
        <v>595</v>
      </c>
      <c r="C454" s="46" t="n">
        <f aca="false">'Get Started'!$C$4-150+-2</f>
        <v>46400</v>
      </c>
      <c r="D454" s="45" t="s">
        <v>66</v>
      </c>
      <c r="E454" s="45" t="s">
        <v>127</v>
      </c>
      <c r="F454" s="45" t="s">
        <v>138</v>
      </c>
    </row>
    <row r="455" customFormat="false" ht="15" hidden="false" customHeight="false" outlineLevel="0" collapsed="false">
      <c r="A455" s="53" t="n">
        <f aca="false">FALSE()</f>
        <v>0</v>
      </c>
      <c r="B455" s="54" t="s">
        <v>596</v>
      </c>
      <c r="C455" s="48" t="n">
        <f aca="false">'Get Started'!$C$4-150+-2</f>
        <v>46400</v>
      </c>
      <c r="D455" s="47" t="s">
        <v>66</v>
      </c>
      <c r="E455" s="47" t="s">
        <v>127</v>
      </c>
      <c r="F455" s="47" t="s">
        <v>138</v>
      </c>
    </row>
    <row r="456" customFormat="false" ht="15" hidden="false" customHeight="false" outlineLevel="0" collapsed="false">
      <c r="A456" s="55" t="n">
        <f aca="false">FALSE()</f>
        <v>0</v>
      </c>
      <c r="B456" s="56" t="s">
        <v>597</v>
      </c>
      <c r="C456" s="46" t="n">
        <f aca="false">'Get Started'!$C$4-150+-2</f>
        <v>46400</v>
      </c>
      <c r="D456" s="45" t="s">
        <v>66</v>
      </c>
      <c r="E456" s="45" t="s">
        <v>127</v>
      </c>
      <c r="F456" s="45" t="s">
        <v>138</v>
      </c>
    </row>
    <row r="457" customFormat="false" ht="15" hidden="false" customHeight="false" outlineLevel="0" collapsed="false">
      <c r="A457" s="53" t="n">
        <f aca="false">FALSE()</f>
        <v>0</v>
      </c>
      <c r="B457" s="54" t="s">
        <v>598</v>
      </c>
      <c r="C457" s="48" t="n">
        <f aca="false">'Get Started'!$C$4-150+-2</f>
        <v>46400</v>
      </c>
      <c r="D457" s="47" t="s">
        <v>66</v>
      </c>
      <c r="E457" s="47" t="s">
        <v>127</v>
      </c>
      <c r="F457" s="47" t="s">
        <v>138</v>
      </c>
    </row>
    <row r="458" customFormat="false" ht="15" hidden="false" customHeight="false" outlineLevel="0" collapsed="false">
      <c r="A458" s="55" t="n">
        <f aca="false">FALSE()</f>
        <v>0</v>
      </c>
      <c r="B458" s="56" t="s">
        <v>599</v>
      </c>
      <c r="C458" s="46" t="n">
        <f aca="false">'Get Started'!$C$4-150+-2</f>
        <v>46400</v>
      </c>
      <c r="D458" s="45" t="s">
        <v>66</v>
      </c>
      <c r="E458" s="45" t="s">
        <v>127</v>
      </c>
      <c r="F458" s="45" t="s">
        <v>138</v>
      </c>
    </row>
    <row r="459" customFormat="false" ht="15" hidden="false" customHeight="false" outlineLevel="0" collapsed="false">
      <c r="A459" s="53" t="n">
        <f aca="false">FALSE()</f>
        <v>0</v>
      </c>
      <c r="B459" s="54" t="s">
        <v>600</v>
      </c>
      <c r="C459" s="48" t="n">
        <f aca="false">'Get Started'!$C$4-150+-1</f>
        <v>46401</v>
      </c>
      <c r="D459" s="47" t="s">
        <v>66</v>
      </c>
      <c r="E459" s="47" t="s">
        <v>127</v>
      </c>
      <c r="F459" s="47" t="s">
        <v>138</v>
      </c>
    </row>
    <row r="460" customFormat="false" ht="15" hidden="false" customHeight="false" outlineLevel="0" collapsed="false">
      <c r="A460" s="55" t="n">
        <f aca="false">FALSE()</f>
        <v>0</v>
      </c>
      <c r="B460" s="56" t="s">
        <v>601</v>
      </c>
      <c r="C460" s="46" t="n">
        <f aca="false">'Get Started'!$C$4-150+-1</f>
        <v>46401</v>
      </c>
      <c r="D460" s="45" t="s">
        <v>66</v>
      </c>
      <c r="E460" s="45" t="s">
        <v>127</v>
      </c>
      <c r="F460" s="45" t="s">
        <v>138</v>
      </c>
    </row>
    <row r="461" customFormat="false" ht="15" hidden="false" customHeight="false" outlineLevel="0" collapsed="false">
      <c r="A461" s="53" t="n">
        <f aca="false">FALSE()</f>
        <v>0</v>
      </c>
      <c r="B461" s="54" t="s">
        <v>602</v>
      </c>
      <c r="C461" s="48" t="n">
        <f aca="false">'Get Started'!$C$4-150+-1</f>
        <v>46401</v>
      </c>
      <c r="D461" s="47" t="s">
        <v>66</v>
      </c>
      <c r="E461" s="47" t="s">
        <v>127</v>
      </c>
      <c r="F461" s="47" t="s">
        <v>138</v>
      </c>
    </row>
    <row r="462" customFormat="false" ht="15" hidden="false" customHeight="false" outlineLevel="0" collapsed="false">
      <c r="A462" s="55" t="n">
        <f aca="false">FALSE()</f>
        <v>0</v>
      </c>
      <c r="B462" s="56" t="s">
        <v>603</v>
      </c>
      <c r="C462" s="46" t="n">
        <f aca="false">'Get Started'!$C$4-150+-1</f>
        <v>46401</v>
      </c>
      <c r="D462" s="45" t="s">
        <v>66</v>
      </c>
      <c r="E462" s="45" t="s">
        <v>127</v>
      </c>
      <c r="F462" s="45" t="s">
        <v>138</v>
      </c>
    </row>
    <row r="463" customFormat="false" ht="15" hidden="false" customHeight="false" outlineLevel="0" collapsed="false">
      <c r="A463" s="53" t="n">
        <f aca="false">FALSE()</f>
        <v>0</v>
      </c>
      <c r="B463" s="54" t="s">
        <v>604</v>
      </c>
      <c r="C463" s="48" t="n">
        <f aca="false">'Get Started'!$C$4-150+-1</f>
        <v>46401</v>
      </c>
      <c r="D463" s="47" t="s">
        <v>66</v>
      </c>
      <c r="E463" s="47" t="s">
        <v>127</v>
      </c>
      <c r="F463" s="47" t="s">
        <v>138</v>
      </c>
    </row>
    <row r="464" customFormat="false" ht="15" hidden="false" customHeight="false" outlineLevel="0" collapsed="false">
      <c r="A464" s="55" t="n">
        <f aca="false">FALSE()</f>
        <v>0</v>
      </c>
      <c r="B464" s="56" t="s">
        <v>605</v>
      </c>
      <c r="C464" s="46" t="n">
        <f aca="false">'Get Started'!$C$4-150+-1</f>
        <v>46401</v>
      </c>
      <c r="D464" s="45" t="s">
        <v>66</v>
      </c>
      <c r="E464" s="45" t="s">
        <v>127</v>
      </c>
      <c r="F464" s="45" t="s">
        <v>138</v>
      </c>
    </row>
    <row r="465" customFormat="false" ht="15" hidden="false" customHeight="false" outlineLevel="0" collapsed="false">
      <c r="A465" s="53" t="n">
        <f aca="false">FALSE()</f>
        <v>0</v>
      </c>
      <c r="B465" s="54" t="s">
        <v>606</v>
      </c>
      <c r="C465" s="48" t="n">
        <f aca="false">'Get Started'!$C$4-150+-1</f>
        <v>46401</v>
      </c>
      <c r="D465" s="47" t="s">
        <v>66</v>
      </c>
      <c r="E465" s="47" t="s">
        <v>127</v>
      </c>
      <c r="F465" s="47" t="s">
        <v>138</v>
      </c>
    </row>
    <row r="466" customFormat="false" ht="15" hidden="false" customHeight="false" outlineLevel="0" collapsed="false">
      <c r="A466" s="55" t="n">
        <f aca="false">FALSE()</f>
        <v>0</v>
      </c>
      <c r="B466" s="56" t="s">
        <v>607</v>
      </c>
      <c r="C466" s="46" t="n">
        <f aca="false">'Get Started'!$C$4-150+-1</f>
        <v>46401</v>
      </c>
      <c r="D466" s="45" t="s">
        <v>66</v>
      </c>
      <c r="E466" s="45" t="s">
        <v>127</v>
      </c>
      <c r="F466" s="45" t="s">
        <v>138</v>
      </c>
    </row>
    <row r="467" customFormat="false" ht="15" hidden="false" customHeight="false" outlineLevel="0" collapsed="false">
      <c r="A467" s="53" t="n">
        <f aca="false">FALSE()</f>
        <v>0</v>
      </c>
      <c r="B467" s="54" t="s">
        <v>608</v>
      </c>
      <c r="C467" s="48" t="n">
        <f aca="false">'Get Started'!$C$4-150+-1</f>
        <v>46401</v>
      </c>
      <c r="D467" s="47" t="s">
        <v>66</v>
      </c>
      <c r="E467" s="47" t="s">
        <v>127</v>
      </c>
      <c r="F467" s="47" t="s">
        <v>138</v>
      </c>
    </row>
    <row r="468" customFormat="false" ht="15" hidden="false" customHeight="false" outlineLevel="0" collapsed="false">
      <c r="A468" s="55" t="n">
        <f aca="false">FALSE()</f>
        <v>0</v>
      </c>
      <c r="B468" s="56" t="s">
        <v>609</v>
      </c>
      <c r="C468" s="46" t="n">
        <f aca="false">'Get Started'!$C$4-150+0</f>
        <v>46402</v>
      </c>
      <c r="D468" s="45" t="s">
        <v>66</v>
      </c>
      <c r="E468" s="45" t="s">
        <v>127</v>
      </c>
      <c r="F468" s="45" t="s">
        <v>138</v>
      </c>
    </row>
    <row r="469" customFormat="false" ht="15" hidden="false" customHeight="false" outlineLevel="0" collapsed="false">
      <c r="A469" s="53" t="n">
        <f aca="false">FALSE()</f>
        <v>0</v>
      </c>
      <c r="B469" s="54" t="s">
        <v>610</v>
      </c>
      <c r="C469" s="48" t="n">
        <f aca="false">'Get Started'!$C$4-150+0</f>
        <v>46402</v>
      </c>
      <c r="D469" s="47" t="s">
        <v>66</v>
      </c>
      <c r="E469" s="47" t="s">
        <v>127</v>
      </c>
      <c r="F469" s="47" t="s">
        <v>138</v>
      </c>
    </row>
    <row r="470" customFormat="false" ht="15" hidden="false" customHeight="false" outlineLevel="0" collapsed="false">
      <c r="A470" s="55" t="n">
        <f aca="false">FALSE()</f>
        <v>0</v>
      </c>
      <c r="B470" s="56" t="s">
        <v>611</v>
      </c>
      <c r="C470" s="46" t="n">
        <f aca="false">'Get Started'!$C$4-150+0</f>
        <v>46402</v>
      </c>
      <c r="D470" s="45" t="s">
        <v>66</v>
      </c>
      <c r="E470" s="45" t="s">
        <v>127</v>
      </c>
      <c r="F470" s="45" t="s">
        <v>138</v>
      </c>
    </row>
    <row r="471" customFormat="false" ht="15" hidden="false" customHeight="false" outlineLevel="0" collapsed="false">
      <c r="A471" s="53" t="n">
        <f aca="false">FALSE()</f>
        <v>0</v>
      </c>
      <c r="B471" s="54" t="s">
        <v>612</v>
      </c>
      <c r="C471" s="48" t="n">
        <f aca="false">'Get Started'!$C$4-150+0</f>
        <v>46402</v>
      </c>
      <c r="D471" s="47" t="s">
        <v>66</v>
      </c>
      <c r="E471" s="47" t="s">
        <v>127</v>
      </c>
      <c r="F471" s="47" t="s">
        <v>138</v>
      </c>
    </row>
    <row r="472" customFormat="false" ht="15" hidden="false" customHeight="false" outlineLevel="0" collapsed="false">
      <c r="A472" s="55" t="n">
        <f aca="false">FALSE()</f>
        <v>0</v>
      </c>
      <c r="B472" s="56" t="s">
        <v>613</v>
      </c>
      <c r="C472" s="46" t="n">
        <f aca="false">'Get Started'!$C$4-150+0</f>
        <v>46402</v>
      </c>
      <c r="D472" s="45" t="s">
        <v>66</v>
      </c>
      <c r="E472" s="45" t="s">
        <v>127</v>
      </c>
      <c r="F472" s="45" t="s">
        <v>138</v>
      </c>
    </row>
    <row r="473" customFormat="false" ht="15" hidden="false" customHeight="false" outlineLevel="0" collapsed="false">
      <c r="A473" s="53" t="n">
        <f aca="false">FALSE()</f>
        <v>0</v>
      </c>
      <c r="B473" s="54" t="s">
        <v>614</v>
      </c>
      <c r="C473" s="48" t="n">
        <f aca="false">'Get Started'!$C$4-150+0</f>
        <v>46402</v>
      </c>
      <c r="D473" s="47" t="s">
        <v>66</v>
      </c>
      <c r="E473" s="47" t="s">
        <v>127</v>
      </c>
      <c r="F473" s="47" t="s">
        <v>138</v>
      </c>
    </row>
    <row r="474" customFormat="false" ht="15" hidden="false" customHeight="false" outlineLevel="0" collapsed="false">
      <c r="A474" s="55" t="n">
        <f aca="false">FALSE()</f>
        <v>0</v>
      </c>
      <c r="B474" s="56" t="s">
        <v>615</v>
      </c>
      <c r="C474" s="46" t="n">
        <f aca="false">'Get Started'!$C$4-150+0</f>
        <v>46402</v>
      </c>
      <c r="D474" s="45" t="s">
        <v>66</v>
      </c>
      <c r="E474" s="45" t="s">
        <v>127</v>
      </c>
      <c r="F474" s="45" t="s">
        <v>138</v>
      </c>
    </row>
    <row r="475" customFormat="false" ht="15" hidden="false" customHeight="false" outlineLevel="0" collapsed="false">
      <c r="A475" s="53" t="n">
        <f aca="false">FALSE()</f>
        <v>0</v>
      </c>
      <c r="B475" s="54" t="s">
        <v>616</v>
      </c>
      <c r="C475" s="48" t="n">
        <f aca="false">'Get Started'!$C$4-150+0</f>
        <v>46402</v>
      </c>
      <c r="D475" s="47" t="s">
        <v>66</v>
      </c>
      <c r="E475" s="47" t="s">
        <v>127</v>
      </c>
      <c r="F475" s="47" t="s">
        <v>138</v>
      </c>
    </row>
    <row r="476" customFormat="false" ht="15" hidden="false" customHeight="false" outlineLevel="0" collapsed="false">
      <c r="A476" s="55" t="n">
        <f aca="false">FALSE()</f>
        <v>0</v>
      </c>
      <c r="B476" s="56" t="s">
        <v>617</v>
      </c>
      <c r="C476" s="46" t="n">
        <f aca="false">'Get Started'!$C$4-150+0</f>
        <v>46402</v>
      </c>
      <c r="D476" s="45" t="s">
        <v>66</v>
      </c>
      <c r="E476" s="45" t="s">
        <v>127</v>
      </c>
      <c r="F476" s="45" t="s">
        <v>138</v>
      </c>
    </row>
    <row r="477" customFormat="false" ht="15" hidden="false" customHeight="false" outlineLevel="0" collapsed="false">
      <c r="A477" s="53" t="n">
        <f aca="false">FALSE()</f>
        <v>0</v>
      </c>
      <c r="B477" s="54" t="s">
        <v>618</v>
      </c>
      <c r="C477" s="48" t="n">
        <f aca="false">'Get Started'!$C$4-150+1</f>
        <v>46403</v>
      </c>
      <c r="D477" s="47" t="s">
        <v>66</v>
      </c>
      <c r="E477" s="47" t="s">
        <v>127</v>
      </c>
      <c r="F477" s="47" t="s">
        <v>138</v>
      </c>
    </row>
    <row r="478" customFormat="false" ht="15" hidden="false" customHeight="false" outlineLevel="0" collapsed="false">
      <c r="A478" s="55" t="n">
        <f aca="false">FALSE()</f>
        <v>0</v>
      </c>
      <c r="B478" s="56" t="s">
        <v>619</v>
      </c>
      <c r="C478" s="46" t="n">
        <f aca="false">'Get Started'!$C$4-150+1</f>
        <v>46403</v>
      </c>
      <c r="D478" s="45" t="s">
        <v>66</v>
      </c>
      <c r="E478" s="45" t="s">
        <v>127</v>
      </c>
      <c r="F478" s="45" t="s">
        <v>138</v>
      </c>
    </row>
    <row r="479" customFormat="false" ht="15" hidden="false" customHeight="false" outlineLevel="0" collapsed="false">
      <c r="A479" s="53" t="n">
        <f aca="false">FALSE()</f>
        <v>0</v>
      </c>
      <c r="B479" s="54" t="s">
        <v>620</v>
      </c>
      <c r="C479" s="48" t="n">
        <f aca="false">'Get Started'!$C$4-150+1</f>
        <v>46403</v>
      </c>
      <c r="D479" s="47" t="s">
        <v>66</v>
      </c>
      <c r="E479" s="47" t="s">
        <v>127</v>
      </c>
      <c r="F479" s="47" t="s">
        <v>138</v>
      </c>
    </row>
    <row r="480" customFormat="false" ht="15" hidden="false" customHeight="false" outlineLevel="0" collapsed="false">
      <c r="A480" s="55" t="n">
        <f aca="false">FALSE()</f>
        <v>0</v>
      </c>
      <c r="B480" s="56" t="s">
        <v>621</v>
      </c>
      <c r="C480" s="46" t="n">
        <f aca="false">'Get Started'!$C$4-150+1</f>
        <v>46403</v>
      </c>
      <c r="D480" s="45" t="s">
        <v>66</v>
      </c>
      <c r="E480" s="45" t="s">
        <v>127</v>
      </c>
      <c r="F480" s="45" t="s">
        <v>138</v>
      </c>
    </row>
    <row r="481" customFormat="false" ht="15" hidden="false" customHeight="false" outlineLevel="0" collapsed="false">
      <c r="A481" s="53" t="n">
        <f aca="false">FALSE()</f>
        <v>0</v>
      </c>
      <c r="B481" s="54" t="s">
        <v>622</v>
      </c>
      <c r="C481" s="48" t="n">
        <f aca="false">'Get Started'!$C$4-150+1</f>
        <v>46403</v>
      </c>
      <c r="D481" s="47" t="s">
        <v>66</v>
      </c>
      <c r="E481" s="47" t="s">
        <v>127</v>
      </c>
      <c r="F481" s="47" t="s">
        <v>138</v>
      </c>
    </row>
    <row r="482" customFormat="false" ht="15" hidden="false" customHeight="false" outlineLevel="0" collapsed="false">
      <c r="A482" s="55" t="n">
        <f aca="false">FALSE()</f>
        <v>0</v>
      </c>
      <c r="B482" s="56" t="s">
        <v>623</v>
      </c>
      <c r="C482" s="46" t="n">
        <f aca="false">'Get Started'!$C$4-150+1</f>
        <v>46403</v>
      </c>
      <c r="D482" s="45" t="s">
        <v>66</v>
      </c>
      <c r="E482" s="45" t="s">
        <v>127</v>
      </c>
      <c r="F482" s="45" t="s">
        <v>138</v>
      </c>
    </row>
    <row r="483" customFormat="false" ht="15" hidden="false" customHeight="false" outlineLevel="0" collapsed="false">
      <c r="A483" s="53" t="n">
        <f aca="false">FALSE()</f>
        <v>0</v>
      </c>
      <c r="B483" s="54" t="s">
        <v>624</v>
      </c>
      <c r="C483" s="48" t="n">
        <f aca="false">'Get Started'!$C$4-150+1</f>
        <v>46403</v>
      </c>
      <c r="D483" s="47" t="s">
        <v>66</v>
      </c>
      <c r="E483" s="47" t="s">
        <v>127</v>
      </c>
      <c r="F483" s="47" t="s">
        <v>138</v>
      </c>
    </row>
    <row r="484" customFormat="false" ht="15" hidden="false" customHeight="false" outlineLevel="0" collapsed="false">
      <c r="A484" s="55" t="n">
        <f aca="false">FALSE()</f>
        <v>0</v>
      </c>
      <c r="B484" s="56" t="s">
        <v>625</v>
      </c>
      <c r="C484" s="46" t="n">
        <f aca="false">'Get Started'!$C$4-150+1</f>
        <v>46403</v>
      </c>
      <c r="D484" s="45" t="s">
        <v>66</v>
      </c>
      <c r="E484" s="45" t="s">
        <v>127</v>
      </c>
      <c r="F484" s="45" t="s">
        <v>138</v>
      </c>
    </row>
    <row r="485" customFormat="false" ht="15" hidden="false" customHeight="false" outlineLevel="0" collapsed="false">
      <c r="A485" s="53" t="n">
        <f aca="false">FALSE()</f>
        <v>0</v>
      </c>
      <c r="B485" s="54" t="s">
        <v>626</v>
      </c>
      <c r="C485" s="48" t="n">
        <f aca="false">'Get Started'!$C$4-150+1</f>
        <v>46403</v>
      </c>
      <c r="D485" s="47" t="s">
        <v>66</v>
      </c>
      <c r="E485" s="47" t="s">
        <v>127</v>
      </c>
      <c r="F485" s="47" t="s">
        <v>138</v>
      </c>
    </row>
    <row r="486" customFormat="false" ht="15" hidden="false" customHeight="false" outlineLevel="0" collapsed="false">
      <c r="A486" s="55" t="n">
        <f aca="false">FALSE()</f>
        <v>0</v>
      </c>
      <c r="B486" s="56" t="s">
        <v>627</v>
      </c>
      <c r="C486" s="46" t="n">
        <f aca="false">'Get Started'!$C$4-150+2</f>
        <v>46404</v>
      </c>
      <c r="D486" s="45" t="s">
        <v>66</v>
      </c>
      <c r="E486" s="45" t="s">
        <v>127</v>
      </c>
      <c r="F486" s="45" t="s">
        <v>138</v>
      </c>
    </row>
    <row r="487" customFormat="false" ht="15" hidden="false" customHeight="false" outlineLevel="0" collapsed="false">
      <c r="A487" s="53" t="n">
        <f aca="false">FALSE()</f>
        <v>0</v>
      </c>
      <c r="B487" s="54" t="s">
        <v>628</v>
      </c>
      <c r="C487" s="48" t="n">
        <f aca="false">'Get Started'!$C$4-150+2</f>
        <v>46404</v>
      </c>
      <c r="D487" s="47" t="s">
        <v>66</v>
      </c>
      <c r="E487" s="47" t="s">
        <v>127</v>
      </c>
      <c r="F487" s="47" t="s">
        <v>138</v>
      </c>
    </row>
    <row r="488" customFormat="false" ht="15" hidden="false" customHeight="false" outlineLevel="0" collapsed="false">
      <c r="A488" s="55" t="n">
        <f aca="false">FALSE()</f>
        <v>0</v>
      </c>
      <c r="B488" s="56" t="s">
        <v>629</v>
      </c>
      <c r="C488" s="46" t="n">
        <f aca="false">'Get Started'!$C$4-150+2</f>
        <v>46404</v>
      </c>
      <c r="D488" s="45" t="s">
        <v>66</v>
      </c>
      <c r="E488" s="45" t="s">
        <v>127</v>
      </c>
      <c r="F488" s="45" t="s">
        <v>138</v>
      </c>
    </row>
    <row r="489" customFormat="false" ht="15" hidden="false" customHeight="false" outlineLevel="0" collapsed="false">
      <c r="A489" s="53" t="n">
        <f aca="false">FALSE()</f>
        <v>0</v>
      </c>
      <c r="B489" s="54" t="s">
        <v>630</v>
      </c>
      <c r="C489" s="48" t="n">
        <f aca="false">'Get Started'!$C$4-150+2</f>
        <v>46404</v>
      </c>
      <c r="D489" s="47" t="s">
        <v>66</v>
      </c>
      <c r="E489" s="47" t="s">
        <v>127</v>
      </c>
      <c r="F489" s="47" t="s">
        <v>138</v>
      </c>
    </row>
    <row r="490" customFormat="false" ht="15" hidden="false" customHeight="false" outlineLevel="0" collapsed="false">
      <c r="A490" s="55" t="n">
        <f aca="false">FALSE()</f>
        <v>0</v>
      </c>
      <c r="B490" s="56" t="s">
        <v>631</v>
      </c>
      <c r="C490" s="46" t="n">
        <f aca="false">'Get Started'!$C$4-150+2</f>
        <v>46404</v>
      </c>
      <c r="D490" s="45" t="s">
        <v>66</v>
      </c>
      <c r="E490" s="45" t="s">
        <v>127</v>
      </c>
      <c r="F490" s="45" t="s">
        <v>138</v>
      </c>
    </row>
    <row r="491" customFormat="false" ht="15" hidden="false" customHeight="false" outlineLevel="0" collapsed="false">
      <c r="A491" s="53" t="n">
        <f aca="false">FALSE()</f>
        <v>0</v>
      </c>
      <c r="B491" s="54" t="s">
        <v>632</v>
      </c>
      <c r="C491" s="48" t="n">
        <f aca="false">'Get Started'!$C$4-150+2</f>
        <v>46404</v>
      </c>
      <c r="D491" s="47" t="s">
        <v>66</v>
      </c>
      <c r="E491" s="47" t="s">
        <v>127</v>
      </c>
      <c r="F491" s="47" t="s">
        <v>138</v>
      </c>
    </row>
    <row r="492" customFormat="false" ht="15" hidden="false" customHeight="false" outlineLevel="0" collapsed="false">
      <c r="A492" s="55" t="n">
        <f aca="false">FALSE()</f>
        <v>0</v>
      </c>
      <c r="B492" s="56" t="s">
        <v>633</v>
      </c>
      <c r="C492" s="46" t="n">
        <f aca="false">'Get Started'!$C$4-150+2</f>
        <v>46404</v>
      </c>
      <c r="D492" s="45" t="s">
        <v>66</v>
      </c>
      <c r="E492" s="45" t="s">
        <v>127</v>
      </c>
      <c r="F492" s="45" t="s">
        <v>138</v>
      </c>
    </row>
    <row r="493" customFormat="false" ht="15" hidden="false" customHeight="false" outlineLevel="0" collapsed="false">
      <c r="A493" s="53" t="n">
        <f aca="false">FALSE()</f>
        <v>0</v>
      </c>
      <c r="B493" s="54" t="s">
        <v>634</v>
      </c>
      <c r="C493" s="48" t="n">
        <f aca="false">'Get Started'!$C$4-150+2</f>
        <v>46404</v>
      </c>
      <c r="D493" s="47" t="s">
        <v>66</v>
      </c>
      <c r="E493" s="47" t="s">
        <v>127</v>
      </c>
      <c r="F493" s="47" t="s">
        <v>138</v>
      </c>
    </row>
    <row r="494" customFormat="false" ht="15" hidden="false" customHeight="false" outlineLevel="0" collapsed="false">
      <c r="A494" s="55" t="n">
        <f aca="false">FALSE()</f>
        <v>0</v>
      </c>
      <c r="B494" s="56" t="s">
        <v>635</v>
      </c>
      <c r="C494" s="46" t="n">
        <f aca="false">'Get Started'!$C$4-150+2</f>
        <v>46404</v>
      </c>
      <c r="D494" s="45" t="s">
        <v>66</v>
      </c>
      <c r="E494" s="45" t="s">
        <v>127</v>
      </c>
      <c r="F494" s="45" t="s">
        <v>138</v>
      </c>
    </row>
    <row r="495" customFormat="false" ht="15" hidden="false" customHeight="false" outlineLevel="0" collapsed="false">
      <c r="A495" s="53" t="n">
        <f aca="false">FALSE()</f>
        <v>0</v>
      </c>
      <c r="B495" s="54" t="s">
        <v>636</v>
      </c>
      <c r="C495" s="48" t="n">
        <f aca="false">'Get Started'!$C$4-150+3</f>
        <v>46405</v>
      </c>
      <c r="D495" s="47" t="s">
        <v>66</v>
      </c>
      <c r="E495" s="47" t="s">
        <v>127</v>
      </c>
      <c r="F495" s="47" t="s">
        <v>138</v>
      </c>
    </row>
    <row r="496" customFormat="false" ht="15" hidden="false" customHeight="false" outlineLevel="0" collapsed="false">
      <c r="A496" s="55" t="n">
        <f aca="false">FALSE()</f>
        <v>0</v>
      </c>
      <c r="B496" s="56" t="s">
        <v>637</v>
      </c>
      <c r="C496" s="46" t="n">
        <f aca="false">'Get Started'!$C$4-150+3</f>
        <v>46405</v>
      </c>
      <c r="D496" s="45" t="s">
        <v>66</v>
      </c>
      <c r="E496" s="45" t="s">
        <v>127</v>
      </c>
      <c r="F496" s="45" t="s">
        <v>138</v>
      </c>
    </row>
    <row r="497" customFormat="false" ht="15" hidden="false" customHeight="false" outlineLevel="0" collapsed="false">
      <c r="A497" s="53" t="n">
        <f aca="false">FALSE()</f>
        <v>0</v>
      </c>
      <c r="B497" s="54" t="s">
        <v>638</v>
      </c>
      <c r="C497" s="48" t="n">
        <f aca="false">'Get Started'!$C$4-150+3</f>
        <v>46405</v>
      </c>
      <c r="D497" s="47" t="s">
        <v>66</v>
      </c>
      <c r="E497" s="47" t="s">
        <v>127</v>
      </c>
      <c r="F497" s="47" t="s">
        <v>138</v>
      </c>
    </row>
    <row r="498" customFormat="false" ht="15" hidden="false" customHeight="false" outlineLevel="0" collapsed="false">
      <c r="A498" s="55" t="n">
        <f aca="false">FALSE()</f>
        <v>0</v>
      </c>
      <c r="B498" s="56" t="s">
        <v>639</v>
      </c>
      <c r="C498" s="46" t="n">
        <f aca="false">'Get Started'!$C$4-150+3</f>
        <v>46405</v>
      </c>
      <c r="D498" s="45" t="s">
        <v>66</v>
      </c>
      <c r="E498" s="45" t="s">
        <v>127</v>
      </c>
      <c r="F498" s="45" t="s">
        <v>138</v>
      </c>
    </row>
    <row r="499" customFormat="false" ht="15" hidden="false" customHeight="false" outlineLevel="0" collapsed="false">
      <c r="A499" s="53" t="n">
        <f aca="false">FALSE()</f>
        <v>0</v>
      </c>
      <c r="B499" s="54" t="s">
        <v>640</v>
      </c>
      <c r="C499" s="48" t="n">
        <f aca="false">'Get Started'!$C$4-150+3</f>
        <v>46405</v>
      </c>
      <c r="D499" s="47" t="s">
        <v>66</v>
      </c>
      <c r="E499" s="47" t="s">
        <v>127</v>
      </c>
      <c r="F499" s="47" t="s">
        <v>138</v>
      </c>
    </row>
    <row r="500" customFormat="false" ht="15" hidden="false" customHeight="false" outlineLevel="0" collapsed="false">
      <c r="A500" s="55" t="n">
        <f aca="false">FALSE()</f>
        <v>0</v>
      </c>
      <c r="B500" s="56" t="s">
        <v>641</v>
      </c>
      <c r="C500" s="46" t="n">
        <f aca="false">'Get Started'!$C$4-150+3</f>
        <v>46405</v>
      </c>
      <c r="D500" s="45" t="s">
        <v>66</v>
      </c>
      <c r="E500" s="45" t="s">
        <v>127</v>
      </c>
      <c r="F500" s="45" t="s">
        <v>138</v>
      </c>
    </row>
    <row r="501" customFormat="false" ht="15" hidden="false" customHeight="false" outlineLevel="0" collapsed="false">
      <c r="A501" s="53" t="n">
        <f aca="false">FALSE()</f>
        <v>0</v>
      </c>
      <c r="B501" s="54" t="s">
        <v>642</v>
      </c>
      <c r="C501" s="48" t="n">
        <f aca="false">'Get Started'!$C$4-150+3</f>
        <v>46405</v>
      </c>
      <c r="D501" s="47" t="s">
        <v>66</v>
      </c>
      <c r="E501" s="47" t="s">
        <v>127</v>
      </c>
      <c r="F501" s="47" t="s">
        <v>138</v>
      </c>
    </row>
    <row r="502" customFormat="false" ht="15" hidden="false" customHeight="false" outlineLevel="0" collapsed="false">
      <c r="A502" s="55" t="n">
        <f aca="false">FALSE()</f>
        <v>0</v>
      </c>
      <c r="B502" s="56" t="s">
        <v>643</v>
      </c>
      <c r="C502" s="46" t="n">
        <f aca="false">'Get Started'!$C$4-150+3</f>
        <v>46405</v>
      </c>
      <c r="D502" s="45" t="s">
        <v>66</v>
      </c>
      <c r="E502" s="45" t="s">
        <v>127</v>
      </c>
      <c r="F502" s="45" t="s">
        <v>138</v>
      </c>
    </row>
    <row r="503" customFormat="false" ht="15" hidden="false" customHeight="false" outlineLevel="0" collapsed="false">
      <c r="A503" s="53" t="n">
        <f aca="false">FALSE()</f>
        <v>0</v>
      </c>
      <c r="B503" s="54" t="s">
        <v>644</v>
      </c>
      <c r="C503" s="48" t="n">
        <f aca="false">'Get Started'!$C$4-150+3</f>
        <v>46405</v>
      </c>
      <c r="D503" s="47" t="s">
        <v>66</v>
      </c>
      <c r="E503" s="47" t="s">
        <v>127</v>
      </c>
      <c r="F503" s="47" t="s">
        <v>138</v>
      </c>
    </row>
    <row r="504" customFormat="false" ht="15" hidden="false" customHeight="false" outlineLevel="0" collapsed="false">
      <c r="A504" s="55" t="n">
        <f aca="false">FALSE()</f>
        <v>0</v>
      </c>
      <c r="B504" s="56" t="s">
        <v>645</v>
      </c>
      <c r="C504" s="46" t="n">
        <f aca="false">'Get Started'!$C$4-150+4</f>
        <v>46406</v>
      </c>
      <c r="D504" s="45" t="s">
        <v>66</v>
      </c>
      <c r="E504" s="45" t="s">
        <v>127</v>
      </c>
      <c r="F504" s="45" t="s">
        <v>138</v>
      </c>
    </row>
    <row r="505" customFormat="false" ht="15" hidden="false" customHeight="false" outlineLevel="0" collapsed="false">
      <c r="A505" s="53" t="n">
        <f aca="false">FALSE()</f>
        <v>0</v>
      </c>
      <c r="B505" s="54" t="s">
        <v>646</v>
      </c>
      <c r="C505" s="48" t="n">
        <f aca="false">'Get Started'!$C$4-150+4</f>
        <v>46406</v>
      </c>
      <c r="D505" s="47" t="s">
        <v>66</v>
      </c>
      <c r="E505" s="47" t="s">
        <v>127</v>
      </c>
      <c r="F505" s="47" t="s">
        <v>138</v>
      </c>
    </row>
    <row r="506" customFormat="false" ht="15" hidden="false" customHeight="false" outlineLevel="0" collapsed="false">
      <c r="A506" s="55" t="n">
        <f aca="false">FALSE()</f>
        <v>0</v>
      </c>
      <c r="B506" s="56" t="s">
        <v>647</v>
      </c>
      <c r="C506" s="46" t="n">
        <f aca="false">'Get Started'!$C$4-150+4</f>
        <v>46406</v>
      </c>
      <c r="D506" s="45" t="s">
        <v>66</v>
      </c>
      <c r="E506" s="45" t="s">
        <v>127</v>
      </c>
      <c r="F506" s="45" t="s">
        <v>138</v>
      </c>
    </row>
    <row r="507" customFormat="false" ht="15" hidden="false" customHeight="false" outlineLevel="0" collapsed="false">
      <c r="A507" s="53" t="n">
        <f aca="false">FALSE()</f>
        <v>0</v>
      </c>
      <c r="B507" s="54" t="s">
        <v>648</v>
      </c>
      <c r="C507" s="48" t="n">
        <f aca="false">'Get Started'!$C$4-150+4</f>
        <v>46406</v>
      </c>
      <c r="D507" s="47" t="s">
        <v>66</v>
      </c>
      <c r="E507" s="47" t="s">
        <v>127</v>
      </c>
      <c r="F507" s="47" t="s">
        <v>138</v>
      </c>
    </row>
    <row r="508" customFormat="false" ht="15" hidden="false" customHeight="false" outlineLevel="0" collapsed="false">
      <c r="A508" s="55" t="n">
        <f aca="false">FALSE()</f>
        <v>0</v>
      </c>
      <c r="B508" s="56" t="s">
        <v>649</v>
      </c>
      <c r="C508" s="46" t="n">
        <f aca="false">'Get Started'!$C$4-150+4</f>
        <v>46406</v>
      </c>
      <c r="D508" s="45" t="s">
        <v>66</v>
      </c>
      <c r="E508" s="45" t="s">
        <v>127</v>
      </c>
      <c r="F508" s="45" t="s">
        <v>138</v>
      </c>
    </row>
    <row r="509" customFormat="false" ht="15" hidden="false" customHeight="false" outlineLevel="0" collapsed="false">
      <c r="A509" s="53" t="n">
        <f aca="false">FALSE()</f>
        <v>0</v>
      </c>
      <c r="B509" s="54" t="s">
        <v>650</v>
      </c>
      <c r="C509" s="48" t="n">
        <f aca="false">'Get Started'!$C$4-150+4</f>
        <v>46406</v>
      </c>
      <c r="D509" s="47" t="s">
        <v>66</v>
      </c>
      <c r="E509" s="47" t="s">
        <v>127</v>
      </c>
      <c r="F509" s="47" t="s">
        <v>138</v>
      </c>
    </row>
    <row r="510" customFormat="false" ht="15" hidden="false" customHeight="false" outlineLevel="0" collapsed="false">
      <c r="A510" s="55" t="n">
        <f aca="false">FALSE()</f>
        <v>0</v>
      </c>
      <c r="B510" s="56" t="s">
        <v>651</v>
      </c>
      <c r="C510" s="46" t="n">
        <f aca="false">'Get Started'!$C$4-150+4</f>
        <v>46406</v>
      </c>
      <c r="D510" s="45" t="s">
        <v>66</v>
      </c>
      <c r="E510" s="45" t="s">
        <v>127</v>
      </c>
      <c r="F510" s="45" t="s">
        <v>138</v>
      </c>
    </row>
    <row r="511" customFormat="false" ht="15" hidden="false" customHeight="false" outlineLevel="0" collapsed="false">
      <c r="A511" s="53" t="n">
        <f aca="false">FALSE()</f>
        <v>0</v>
      </c>
      <c r="B511" s="54" t="s">
        <v>652</v>
      </c>
      <c r="C511" s="48" t="n">
        <f aca="false">'Get Started'!$C$4-150+4</f>
        <v>46406</v>
      </c>
      <c r="D511" s="47" t="s">
        <v>66</v>
      </c>
      <c r="E511" s="47" t="s">
        <v>127</v>
      </c>
      <c r="F511" s="47" t="s">
        <v>138</v>
      </c>
    </row>
    <row r="512" customFormat="false" ht="15" hidden="false" customHeight="false" outlineLevel="0" collapsed="false">
      <c r="A512" s="55" t="n">
        <f aca="false">FALSE()</f>
        <v>0</v>
      </c>
      <c r="B512" s="56" t="s">
        <v>653</v>
      </c>
      <c r="C512" s="46" t="n">
        <f aca="false">'Get Started'!$C$4-150+4</f>
        <v>46406</v>
      </c>
      <c r="D512" s="45" t="s">
        <v>66</v>
      </c>
      <c r="E512" s="45" t="s">
        <v>127</v>
      </c>
      <c r="F512" s="45" t="s">
        <v>138</v>
      </c>
    </row>
    <row r="513" customFormat="false" ht="15" hidden="false" customHeight="false" outlineLevel="0" collapsed="false">
      <c r="A513" s="53" t="n">
        <f aca="false">FALSE()</f>
        <v>0</v>
      </c>
      <c r="B513" s="54" t="s">
        <v>654</v>
      </c>
      <c r="C513" s="48" t="n">
        <f aca="false">'Get Started'!$C$4-150+5</f>
        <v>46407</v>
      </c>
      <c r="D513" s="47" t="s">
        <v>66</v>
      </c>
      <c r="E513" s="47" t="s">
        <v>127</v>
      </c>
      <c r="F513" s="47" t="s">
        <v>138</v>
      </c>
    </row>
    <row r="514" customFormat="false" ht="15" hidden="false" customHeight="false" outlineLevel="0" collapsed="false">
      <c r="A514" s="55" t="n">
        <f aca="false">FALSE()</f>
        <v>0</v>
      </c>
      <c r="B514" s="56" t="s">
        <v>655</v>
      </c>
      <c r="C514" s="46" t="n">
        <f aca="false">'Get Started'!$C$4-90+-5</f>
        <v>46457</v>
      </c>
      <c r="D514" s="45" t="s">
        <v>66</v>
      </c>
      <c r="E514" s="45" t="s">
        <v>127</v>
      </c>
      <c r="F514" s="45" t="s">
        <v>140</v>
      </c>
    </row>
    <row r="515" customFormat="false" ht="15" hidden="false" customHeight="false" outlineLevel="0" collapsed="false">
      <c r="A515" s="53" t="n">
        <f aca="false">FALSE()</f>
        <v>0</v>
      </c>
      <c r="B515" s="54" t="s">
        <v>656</v>
      </c>
      <c r="C515" s="48" t="n">
        <f aca="false">'Get Started'!$C$4-90+-5</f>
        <v>46457</v>
      </c>
      <c r="D515" s="47" t="s">
        <v>66</v>
      </c>
      <c r="E515" s="47" t="s">
        <v>127</v>
      </c>
      <c r="F515" s="47" t="s">
        <v>140</v>
      </c>
    </row>
    <row r="516" customFormat="false" ht="15" hidden="false" customHeight="false" outlineLevel="0" collapsed="false">
      <c r="A516" s="55" t="n">
        <f aca="false">FALSE()</f>
        <v>0</v>
      </c>
      <c r="B516" s="56" t="s">
        <v>657</v>
      </c>
      <c r="C516" s="46" t="n">
        <f aca="false">'Get Started'!$C$4-90+-5</f>
        <v>46457</v>
      </c>
      <c r="D516" s="45" t="s">
        <v>66</v>
      </c>
      <c r="E516" s="45" t="s">
        <v>127</v>
      </c>
      <c r="F516" s="45" t="s">
        <v>140</v>
      </c>
    </row>
    <row r="517" customFormat="false" ht="15" hidden="false" customHeight="false" outlineLevel="0" collapsed="false">
      <c r="A517" s="53" t="n">
        <f aca="false">FALSE()</f>
        <v>0</v>
      </c>
      <c r="B517" s="54" t="s">
        <v>658</v>
      </c>
      <c r="C517" s="48" t="n">
        <f aca="false">'Get Started'!$C$4-90+-5</f>
        <v>46457</v>
      </c>
      <c r="D517" s="47" t="s">
        <v>66</v>
      </c>
      <c r="E517" s="47" t="s">
        <v>127</v>
      </c>
      <c r="F517" s="47" t="s">
        <v>140</v>
      </c>
    </row>
    <row r="518" customFormat="false" ht="15" hidden="false" customHeight="false" outlineLevel="0" collapsed="false">
      <c r="A518" s="55" t="n">
        <f aca="false">FALSE()</f>
        <v>0</v>
      </c>
      <c r="B518" s="56" t="s">
        <v>659</v>
      </c>
      <c r="C518" s="46" t="n">
        <f aca="false">'Get Started'!$C$4-90+-5</f>
        <v>46457</v>
      </c>
      <c r="D518" s="45" t="s">
        <v>66</v>
      </c>
      <c r="E518" s="45" t="s">
        <v>127</v>
      </c>
      <c r="F518" s="45" t="s">
        <v>140</v>
      </c>
    </row>
    <row r="519" customFormat="false" ht="15" hidden="false" customHeight="false" outlineLevel="0" collapsed="false">
      <c r="A519" s="53" t="n">
        <f aca="false">FALSE()</f>
        <v>0</v>
      </c>
      <c r="B519" s="54" t="s">
        <v>660</v>
      </c>
      <c r="C519" s="48" t="n">
        <f aca="false">'Get Started'!$C$4-90+-5</f>
        <v>46457</v>
      </c>
      <c r="D519" s="47" t="s">
        <v>66</v>
      </c>
      <c r="E519" s="47" t="s">
        <v>127</v>
      </c>
      <c r="F519" s="47" t="s">
        <v>140</v>
      </c>
    </row>
    <row r="520" customFormat="false" ht="15" hidden="false" customHeight="false" outlineLevel="0" collapsed="false">
      <c r="A520" s="55" t="n">
        <f aca="false">FALSE()</f>
        <v>0</v>
      </c>
      <c r="B520" s="56" t="s">
        <v>661</v>
      </c>
      <c r="C520" s="46" t="n">
        <f aca="false">'Get Started'!$C$4-90+-5</f>
        <v>46457</v>
      </c>
      <c r="D520" s="45" t="s">
        <v>66</v>
      </c>
      <c r="E520" s="45" t="s">
        <v>127</v>
      </c>
      <c r="F520" s="45" t="s">
        <v>140</v>
      </c>
    </row>
    <row r="521" customFormat="false" ht="15" hidden="false" customHeight="false" outlineLevel="0" collapsed="false">
      <c r="A521" s="53" t="n">
        <f aca="false">FALSE()</f>
        <v>0</v>
      </c>
      <c r="B521" s="54" t="s">
        <v>662</v>
      </c>
      <c r="C521" s="48" t="n">
        <f aca="false">'Get Started'!$C$4-90+-5</f>
        <v>46457</v>
      </c>
      <c r="D521" s="47" t="s">
        <v>66</v>
      </c>
      <c r="E521" s="47" t="s">
        <v>127</v>
      </c>
      <c r="F521" s="47" t="s">
        <v>140</v>
      </c>
    </row>
    <row r="522" customFormat="false" ht="15" hidden="false" customHeight="false" outlineLevel="0" collapsed="false">
      <c r="A522" s="55" t="n">
        <f aca="false">FALSE()</f>
        <v>0</v>
      </c>
      <c r="B522" s="56" t="s">
        <v>663</v>
      </c>
      <c r="C522" s="46" t="n">
        <f aca="false">'Get Started'!$C$4-90+-5</f>
        <v>46457</v>
      </c>
      <c r="D522" s="45" t="s">
        <v>66</v>
      </c>
      <c r="E522" s="45" t="s">
        <v>127</v>
      </c>
      <c r="F522" s="45" t="s">
        <v>140</v>
      </c>
    </row>
    <row r="523" customFormat="false" ht="15" hidden="false" customHeight="false" outlineLevel="0" collapsed="false">
      <c r="A523" s="53" t="n">
        <f aca="false">FALSE()</f>
        <v>0</v>
      </c>
      <c r="B523" s="54" t="s">
        <v>664</v>
      </c>
      <c r="C523" s="48" t="n">
        <f aca="false">'Get Started'!$C$4-90+-5</f>
        <v>46457</v>
      </c>
      <c r="D523" s="47" t="s">
        <v>66</v>
      </c>
      <c r="E523" s="47" t="s">
        <v>127</v>
      </c>
      <c r="F523" s="47" t="s">
        <v>140</v>
      </c>
    </row>
    <row r="524" customFormat="false" ht="15" hidden="false" customHeight="false" outlineLevel="0" collapsed="false">
      <c r="A524" s="55" t="n">
        <f aca="false">FALSE()</f>
        <v>0</v>
      </c>
      <c r="B524" s="56" t="s">
        <v>665</v>
      </c>
      <c r="C524" s="46" t="n">
        <f aca="false">'Get Started'!$C$4-90+-4</f>
        <v>46458</v>
      </c>
      <c r="D524" s="45" t="s">
        <v>66</v>
      </c>
      <c r="E524" s="45" t="s">
        <v>127</v>
      </c>
      <c r="F524" s="45" t="s">
        <v>140</v>
      </c>
    </row>
    <row r="525" customFormat="false" ht="15" hidden="false" customHeight="false" outlineLevel="0" collapsed="false">
      <c r="A525" s="53" t="n">
        <f aca="false">FALSE()</f>
        <v>0</v>
      </c>
      <c r="B525" s="54" t="s">
        <v>666</v>
      </c>
      <c r="C525" s="48" t="n">
        <f aca="false">'Get Started'!$C$4-90+-4</f>
        <v>46458</v>
      </c>
      <c r="D525" s="47" t="s">
        <v>66</v>
      </c>
      <c r="E525" s="47" t="s">
        <v>127</v>
      </c>
      <c r="F525" s="47" t="s">
        <v>140</v>
      </c>
    </row>
    <row r="526" customFormat="false" ht="15" hidden="false" customHeight="false" outlineLevel="0" collapsed="false">
      <c r="A526" s="55" t="n">
        <f aca="false">FALSE()</f>
        <v>0</v>
      </c>
      <c r="B526" s="56" t="s">
        <v>667</v>
      </c>
      <c r="C526" s="46" t="n">
        <f aca="false">'Get Started'!$C$4-90+-4</f>
        <v>46458</v>
      </c>
      <c r="D526" s="45" t="s">
        <v>66</v>
      </c>
      <c r="E526" s="45" t="s">
        <v>127</v>
      </c>
      <c r="F526" s="45" t="s">
        <v>140</v>
      </c>
    </row>
    <row r="527" customFormat="false" ht="15" hidden="false" customHeight="false" outlineLevel="0" collapsed="false">
      <c r="A527" s="53" t="n">
        <f aca="false">FALSE()</f>
        <v>0</v>
      </c>
      <c r="B527" s="54" t="s">
        <v>668</v>
      </c>
      <c r="C527" s="48" t="n">
        <f aca="false">'Get Started'!$C$4-90+-4</f>
        <v>46458</v>
      </c>
      <c r="D527" s="47" t="s">
        <v>66</v>
      </c>
      <c r="E527" s="47" t="s">
        <v>127</v>
      </c>
      <c r="F527" s="47" t="s">
        <v>140</v>
      </c>
    </row>
    <row r="528" customFormat="false" ht="15" hidden="false" customHeight="false" outlineLevel="0" collapsed="false">
      <c r="A528" s="55" t="n">
        <f aca="false">FALSE()</f>
        <v>0</v>
      </c>
      <c r="B528" s="56" t="s">
        <v>669</v>
      </c>
      <c r="C528" s="46" t="n">
        <f aca="false">'Get Started'!$C$4-90+-4</f>
        <v>46458</v>
      </c>
      <c r="D528" s="45" t="s">
        <v>66</v>
      </c>
      <c r="E528" s="45" t="s">
        <v>127</v>
      </c>
      <c r="F528" s="45" t="s">
        <v>140</v>
      </c>
    </row>
    <row r="529" customFormat="false" ht="15" hidden="false" customHeight="false" outlineLevel="0" collapsed="false">
      <c r="A529" s="53" t="n">
        <f aca="false">FALSE()</f>
        <v>0</v>
      </c>
      <c r="B529" s="54" t="s">
        <v>670</v>
      </c>
      <c r="C529" s="48" t="n">
        <f aca="false">'Get Started'!$C$4-90+-4</f>
        <v>46458</v>
      </c>
      <c r="D529" s="47" t="s">
        <v>66</v>
      </c>
      <c r="E529" s="47" t="s">
        <v>127</v>
      </c>
      <c r="F529" s="47" t="s">
        <v>140</v>
      </c>
    </row>
    <row r="530" customFormat="false" ht="15" hidden="false" customHeight="false" outlineLevel="0" collapsed="false">
      <c r="A530" s="55" t="n">
        <f aca="false">FALSE()</f>
        <v>0</v>
      </c>
      <c r="B530" s="56" t="s">
        <v>671</v>
      </c>
      <c r="C530" s="46" t="n">
        <f aca="false">'Get Started'!$C$4-90+-4</f>
        <v>46458</v>
      </c>
      <c r="D530" s="45" t="s">
        <v>66</v>
      </c>
      <c r="E530" s="45" t="s">
        <v>127</v>
      </c>
      <c r="F530" s="45" t="s">
        <v>140</v>
      </c>
    </row>
    <row r="531" customFormat="false" ht="15" hidden="false" customHeight="false" outlineLevel="0" collapsed="false">
      <c r="A531" s="53" t="n">
        <f aca="false">FALSE()</f>
        <v>0</v>
      </c>
      <c r="B531" s="54" t="s">
        <v>672</v>
      </c>
      <c r="C531" s="48" t="n">
        <f aca="false">'Get Started'!$C$4-90+-4</f>
        <v>46458</v>
      </c>
      <c r="D531" s="47" t="s">
        <v>66</v>
      </c>
      <c r="E531" s="47" t="s">
        <v>127</v>
      </c>
      <c r="F531" s="47" t="s">
        <v>140</v>
      </c>
    </row>
    <row r="532" customFormat="false" ht="15" hidden="false" customHeight="false" outlineLevel="0" collapsed="false">
      <c r="A532" s="55" t="n">
        <f aca="false">FALSE()</f>
        <v>0</v>
      </c>
      <c r="B532" s="56" t="s">
        <v>673</v>
      </c>
      <c r="C532" s="46" t="n">
        <f aca="false">'Get Started'!$C$4-90+-4</f>
        <v>46458</v>
      </c>
      <c r="D532" s="45" t="s">
        <v>66</v>
      </c>
      <c r="E532" s="45" t="s">
        <v>127</v>
      </c>
      <c r="F532" s="45" t="s">
        <v>140</v>
      </c>
    </row>
    <row r="533" customFormat="false" ht="15" hidden="false" customHeight="false" outlineLevel="0" collapsed="false">
      <c r="A533" s="53" t="n">
        <f aca="false">FALSE()</f>
        <v>0</v>
      </c>
      <c r="B533" s="54" t="s">
        <v>674</v>
      </c>
      <c r="C533" s="48" t="n">
        <f aca="false">'Get Started'!$C$4-90+-3</f>
        <v>46459</v>
      </c>
      <c r="D533" s="47" t="s">
        <v>66</v>
      </c>
      <c r="E533" s="47" t="s">
        <v>127</v>
      </c>
      <c r="F533" s="47" t="s">
        <v>140</v>
      </c>
    </row>
    <row r="534" customFormat="false" ht="15" hidden="false" customHeight="false" outlineLevel="0" collapsed="false">
      <c r="A534" s="55" t="n">
        <f aca="false">FALSE()</f>
        <v>0</v>
      </c>
      <c r="B534" s="56" t="s">
        <v>675</v>
      </c>
      <c r="C534" s="46" t="n">
        <f aca="false">'Get Started'!$C$4-90+-3</f>
        <v>46459</v>
      </c>
      <c r="D534" s="45" t="s">
        <v>66</v>
      </c>
      <c r="E534" s="45" t="s">
        <v>127</v>
      </c>
      <c r="F534" s="45" t="s">
        <v>140</v>
      </c>
    </row>
    <row r="535" customFormat="false" ht="15" hidden="false" customHeight="false" outlineLevel="0" collapsed="false">
      <c r="A535" s="53" t="n">
        <f aca="false">FALSE()</f>
        <v>0</v>
      </c>
      <c r="B535" s="54" t="s">
        <v>676</v>
      </c>
      <c r="C535" s="48" t="n">
        <f aca="false">'Get Started'!$C$4-90+-3</f>
        <v>46459</v>
      </c>
      <c r="D535" s="47" t="s">
        <v>66</v>
      </c>
      <c r="E535" s="47" t="s">
        <v>127</v>
      </c>
      <c r="F535" s="47" t="s">
        <v>140</v>
      </c>
    </row>
    <row r="536" customFormat="false" ht="15" hidden="false" customHeight="false" outlineLevel="0" collapsed="false">
      <c r="A536" s="55" t="n">
        <f aca="false">FALSE()</f>
        <v>0</v>
      </c>
      <c r="B536" s="56" t="s">
        <v>677</v>
      </c>
      <c r="C536" s="46" t="n">
        <f aca="false">'Get Started'!$C$4-90+-3</f>
        <v>46459</v>
      </c>
      <c r="D536" s="45" t="s">
        <v>66</v>
      </c>
      <c r="E536" s="45" t="s">
        <v>127</v>
      </c>
      <c r="F536" s="45" t="s">
        <v>140</v>
      </c>
    </row>
    <row r="537" customFormat="false" ht="15" hidden="false" customHeight="false" outlineLevel="0" collapsed="false">
      <c r="A537" s="53" t="n">
        <f aca="false">FALSE()</f>
        <v>0</v>
      </c>
      <c r="B537" s="54" t="s">
        <v>678</v>
      </c>
      <c r="C537" s="48" t="n">
        <f aca="false">'Get Started'!$C$4-90+-3</f>
        <v>46459</v>
      </c>
      <c r="D537" s="47" t="s">
        <v>66</v>
      </c>
      <c r="E537" s="47" t="s">
        <v>127</v>
      </c>
      <c r="F537" s="47" t="s">
        <v>140</v>
      </c>
    </row>
    <row r="538" customFormat="false" ht="15" hidden="false" customHeight="false" outlineLevel="0" collapsed="false">
      <c r="A538" s="55" t="n">
        <f aca="false">FALSE()</f>
        <v>0</v>
      </c>
      <c r="B538" s="56" t="s">
        <v>679</v>
      </c>
      <c r="C538" s="46" t="n">
        <f aca="false">'Get Started'!$C$4-90+-3</f>
        <v>46459</v>
      </c>
      <c r="D538" s="45" t="s">
        <v>66</v>
      </c>
      <c r="E538" s="45" t="s">
        <v>127</v>
      </c>
      <c r="F538" s="45" t="s">
        <v>140</v>
      </c>
    </row>
    <row r="539" customFormat="false" ht="15" hidden="false" customHeight="false" outlineLevel="0" collapsed="false">
      <c r="A539" s="53" t="n">
        <f aca="false">FALSE()</f>
        <v>0</v>
      </c>
      <c r="B539" s="54" t="s">
        <v>680</v>
      </c>
      <c r="C539" s="48" t="n">
        <f aca="false">'Get Started'!$C$4-90+-3</f>
        <v>46459</v>
      </c>
      <c r="D539" s="47" t="s">
        <v>66</v>
      </c>
      <c r="E539" s="47" t="s">
        <v>127</v>
      </c>
      <c r="F539" s="47" t="s">
        <v>140</v>
      </c>
    </row>
    <row r="540" customFormat="false" ht="15" hidden="false" customHeight="false" outlineLevel="0" collapsed="false">
      <c r="A540" s="55" t="n">
        <f aca="false">FALSE()</f>
        <v>0</v>
      </c>
      <c r="B540" s="56" t="s">
        <v>681</v>
      </c>
      <c r="C540" s="46" t="n">
        <f aca="false">'Get Started'!$C$4-90+-3</f>
        <v>46459</v>
      </c>
      <c r="D540" s="45" t="s">
        <v>66</v>
      </c>
      <c r="E540" s="45" t="s">
        <v>127</v>
      </c>
      <c r="F540" s="45" t="s">
        <v>140</v>
      </c>
    </row>
    <row r="541" customFormat="false" ht="15" hidden="false" customHeight="false" outlineLevel="0" collapsed="false">
      <c r="A541" s="53" t="n">
        <f aca="false">FALSE()</f>
        <v>0</v>
      </c>
      <c r="B541" s="54" t="s">
        <v>682</v>
      </c>
      <c r="C541" s="48" t="n">
        <f aca="false">'Get Started'!$C$4-90+-3</f>
        <v>46459</v>
      </c>
      <c r="D541" s="47" t="s">
        <v>66</v>
      </c>
      <c r="E541" s="47" t="s">
        <v>127</v>
      </c>
      <c r="F541" s="47" t="s">
        <v>140</v>
      </c>
    </row>
    <row r="542" customFormat="false" ht="15" hidden="false" customHeight="false" outlineLevel="0" collapsed="false">
      <c r="A542" s="55" t="n">
        <f aca="false">FALSE()</f>
        <v>0</v>
      </c>
      <c r="B542" s="56" t="s">
        <v>683</v>
      </c>
      <c r="C542" s="46" t="n">
        <f aca="false">'Get Started'!$C$4-90+-3</f>
        <v>46459</v>
      </c>
      <c r="D542" s="45" t="s">
        <v>66</v>
      </c>
      <c r="E542" s="45" t="s">
        <v>127</v>
      </c>
      <c r="F542" s="45" t="s">
        <v>140</v>
      </c>
    </row>
    <row r="543" customFormat="false" ht="15" hidden="false" customHeight="false" outlineLevel="0" collapsed="false">
      <c r="A543" s="53" t="n">
        <f aca="false">FALSE()</f>
        <v>0</v>
      </c>
      <c r="B543" s="54" t="s">
        <v>684</v>
      </c>
      <c r="C543" s="48" t="n">
        <f aca="false">'Get Started'!$C$4-90+-2</f>
        <v>46460</v>
      </c>
      <c r="D543" s="47" t="s">
        <v>66</v>
      </c>
      <c r="E543" s="47" t="s">
        <v>127</v>
      </c>
      <c r="F543" s="47" t="s">
        <v>140</v>
      </c>
    </row>
    <row r="544" customFormat="false" ht="15" hidden="false" customHeight="false" outlineLevel="0" collapsed="false">
      <c r="A544" s="55" t="n">
        <f aca="false">FALSE()</f>
        <v>0</v>
      </c>
      <c r="B544" s="56" t="s">
        <v>685</v>
      </c>
      <c r="C544" s="46" t="n">
        <f aca="false">'Get Started'!$C$4-90+-2</f>
        <v>46460</v>
      </c>
      <c r="D544" s="45" t="s">
        <v>66</v>
      </c>
      <c r="E544" s="45" t="s">
        <v>127</v>
      </c>
      <c r="F544" s="45" t="s">
        <v>140</v>
      </c>
    </row>
    <row r="545" customFormat="false" ht="15" hidden="false" customHeight="false" outlineLevel="0" collapsed="false">
      <c r="A545" s="53" t="n">
        <f aca="false">FALSE()</f>
        <v>0</v>
      </c>
      <c r="B545" s="54" t="s">
        <v>686</v>
      </c>
      <c r="C545" s="48" t="n">
        <f aca="false">'Get Started'!$C$4-90+-2</f>
        <v>46460</v>
      </c>
      <c r="D545" s="47" t="s">
        <v>66</v>
      </c>
      <c r="E545" s="47" t="s">
        <v>127</v>
      </c>
      <c r="F545" s="47" t="s">
        <v>140</v>
      </c>
    </row>
    <row r="546" customFormat="false" ht="15" hidden="false" customHeight="false" outlineLevel="0" collapsed="false">
      <c r="A546" s="55" t="n">
        <f aca="false">FALSE()</f>
        <v>0</v>
      </c>
      <c r="B546" s="56" t="s">
        <v>687</v>
      </c>
      <c r="C546" s="46" t="n">
        <f aca="false">'Get Started'!$C$4-90+-2</f>
        <v>46460</v>
      </c>
      <c r="D546" s="45" t="s">
        <v>66</v>
      </c>
      <c r="E546" s="45" t="s">
        <v>127</v>
      </c>
      <c r="F546" s="45" t="s">
        <v>140</v>
      </c>
    </row>
    <row r="547" customFormat="false" ht="15" hidden="false" customHeight="false" outlineLevel="0" collapsed="false">
      <c r="A547" s="53" t="n">
        <f aca="false">FALSE()</f>
        <v>0</v>
      </c>
      <c r="B547" s="54" t="s">
        <v>688</v>
      </c>
      <c r="C547" s="48" t="n">
        <f aca="false">'Get Started'!$C$4-90+-2</f>
        <v>46460</v>
      </c>
      <c r="D547" s="47" t="s">
        <v>66</v>
      </c>
      <c r="E547" s="47" t="s">
        <v>127</v>
      </c>
      <c r="F547" s="47" t="s">
        <v>140</v>
      </c>
    </row>
    <row r="548" customFormat="false" ht="15" hidden="false" customHeight="false" outlineLevel="0" collapsed="false">
      <c r="A548" s="55" t="n">
        <f aca="false">FALSE()</f>
        <v>0</v>
      </c>
      <c r="B548" s="56" t="s">
        <v>689</v>
      </c>
      <c r="C548" s="46" t="n">
        <f aca="false">'Get Started'!$C$4-90+-2</f>
        <v>46460</v>
      </c>
      <c r="D548" s="45" t="s">
        <v>66</v>
      </c>
      <c r="E548" s="45" t="s">
        <v>127</v>
      </c>
      <c r="F548" s="45" t="s">
        <v>140</v>
      </c>
    </row>
    <row r="549" customFormat="false" ht="15" hidden="false" customHeight="false" outlineLevel="0" collapsed="false">
      <c r="A549" s="53" t="n">
        <f aca="false">FALSE()</f>
        <v>0</v>
      </c>
      <c r="B549" s="54" t="s">
        <v>690</v>
      </c>
      <c r="C549" s="48" t="n">
        <f aca="false">'Get Started'!$C$4-90+-2</f>
        <v>46460</v>
      </c>
      <c r="D549" s="47" t="s">
        <v>66</v>
      </c>
      <c r="E549" s="47" t="s">
        <v>127</v>
      </c>
      <c r="F549" s="47" t="s">
        <v>140</v>
      </c>
    </row>
    <row r="550" customFormat="false" ht="15" hidden="false" customHeight="false" outlineLevel="0" collapsed="false">
      <c r="A550" s="55" t="n">
        <f aca="false">FALSE()</f>
        <v>0</v>
      </c>
      <c r="B550" s="56" t="s">
        <v>691</v>
      </c>
      <c r="C550" s="46" t="n">
        <f aca="false">'Get Started'!$C$4-90+-2</f>
        <v>46460</v>
      </c>
      <c r="D550" s="45" t="s">
        <v>66</v>
      </c>
      <c r="E550" s="45" t="s">
        <v>127</v>
      </c>
      <c r="F550" s="45" t="s">
        <v>140</v>
      </c>
    </row>
    <row r="551" customFormat="false" ht="15" hidden="false" customHeight="false" outlineLevel="0" collapsed="false">
      <c r="A551" s="53" t="n">
        <f aca="false">FALSE()</f>
        <v>0</v>
      </c>
      <c r="B551" s="54" t="s">
        <v>692</v>
      </c>
      <c r="C551" s="48" t="n">
        <f aca="false">'Get Started'!$C$4-90+-2</f>
        <v>46460</v>
      </c>
      <c r="D551" s="47" t="s">
        <v>66</v>
      </c>
      <c r="E551" s="47" t="s">
        <v>127</v>
      </c>
      <c r="F551" s="47" t="s">
        <v>140</v>
      </c>
    </row>
    <row r="552" customFormat="false" ht="15" hidden="false" customHeight="false" outlineLevel="0" collapsed="false">
      <c r="A552" s="55" t="n">
        <f aca="false">FALSE()</f>
        <v>0</v>
      </c>
      <c r="B552" s="56" t="s">
        <v>693</v>
      </c>
      <c r="C552" s="46" t="n">
        <f aca="false">'Get Started'!$C$4-90+-1</f>
        <v>46461</v>
      </c>
      <c r="D552" s="45" t="s">
        <v>66</v>
      </c>
      <c r="E552" s="45" t="s">
        <v>127</v>
      </c>
      <c r="F552" s="45" t="s">
        <v>140</v>
      </c>
    </row>
    <row r="553" customFormat="false" ht="15" hidden="false" customHeight="false" outlineLevel="0" collapsed="false">
      <c r="A553" s="53" t="n">
        <f aca="false">FALSE()</f>
        <v>0</v>
      </c>
      <c r="B553" s="54" t="s">
        <v>694</v>
      </c>
      <c r="C553" s="48" t="n">
        <f aca="false">'Get Started'!$C$4-90+-1</f>
        <v>46461</v>
      </c>
      <c r="D553" s="47" t="s">
        <v>66</v>
      </c>
      <c r="E553" s="47" t="s">
        <v>127</v>
      </c>
      <c r="F553" s="47" t="s">
        <v>140</v>
      </c>
    </row>
    <row r="554" customFormat="false" ht="15" hidden="false" customHeight="false" outlineLevel="0" collapsed="false">
      <c r="A554" s="55" t="n">
        <f aca="false">FALSE()</f>
        <v>0</v>
      </c>
      <c r="B554" s="56" t="s">
        <v>695</v>
      </c>
      <c r="C554" s="46" t="n">
        <f aca="false">'Get Started'!$C$4-90+-1</f>
        <v>46461</v>
      </c>
      <c r="D554" s="45" t="s">
        <v>66</v>
      </c>
      <c r="E554" s="45" t="s">
        <v>127</v>
      </c>
      <c r="F554" s="45" t="s">
        <v>140</v>
      </c>
    </row>
    <row r="555" customFormat="false" ht="15" hidden="false" customHeight="false" outlineLevel="0" collapsed="false">
      <c r="A555" s="53" t="n">
        <f aca="false">FALSE()</f>
        <v>0</v>
      </c>
      <c r="B555" s="54" t="s">
        <v>696</v>
      </c>
      <c r="C555" s="48" t="n">
        <f aca="false">'Get Started'!$C$4-90+-1</f>
        <v>46461</v>
      </c>
      <c r="D555" s="47" t="s">
        <v>66</v>
      </c>
      <c r="E555" s="47" t="s">
        <v>127</v>
      </c>
      <c r="F555" s="47" t="s">
        <v>140</v>
      </c>
    </row>
    <row r="556" customFormat="false" ht="15" hidden="false" customHeight="false" outlineLevel="0" collapsed="false">
      <c r="A556" s="55" t="n">
        <f aca="false">FALSE()</f>
        <v>0</v>
      </c>
      <c r="B556" s="56" t="s">
        <v>697</v>
      </c>
      <c r="C556" s="46" t="n">
        <f aca="false">'Get Started'!$C$4-90+-1</f>
        <v>46461</v>
      </c>
      <c r="D556" s="45" t="s">
        <v>66</v>
      </c>
      <c r="E556" s="45" t="s">
        <v>127</v>
      </c>
      <c r="F556" s="45" t="s">
        <v>140</v>
      </c>
    </row>
    <row r="557" customFormat="false" ht="15" hidden="false" customHeight="false" outlineLevel="0" collapsed="false">
      <c r="A557" s="53" t="n">
        <f aca="false">FALSE()</f>
        <v>0</v>
      </c>
      <c r="B557" s="54" t="s">
        <v>698</v>
      </c>
      <c r="C557" s="48" t="n">
        <f aca="false">'Get Started'!$C$4-90+-1</f>
        <v>46461</v>
      </c>
      <c r="D557" s="47" t="s">
        <v>66</v>
      </c>
      <c r="E557" s="47" t="s">
        <v>127</v>
      </c>
      <c r="F557" s="47" t="s">
        <v>140</v>
      </c>
    </row>
    <row r="558" customFormat="false" ht="15" hidden="false" customHeight="false" outlineLevel="0" collapsed="false">
      <c r="A558" s="55" t="n">
        <f aca="false">FALSE()</f>
        <v>0</v>
      </c>
      <c r="B558" s="56" t="s">
        <v>699</v>
      </c>
      <c r="C558" s="46" t="n">
        <f aca="false">'Get Started'!$C$4-90+-1</f>
        <v>46461</v>
      </c>
      <c r="D558" s="45" t="s">
        <v>66</v>
      </c>
      <c r="E558" s="45" t="s">
        <v>127</v>
      </c>
      <c r="F558" s="45" t="s">
        <v>140</v>
      </c>
    </row>
    <row r="559" customFormat="false" ht="15" hidden="false" customHeight="false" outlineLevel="0" collapsed="false">
      <c r="A559" s="53" t="n">
        <f aca="false">FALSE()</f>
        <v>0</v>
      </c>
      <c r="B559" s="54" t="s">
        <v>700</v>
      </c>
      <c r="C559" s="48" t="n">
        <f aca="false">'Get Started'!$C$4-90+-1</f>
        <v>46461</v>
      </c>
      <c r="D559" s="47" t="s">
        <v>66</v>
      </c>
      <c r="E559" s="47" t="s">
        <v>127</v>
      </c>
      <c r="F559" s="47" t="s">
        <v>140</v>
      </c>
    </row>
    <row r="560" customFormat="false" ht="15" hidden="false" customHeight="false" outlineLevel="0" collapsed="false">
      <c r="A560" s="55" t="n">
        <f aca="false">FALSE()</f>
        <v>0</v>
      </c>
      <c r="B560" s="56" t="s">
        <v>701</v>
      </c>
      <c r="C560" s="46" t="n">
        <f aca="false">'Get Started'!$C$4-90+-1</f>
        <v>46461</v>
      </c>
      <c r="D560" s="45" t="s">
        <v>66</v>
      </c>
      <c r="E560" s="45" t="s">
        <v>127</v>
      </c>
      <c r="F560" s="45" t="s">
        <v>140</v>
      </c>
    </row>
    <row r="561" customFormat="false" ht="15" hidden="false" customHeight="false" outlineLevel="0" collapsed="false">
      <c r="A561" s="53" t="n">
        <f aca="false">FALSE()</f>
        <v>0</v>
      </c>
      <c r="B561" s="54" t="s">
        <v>702</v>
      </c>
      <c r="C561" s="48" t="n">
        <f aca="false">'Get Started'!$C$4-90+-1</f>
        <v>46461</v>
      </c>
      <c r="D561" s="47" t="s">
        <v>66</v>
      </c>
      <c r="E561" s="47" t="s">
        <v>127</v>
      </c>
      <c r="F561" s="47" t="s">
        <v>140</v>
      </c>
    </row>
    <row r="562" customFormat="false" ht="15" hidden="false" customHeight="false" outlineLevel="0" collapsed="false">
      <c r="A562" s="55" t="n">
        <f aca="false">FALSE()</f>
        <v>0</v>
      </c>
      <c r="B562" s="56" t="s">
        <v>703</v>
      </c>
      <c r="C562" s="46" t="n">
        <f aca="false">'Get Started'!$C$4-90+0</f>
        <v>46462</v>
      </c>
      <c r="D562" s="45" t="s">
        <v>66</v>
      </c>
      <c r="E562" s="45" t="s">
        <v>127</v>
      </c>
      <c r="F562" s="45" t="s">
        <v>140</v>
      </c>
    </row>
    <row r="563" customFormat="false" ht="15" hidden="false" customHeight="false" outlineLevel="0" collapsed="false">
      <c r="A563" s="53" t="n">
        <f aca="false">FALSE()</f>
        <v>0</v>
      </c>
      <c r="B563" s="54" t="s">
        <v>704</v>
      </c>
      <c r="C563" s="48" t="n">
        <f aca="false">'Get Started'!$C$4-90+0</f>
        <v>46462</v>
      </c>
      <c r="D563" s="47" t="s">
        <v>66</v>
      </c>
      <c r="E563" s="47" t="s">
        <v>127</v>
      </c>
      <c r="F563" s="47" t="s">
        <v>140</v>
      </c>
    </row>
    <row r="564" customFormat="false" ht="15" hidden="false" customHeight="false" outlineLevel="0" collapsed="false">
      <c r="A564" s="55" t="n">
        <f aca="false">FALSE()</f>
        <v>0</v>
      </c>
      <c r="B564" s="56" t="s">
        <v>705</v>
      </c>
      <c r="C564" s="46" t="n">
        <f aca="false">'Get Started'!$C$4-90+0</f>
        <v>46462</v>
      </c>
      <c r="D564" s="45" t="s">
        <v>66</v>
      </c>
      <c r="E564" s="45" t="s">
        <v>127</v>
      </c>
      <c r="F564" s="45" t="s">
        <v>140</v>
      </c>
    </row>
    <row r="565" customFormat="false" ht="15" hidden="false" customHeight="false" outlineLevel="0" collapsed="false">
      <c r="A565" s="53" t="n">
        <f aca="false">FALSE()</f>
        <v>0</v>
      </c>
      <c r="B565" s="54" t="s">
        <v>706</v>
      </c>
      <c r="C565" s="48" t="n">
        <f aca="false">'Get Started'!$C$4-90+0</f>
        <v>46462</v>
      </c>
      <c r="D565" s="47" t="s">
        <v>66</v>
      </c>
      <c r="E565" s="47" t="s">
        <v>127</v>
      </c>
      <c r="F565" s="47" t="s">
        <v>140</v>
      </c>
    </row>
    <row r="566" customFormat="false" ht="15" hidden="false" customHeight="false" outlineLevel="0" collapsed="false">
      <c r="A566" s="55" t="n">
        <f aca="false">FALSE()</f>
        <v>0</v>
      </c>
      <c r="B566" s="56" t="s">
        <v>707</v>
      </c>
      <c r="C566" s="46" t="n">
        <f aca="false">'Get Started'!$C$4-90+0</f>
        <v>46462</v>
      </c>
      <c r="D566" s="45" t="s">
        <v>66</v>
      </c>
      <c r="E566" s="45" t="s">
        <v>127</v>
      </c>
      <c r="F566" s="45" t="s">
        <v>140</v>
      </c>
    </row>
    <row r="567" customFormat="false" ht="15" hidden="false" customHeight="false" outlineLevel="0" collapsed="false">
      <c r="A567" s="53" t="n">
        <f aca="false">FALSE()</f>
        <v>0</v>
      </c>
      <c r="B567" s="54" t="s">
        <v>708</v>
      </c>
      <c r="C567" s="48" t="n">
        <f aca="false">'Get Started'!$C$4-90+0</f>
        <v>46462</v>
      </c>
      <c r="D567" s="47" t="s">
        <v>66</v>
      </c>
      <c r="E567" s="47" t="s">
        <v>127</v>
      </c>
      <c r="F567" s="47" t="s">
        <v>140</v>
      </c>
    </row>
    <row r="568" customFormat="false" ht="15" hidden="false" customHeight="false" outlineLevel="0" collapsed="false">
      <c r="A568" s="55" t="n">
        <f aca="false">FALSE()</f>
        <v>0</v>
      </c>
      <c r="B568" s="56" t="s">
        <v>709</v>
      </c>
      <c r="C568" s="46" t="n">
        <f aca="false">'Get Started'!$C$4-90+0</f>
        <v>46462</v>
      </c>
      <c r="D568" s="45" t="s">
        <v>66</v>
      </c>
      <c r="E568" s="45" t="s">
        <v>127</v>
      </c>
      <c r="F568" s="45" t="s">
        <v>140</v>
      </c>
    </row>
    <row r="569" customFormat="false" ht="15" hidden="false" customHeight="false" outlineLevel="0" collapsed="false">
      <c r="A569" s="53" t="n">
        <f aca="false">FALSE()</f>
        <v>0</v>
      </c>
      <c r="B569" s="54" t="s">
        <v>710</v>
      </c>
      <c r="C569" s="48" t="n">
        <f aca="false">'Get Started'!$C$4-90+0</f>
        <v>46462</v>
      </c>
      <c r="D569" s="47" t="s">
        <v>66</v>
      </c>
      <c r="E569" s="47" t="s">
        <v>127</v>
      </c>
      <c r="F569" s="47" t="s">
        <v>140</v>
      </c>
    </row>
    <row r="570" customFormat="false" ht="15" hidden="false" customHeight="false" outlineLevel="0" collapsed="false">
      <c r="A570" s="55" t="n">
        <f aca="false">FALSE()</f>
        <v>0</v>
      </c>
      <c r="B570" s="56" t="s">
        <v>711</v>
      </c>
      <c r="C570" s="46" t="n">
        <f aca="false">'Get Started'!$C$4-90+0</f>
        <v>46462</v>
      </c>
      <c r="D570" s="45" t="s">
        <v>66</v>
      </c>
      <c r="E570" s="45" t="s">
        <v>127</v>
      </c>
      <c r="F570" s="45" t="s">
        <v>140</v>
      </c>
    </row>
    <row r="571" customFormat="false" ht="15" hidden="false" customHeight="false" outlineLevel="0" collapsed="false">
      <c r="A571" s="53" t="n">
        <f aca="false">FALSE()</f>
        <v>0</v>
      </c>
      <c r="B571" s="54" t="s">
        <v>712</v>
      </c>
      <c r="C571" s="48" t="n">
        <f aca="false">'Get Started'!$C$4-90+1</f>
        <v>46463</v>
      </c>
      <c r="D571" s="47" t="s">
        <v>66</v>
      </c>
      <c r="E571" s="47" t="s">
        <v>127</v>
      </c>
      <c r="F571" s="47" t="s">
        <v>140</v>
      </c>
    </row>
    <row r="572" customFormat="false" ht="15" hidden="false" customHeight="false" outlineLevel="0" collapsed="false">
      <c r="A572" s="55" t="n">
        <f aca="false">FALSE()</f>
        <v>0</v>
      </c>
      <c r="B572" s="56" t="s">
        <v>713</v>
      </c>
      <c r="C572" s="46" t="n">
        <f aca="false">'Get Started'!$C$4-90+1</f>
        <v>46463</v>
      </c>
      <c r="D572" s="45" t="s">
        <v>66</v>
      </c>
      <c r="E572" s="45" t="s">
        <v>127</v>
      </c>
      <c r="F572" s="45" t="s">
        <v>140</v>
      </c>
    </row>
    <row r="573" customFormat="false" ht="15" hidden="false" customHeight="false" outlineLevel="0" collapsed="false">
      <c r="A573" s="53" t="n">
        <f aca="false">FALSE()</f>
        <v>0</v>
      </c>
      <c r="B573" s="54" t="s">
        <v>714</v>
      </c>
      <c r="C573" s="48" t="n">
        <f aca="false">'Get Started'!$C$4-90+1</f>
        <v>46463</v>
      </c>
      <c r="D573" s="47" t="s">
        <v>66</v>
      </c>
      <c r="E573" s="47" t="s">
        <v>127</v>
      </c>
      <c r="F573" s="47" t="s">
        <v>140</v>
      </c>
    </row>
    <row r="574" customFormat="false" ht="15" hidden="false" customHeight="false" outlineLevel="0" collapsed="false">
      <c r="A574" s="55" t="n">
        <f aca="false">FALSE()</f>
        <v>0</v>
      </c>
      <c r="B574" s="56" t="s">
        <v>715</v>
      </c>
      <c r="C574" s="46" t="n">
        <f aca="false">'Get Started'!$C$4-90+1</f>
        <v>46463</v>
      </c>
      <c r="D574" s="45" t="s">
        <v>66</v>
      </c>
      <c r="E574" s="45" t="s">
        <v>127</v>
      </c>
      <c r="F574" s="45" t="s">
        <v>140</v>
      </c>
    </row>
    <row r="575" customFormat="false" ht="15" hidden="false" customHeight="false" outlineLevel="0" collapsed="false">
      <c r="A575" s="53" t="n">
        <f aca="false">FALSE()</f>
        <v>0</v>
      </c>
      <c r="B575" s="54" t="s">
        <v>716</v>
      </c>
      <c r="C575" s="48" t="n">
        <f aca="false">'Get Started'!$C$4-90+1</f>
        <v>46463</v>
      </c>
      <c r="D575" s="47" t="s">
        <v>66</v>
      </c>
      <c r="E575" s="47" t="s">
        <v>127</v>
      </c>
      <c r="F575" s="47" t="s">
        <v>140</v>
      </c>
    </row>
    <row r="576" customFormat="false" ht="15" hidden="false" customHeight="false" outlineLevel="0" collapsed="false">
      <c r="A576" s="55" t="n">
        <f aca="false">FALSE()</f>
        <v>0</v>
      </c>
      <c r="B576" s="56" t="s">
        <v>717</v>
      </c>
      <c r="C576" s="46" t="n">
        <f aca="false">'Get Started'!$C$4-90+1</f>
        <v>46463</v>
      </c>
      <c r="D576" s="45" t="s">
        <v>66</v>
      </c>
      <c r="E576" s="45" t="s">
        <v>127</v>
      </c>
      <c r="F576" s="45" t="s">
        <v>140</v>
      </c>
    </row>
    <row r="577" customFormat="false" ht="15" hidden="false" customHeight="false" outlineLevel="0" collapsed="false">
      <c r="A577" s="53" t="n">
        <f aca="false">FALSE()</f>
        <v>0</v>
      </c>
      <c r="B577" s="54" t="s">
        <v>718</v>
      </c>
      <c r="C577" s="48" t="n">
        <f aca="false">'Get Started'!$C$4-90+1</f>
        <v>46463</v>
      </c>
      <c r="D577" s="47" t="s">
        <v>66</v>
      </c>
      <c r="E577" s="47" t="s">
        <v>127</v>
      </c>
      <c r="F577" s="47" t="s">
        <v>140</v>
      </c>
    </row>
    <row r="578" customFormat="false" ht="15" hidden="false" customHeight="false" outlineLevel="0" collapsed="false">
      <c r="A578" s="55" t="n">
        <f aca="false">FALSE()</f>
        <v>0</v>
      </c>
      <c r="B578" s="56" t="s">
        <v>719</v>
      </c>
      <c r="C578" s="46" t="n">
        <f aca="false">'Get Started'!$C$4-90+1</f>
        <v>46463</v>
      </c>
      <c r="D578" s="45" t="s">
        <v>66</v>
      </c>
      <c r="E578" s="45" t="s">
        <v>127</v>
      </c>
      <c r="F578" s="45" t="s">
        <v>140</v>
      </c>
    </row>
    <row r="579" customFormat="false" ht="15" hidden="false" customHeight="false" outlineLevel="0" collapsed="false">
      <c r="A579" s="53" t="n">
        <f aca="false">FALSE()</f>
        <v>0</v>
      </c>
      <c r="B579" s="54" t="s">
        <v>720</v>
      </c>
      <c r="C579" s="48" t="n">
        <f aca="false">'Get Started'!$C$4-90+1</f>
        <v>46463</v>
      </c>
      <c r="D579" s="47" t="s">
        <v>66</v>
      </c>
      <c r="E579" s="47" t="s">
        <v>127</v>
      </c>
      <c r="F579" s="47" t="s">
        <v>140</v>
      </c>
    </row>
    <row r="580" customFormat="false" ht="15" hidden="false" customHeight="false" outlineLevel="0" collapsed="false">
      <c r="A580" s="55" t="n">
        <f aca="false">FALSE()</f>
        <v>0</v>
      </c>
      <c r="B580" s="56" t="s">
        <v>721</v>
      </c>
      <c r="C580" s="46" t="n">
        <f aca="false">'Get Started'!$C$4-90+1</f>
        <v>46463</v>
      </c>
      <c r="D580" s="45" t="s">
        <v>66</v>
      </c>
      <c r="E580" s="45" t="s">
        <v>127</v>
      </c>
      <c r="F580" s="45" t="s">
        <v>140</v>
      </c>
    </row>
    <row r="581" customFormat="false" ht="15" hidden="false" customHeight="false" outlineLevel="0" collapsed="false">
      <c r="A581" s="53" t="n">
        <f aca="false">FALSE()</f>
        <v>0</v>
      </c>
      <c r="B581" s="54" t="s">
        <v>722</v>
      </c>
      <c r="C581" s="48" t="n">
        <f aca="false">'Get Started'!$C$4-90+2</f>
        <v>46464</v>
      </c>
      <c r="D581" s="47" t="s">
        <v>66</v>
      </c>
      <c r="E581" s="47" t="s">
        <v>127</v>
      </c>
      <c r="F581" s="47" t="s">
        <v>140</v>
      </c>
    </row>
    <row r="582" customFormat="false" ht="15" hidden="false" customHeight="false" outlineLevel="0" collapsed="false">
      <c r="A582" s="55" t="n">
        <f aca="false">FALSE()</f>
        <v>0</v>
      </c>
      <c r="B582" s="56" t="s">
        <v>723</v>
      </c>
      <c r="C582" s="46" t="n">
        <f aca="false">'Get Started'!$C$4-90+2</f>
        <v>46464</v>
      </c>
      <c r="D582" s="45" t="s">
        <v>66</v>
      </c>
      <c r="E582" s="45" t="s">
        <v>127</v>
      </c>
      <c r="F582" s="45" t="s">
        <v>140</v>
      </c>
    </row>
    <row r="583" customFormat="false" ht="15" hidden="false" customHeight="false" outlineLevel="0" collapsed="false">
      <c r="A583" s="53" t="n">
        <f aca="false">FALSE()</f>
        <v>0</v>
      </c>
      <c r="B583" s="54" t="s">
        <v>724</v>
      </c>
      <c r="C583" s="48" t="n">
        <f aca="false">'Get Started'!$C$4-90+2</f>
        <v>46464</v>
      </c>
      <c r="D583" s="47" t="s">
        <v>66</v>
      </c>
      <c r="E583" s="47" t="s">
        <v>127</v>
      </c>
      <c r="F583" s="47" t="s">
        <v>140</v>
      </c>
    </row>
    <row r="584" customFormat="false" ht="15" hidden="false" customHeight="false" outlineLevel="0" collapsed="false">
      <c r="A584" s="55" t="n">
        <f aca="false">FALSE()</f>
        <v>0</v>
      </c>
      <c r="B584" s="56" t="s">
        <v>725</v>
      </c>
      <c r="C584" s="46" t="n">
        <f aca="false">'Get Started'!$C$4-90+2</f>
        <v>46464</v>
      </c>
      <c r="D584" s="45" t="s">
        <v>66</v>
      </c>
      <c r="E584" s="45" t="s">
        <v>127</v>
      </c>
      <c r="F584" s="45" t="s">
        <v>140</v>
      </c>
    </row>
    <row r="585" customFormat="false" ht="15" hidden="false" customHeight="false" outlineLevel="0" collapsed="false">
      <c r="A585" s="53" t="n">
        <f aca="false">FALSE()</f>
        <v>0</v>
      </c>
      <c r="B585" s="54" t="s">
        <v>726</v>
      </c>
      <c r="C585" s="48" t="n">
        <f aca="false">'Get Started'!$C$4-90+2</f>
        <v>46464</v>
      </c>
      <c r="D585" s="47" t="s">
        <v>66</v>
      </c>
      <c r="E585" s="47" t="s">
        <v>127</v>
      </c>
      <c r="F585" s="47" t="s">
        <v>140</v>
      </c>
    </row>
    <row r="586" customFormat="false" ht="15" hidden="false" customHeight="false" outlineLevel="0" collapsed="false">
      <c r="A586" s="55" t="n">
        <f aca="false">FALSE()</f>
        <v>0</v>
      </c>
      <c r="B586" s="56" t="s">
        <v>727</v>
      </c>
      <c r="C586" s="46" t="n">
        <f aca="false">'Get Started'!$C$4-90+2</f>
        <v>46464</v>
      </c>
      <c r="D586" s="45" t="s">
        <v>66</v>
      </c>
      <c r="E586" s="45" t="s">
        <v>127</v>
      </c>
      <c r="F586" s="45" t="s">
        <v>140</v>
      </c>
    </row>
    <row r="587" customFormat="false" ht="15" hidden="false" customHeight="false" outlineLevel="0" collapsed="false">
      <c r="A587" s="53" t="n">
        <f aca="false">FALSE()</f>
        <v>0</v>
      </c>
      <c r="B587" s="54" t="s">
        <v>728</v>
      </c>
      <c r="C587" s="48" t="n">
        <f aca="false">'Get Started'!$C$4-90+2</f>
        <v>46464</v>
      </c>
      <c r="D587" s="47" t="s">
        <v>66</v>
      </c>
      <c r="E587" s="47" t="s">
        <v>127</v>
      </c>
      <c r="F587" s="47" t="s">
        <v>140</v>
      </c>
    </row>
    <row r="588" customFormat="false" ht="15" hidden="false" customHeight="false" outlineLevel="0" collapsed="false">
      <c r="A588" s="55" t="n">
        <f aca="false">FALSE()</f>
        <v>0</v>
      </c>
      <c r="B588" s="56" t="s">
        <v>729</v>
      </c>
      <c r="C588" s="46" t="n">
        <f aca="false">'Get Started'!$C$4-90+2</f>
        <v>46464</v>
      </c>
      <c r="D588" s="45" t="s">
        <v>66</v>
      </c>
      <c r="E588" s="45" t="s">
        <v>127</v>
      </c>
      <c r="F588" s="45" t="s">
        <v>140</v>
      </c>
    </row>
    <row r="589" customFormat="false" ht="15" hidden="false" customHeight="false" outlineLevel="0" collapsed="false">
      <c r="A589" s="53" t="n">
        <f aca="false">FALSE()</f>
        <v>0</v>
      </c>
      <c r="B589" s="54" t="s">
        <v>730</v>
      </c>
      <c r="C589" s="48" t="n">
        <f aca="false">'Get Started'!$C$4-90+2</f>
        <v>46464</v>
      </c>
      <c r="D589" s="47" t="s">
        <v>66</v>
      </c>
      <c r="E589" s="47" t="s">
        <v>127</v>
      </c>
      <c r="F589" s="47" t="s">
        <v>140</v>
      </c>
    </row>
    <row r="590" customFormat="false" ht="15" hidden="false" customHeight="false" outlineLevel="0" collapsed="false">
      <c r="A590" s="55" t="n">
        <f aca="false">FALSE()</f>
        <v>0</v>
      </c>
      <c r="B590" s="56" t="s">
        <v>731</v>
      </c>
      <c r="C590" s="46" t="n">
        <f aca="false">'Get Started'!$C$4-90+3</f>
        <v>46465</v>
      </c>
      <c r="D590" s="45" t="s">
        <v>66</v>
      </c>
      <c r="E590" s="45" t="s">
        <v>127</v>
      </c>
      <c r="F590" s="45" t="s">
        <v>140</v>
      </c>
    </row>
    <row r="591" customFormat="false" ht="15" hidden="false" customHeight="false" outlineLevel="0" collapsed="false">
      <c r="A591" s="53" t="n">
        <f aca="false">FALSE()</f>
        <v>0</v>
      </c>
      <c r="B591" s="54" t="s">
        <v>732</v>
      </c>
      <c r="C591" s="48" t="n">
        <f aca="false">'Get Started'!$C$4-90+3</f>
        <v>46465</v>
      </c>
      <c r="D591" s="47" t="s">
        <v>66</v>
      </c>
      <c r="E591" s="47" t="s">
        <v>127</v>
      </c>
      <c r="F591" s="47" t="s">
        <v>140</v>
      </c>
    </row>
    <row r="592" customFormat="false" ht="15" hidden="false" customHeight="false" outlineLevel="0" collapsed="false">
      <c r="A592" s="55" t="n">
        <f aca="false">FALSE()</f>
        <v>0</v>
      </c>
      <c r="B592" s="56" t="s">
        <v>733</v>
      </c>
      <c r="C592" s="46" t="n">
        <f aca="false">'Get Started'!$C$4-90+3</f>
        <v>46465</v>
      </c>
      <c r="D592" s="45" t="s">
        <v>66</v>
      </c>
      <c r="E592" s="45" t="s">
        <v>127</v>
      </c>
      <c r="F592" s="45" t="s">
        <v>140</v>
      </c>
    </row>
    <row r="593" customFormat="false" ht="15" hidden="false" customHeight="false" outlineLevel="0" collapsed="false">
      <c r="A593" s="53" t="n">
        <f aca="false">FALSE()</f>
        <v>0</v>
      </c>
      <c r="B593" s="54" t="s">
        <v>734</v>
      </c>
      <c r="C593" s="48" t="n">
        <f aca="false">'Get Started'!$C$4-90+3</f>
        <v>46465</v>
      </c>
      <c r="D593" s="47" t="s">
        <v>66</v>
      </c>
      <c r="E593" s="47" t="s">
        <v>127</v>
      </c>
      <c r="F593" s="47" t="s">
        <v>140</v>
      </c>
    </row>
    <row r="594" customFormat="false" ht="15" hidden="false" customHeight="false" outlineLevel="0" collapsed="false">
      <c r="A594" s="55" t="n">
        <f aca="false">FALSE()</f>
        <v>0</v>
      </c>
      <c r="B594" s="56" t="s">
        <v>735</v>
      </c>
      <c r="C594" s="46" t="n">
        <f aca="false">'Get Started'!$C$4-90+3</f>
        <v>46465</v>
      </c>
      <c r="D594" s="45" t="s">
        <v>66</v>
      </c>
      <c r="E594" s="45" t="s">
        <v>127</v>
      </c>
      <c r="F594" s="45" t="s">
        <v>140</v>
      </c>
    </row>
    <row r="595" customFormat="false" ht="15" hidden="false" customHeight="false" outlineLevel="0" collapsed="false">
      <c r="A595" s="53" t="n">
        <f aca="false">FALSE()</f>
        <v>0</v>
      </c>
      <c r="B595" s="54" t="s">
        <v>736</v>
      </c>
      <c r="C595" s="48" t="n">
        <f aca="false">'Get Started'!$C$4-90+3</f>
        <v>46465</v>
      </c>
      <c r="D595" s="47" t="s">
        <v>66</v>
      </c>
      <c r="E595" s="47" t="s">
        <v>127</v>
      </c>
      <c r="F595" s="47" t="s">
        <v>140</v>
      </c>
    </row>
    <row r="596" customFormat="false" ht="15" hidden="false" customHeight="false" outlineLevel="0" collapsed="false">
      <c r="A596" s="55" t="n">
        <f aca="false">FALSE()</f>
        <v>0</v>
      </c>
      <c r="B596" s="56" t="s">
        <v>737</v>
      </c>
      <c r="C596" s="46" t="n">
        <f aca="false">'Get Started'!$C$4-90+3</f>
        <v>46465</v>
      </c>
      <c r="D596" s="45" t="s">
        <v>66</v>
      </c>
      <c r="E596" s="45" t="s">
        <v>127</v>
      </c>
      <c r="F596" s="45" t="s">
        <v>140</v>
      </c>
    </row>
    <row r="597" customFormat="false" ht="15" hidden="false" customHeight="false" outlineLevel="0" collapsed="false">
      <c r="A597" s="53" t="n">
        <f aca="false">FALSE()</f>
        <v>0</v>
      </c>
      <c r="B597" s="54" t="s">
        <v>738</v>
      </c>
      <c r="C597" s="48" t="n">
        <f aca="false">'Get Started'!$C$4-90+3</f>
        <v>46465</v>
      </c>
      <c r="D597" s="47" t="s">
        <v>66</v>
      </c>
      <c r="E597" s="47" t="s">
        <v>127</v>
      </c>
      <c r="F597" s="47" t="s">
        <v>140</v>
      </c>
    </row>
    <row r="598" customFormat="false" ht="15" hidden="false" customHeight="false" outlineLevel="0" collapsed="false">
      <c r="A598" s="55" t="n">
        <f aca="false">FALSE()</f>
        <v>0</v>
      </c>
      <c r="B598" s="56" t="s">
        <v>739</v>
      </c>
      <c r="C598" s="46" t="n">
        <f aca="false">'Get Started'!$C$4-90+3</f>
        <v>46465</v>
      </c>
      <c r="D598" s="45" t="s">
        <v>66</v>
      </c>
      <c r="E598" s="45" t="s">
        <v>127</v>
      </c>
      <c r="F598" s="45" t="s">
        <v>140</v>
      </c>
    </row>
    <row r="599" customFormat="false" ht="15" hidden="false" customHeight="false" outlineLevel="0" collapsed="false">
      <c r="A599" s="53" t="n">
        <f aca="false">FALSE()</f>
        <v>0</v>
      </c>
      <c r="B599" s="54" t="s">
        <v>740</v>
      </c>
      <c r="C599" s="48" t="n">
        <f aca="false">'Get Started'!$C$4-90+3</f>
        <v>46465</v>
      </c>
      <c r="D599" s="47" t="s">
        <v>66</v>
      </c>
      <c r="E599" s="47" t="s">
        <v>127</v>
      </c>
      <c r="F599" s="47" t="s">
        <v>140</v>
      </c>
    </row>
    <row r="600" customFormat="false" ht="15" hidden="false" customHeight="false" outlineLevel="0" collapsed="false">
      <c r="A600" s="55" t="n">
        <f aca="false">FALSE()</f>
        <v>0</v>
      </c>
      <c r="B600" s="56" t="s">
        <v>741</v>
      </c>
      <c r="C600" s="46" t="n">
        <f aca="false">'Get Started'!$C$4-90+4</f>
        <v>46466</v>
      </c>
      <c r="D600" s="45" t="s">
        <v>66</v>
      </c>
      <c r="E600" s="45" t="s">
        <v>127</v>
      </c>
      <c r="F600" s="45" t="s">
        <v>140</v>
      </c>
    </row>
    <row r="601" customFormat="false" ht="15" hidden="false" customHeight="false" outlineLevel="0" collapsed="false">
      <c r="A601" s="53" t="n">
        <f aca="false">FALSE()</f>
        <v>0</v>
      </c>
      <c r="B601" s="54" t="s">
        <v>742</v>
      </c>
      <c r="C601" s="48" t="n">
        <f aca="false">'Get Started'!$C$4-90+4</f>
        <v>46466</v>
      </c>
      <c r="D601" s="47" t="s">
        <v>66</v>
      </c>
      <c r="E601" s="47" t="s">
        <v>127</v>
      </c>
      <c r="F601" s="47" t="s">
        <v>140</v>
      </c>
    </row>
    <row r="602" customFormat="false" ht="15" hidden="false" customHeight="false" outlineLevel="0" collapsed="false">
      <c r="A602" s="55" t="n">
        <f aca="false">FALSE()</f>
        <v>0</v>
      </c>
      <c r="B602" s="56" t="s">
        <v>743</v>
      </c>
      <c r="C602" s="46" t="n">
        <f aca="false">'Get Started'!$C$4-90+4</f>
        <v>46466</v>
      </c>
      <c r="D602" s="45" t="s">
        <v>66</v>
      </c>
      <c r="E602" s="45" t="s">
        <v>127</v>
      </c>
      <c r="F602" s="45" t="s">
        <v>140</v>
      </c>
    </row>
    <row r="603" customFormat="false" ht="15" hidden="false" customHeight="false" outlineLevel="0" collapsed="false">
      <c r="A603" s="53" t="n">
        <f aca="false">FALSE()</f>
        <v>0</v>
      </c>
      <c r="B603" s="54" t="s">
        <v>744</v>
      </c>
      <c r="C603" s="48" t="n">
        <f aca="false">'Get Started'!$C$4-90+4</f>
        <v>46466</v>
      </c>
      <c r="D603" s="47" t="s">
        <v>66</v>
      </c>
      <c r="E603" s="47" t="s">
        <v>127</v>
      </c>
      <c r="F603" s="47" t="s">
        <v>140</v>
      </c>
    </row>
    <row r="604" customFormat="false" ht="15" hidden="false" customHeight="false" outlineLevel="0" collapsed="false">
      <c r="A604" s="55" t="n">
        <f aca="false">FALSE()</f>
        <v>0</v>
      </c>
      <c r="B604" s="56" t="s">
        <v>745</v>
      </c>
      <c r="C604" s="46" t="n">
        <f aca="false">'Get Started'!$C$4-90+4</f>
        <v>46466</v>
      </c>
      <c r="D604" s="45" t="s">
        <v>66</v>
      </c>
      <c r="E604" s="45" t="s">
        <v>127</v>
      </c>
      <c r="F604" s="45" t="s">
        <v>140</v>
      </c>
    </row>
    <row r="605" customFormat="false" ht="15" hidden="false" customHeight="false" outlineLevel="0" collapsed="false">
      <c r="A605" s="53" t="n">
        <f aca="false">FALSE()</f>
        <v>0</v>
      </c>
      <c r="B605" s="54" t="s">
        <v>746</v>
      </c>
      <c r="C605" s="48" t="n">
        <f aca="false">'Get Started'!$C$4-90+4</f>
        <v>46466</v>
      </c>
      <c r="D605" s="47" t="s">
        <v>66</v>
      </c>
      <c r="E605" s="47" t="s">
        <v>127</v>
      </c>
      <c r="F605" s="47" t="s">
        <v>140</v>
      </c>
    </row>
    <row r="606" customFormat="false" ht="15" hidden="false" customHeight="false" outlineLevel="0" collapsed="false">
      <c r="A606" s="55" t="n">
        <f aca="false">FALSE()</f>
        <v>0</v>
      </c>
      <c r="B606" s="56" t="s">
        <v>747</v>
      </c>
      <c r="C606" s="46" t="n">
        <f aca="false">'Get Started'!$C$4-90+4</f>
        <v>46466</v>
      </c>
      <c r="D606" s="45" t="s">
        <v>66</v>
      </c>
      <c r="E606" s="45" t="s">
        <v>127</v>
      </c>
      <c r="F606" s="45" t="s">
        <v>140</v>
      </c>
    </row>
    <row r="607" customFormat="false" ht="15" hidden="false" customHeight="false" outlineLevel="0" collapsed="false">
      <c r="A607" s="53" t="n">
        <f aca="false">FALSE()</f>
        <v>0</v>
      </c>
      <c r="B607" s="54" t="s">
        <v>748</v>
      </c>
      <c r="C607" s="48" t="n">
        <f aca="false">'Get Started'!$C$4-90+4</f>
        <v>46466</v>
      </c>
      <c r="D607" s="47" t="s">
        <v>66</v>
      </c>
      <c r="E607" s="47" t="s">
        <v>127</v>
      </c>
      <c r="F607" s="47" t="s">
        <v>140</v>
      </c>
    </row>
    <row r="608" customFormat="false" ht="15" hidden="false" customHeight="false" outlineLevel="0" collapsed="false">
      <c r="A608" s="55" t="n">
        <f aca="false">FALSE()</f>
        <v>0</v>
      </c>
      <c r="B608" s="56" t="s">
        <v>749</v>
      </c>
      <c r="C608" s="46" t="n">
        <f aca="false">'Get Started'!$C$4-90+4</f>
        <v>46466</v>
      </c>
      <c r="D608" s="45" t="s">
        <v>66</v>
      </c>
      <c r="E608" s="45" t="s">
        <v>127</v>
      </c>
      <c r="F608" s="45" t="s">
        <v>140</v>
      </c>
    </row>
    <row r="609" customFormat="false" ht="15" hidden="false" customHeight="false" outlineLevel="0" collapsed="false">
      <c r="A609" s="53" t="n">
        <f aca="false">FALSE()</f>
        <v>0</v>
      </c>
      <c r="B609" s="54" t="s">
        <v>750</v>
      </c>
      <c r="C609" s="48" t="n">
        <f aca="false">'Get Started'!$C$4-90+5</f>
        <v>46467</v>
      </c>
      <c r="D609" s="47" t="s">
        <v>66</v>
      </c>
      <c r="E609" s="47" t="s">
        <v>127</v>
      </c>
      <c r="F609" s="47" t="s">
        <v>140</v>
      </c>
    </row>
    <row r="610" customFormat="false" ht="15" hidden="false" customHeight="false" outlineLevel="0" collapsed="false">
      <c r="A610" s="55" t="n">
        <f aca="false">FALSE()</f>
        <v>0</v>
      </c>
      <c r="B610" s="56" t="s">
        <v>751</v>
      </c>
      <c r="C610" s="46" t="n">
        <f aca="false">'Get Started'!$C$4-30+-5</f>
        <v>46517</v>
      </c>
      <c r="D610" s="45" t="s">
        <v>66</v>
      </c>
      <c r="E610" s="45" t="s">
        <v>127</v>
      </c>
      <c r="F610" s="45" t="s">
        <v>142</v>
      </c>
    </row>
    <row r="611" customFormat="false" ht="15" hidden="false" customHeight="false" outlineLevel="0" collapsed="false">
      <c r="A611" s="53" t="n">
        <f aca="false">FALSE()</f>
        <v>0</v>
      </c>
      <c r="B611" s="54" t="s">
        <v>752</v>
      </c>
      <c r="C611" s="48" t="n">
        <f aca="false">'Get Started'!$C$4-30+-5</f>
        <v>46517</v>
      </c>
      <c r="D611" s="47" t="s">
        <v>66</v>
      </c>
      <c r="E611" s="47" t="s">
        <v>127</v>
      </c>
      <c r="F611" s="47" t="s">
        <v>142</v>
      </c>
    </row>
    <row r="612" customFormat="false" ht="15" hidden="false" customHeight="false" outlineLevel="0" collapsed="false">
      <c r="A612" s="55" t="n">
        <f aca="false">FALSE()</f>
        <v>0</v>
      </c>
      <c r="B612" s="56" t="s">
        <v>753</v>
      </c>
      <c r="C612" s="46" t="n">
        <f aca="false">'Get Started'!$C$4-30+-5</f>
        <v>46517</v>
      </c>
      <c r="D612" s="45" t="s">
        <v>66</v>
      </c>
      <c r="E612" s="45" t="s">
        <v>127</v>
      </c>
      <c r="F612" s="45" t="s">
        <v>142</v>
      </c>
    </row>
    <row r="613" customFormat="false" ht="15" hidden="false" customHeight="false" outlineLevel="0" collapsed="false">
      <c r="A613" s="53" t="n">
        <f aca="false">FALSE()</f>
        <v>0</v>
      </c>
      <c r="B613" s="54" t="s">
        <v>754</v>
      </c>
      <c r="C613" s="48" t="n">
        <f aca="false">'Get Started'!$C$4-30+-5</f>
        <v>46517</v>
      </c>
      <c r="D613" s="47" t="s">
        <v>66</v>
      </c>
      <c r="E613" s="47" t="s">
        <v>127</v>
      </c>
      <c r="F613" s="47" t="s">
        <v>142</v>
      </c>
    </row>
    <row r="614" customFormat="false" ht="15" hidden="false" customHeight="false" outlineLevel="0" collapsed="false">
      <c r="A614" s="55" t="n">
        <f aca="false">FALSE()</f>
        <v>0</v>
      </c>
      <c r="B614" s="56" t="s">
        <v>755</v>
      </c>
      <c r="C614" s="46" t="n">
        <f aca="false">'Get Started'!$C$4-30+-5</f>
        <v>46517</v>
      </c>
      <c r="D614" s="45" t="s">
        <v>66</v>
      </c>
      <c r="E614" s="45" t="s">
        <v>127</v>
      </c>
      <c r="F614" s="45" t="s">
        <v>142</v>
      </c>
    </row>
    <row r="615" customFormat="false" ht="15" hidden="false" customHeight="false" outlineLevel="0" collapsed="false">
      <c r="A615" s="53" t="n">
        <f aca="false">FALSE()</f>
        <v>0</v>
      </c>
      <c r="B615" s="54" t="s">
        <v>756</v>
      </c>
      <c r="C615" s="48" t="n">
        <f aca="false">'Get Started'!$C$4-30+-5</f>
        <v>46517</v>
      </c>
      <c r="D615" s="47" t="s">
        <v>66</v>
      </c>
      <c r="E615" s="47" t="s">
        <v>127</v>
      </c>
      <c r="F615" s="47" t="s">
        <v>142</v>
      </c>
    </row>
    <row r="616" customFormat="false" ht="15" hidden="false" customHeight="false" outlineLevel="0" collapsed="false">
      <c r="A616" s="55" t="n">
        <f aca="false">FALSE()</f>
        <v>0</v>
      </c>
      <c r="B616" s="56" t="s">
        <v>757</v>
      </c>
      <c r="C616" s="46" t="n">
        <f aca="false">'Get Started'!$C$4-30+-4</f>
        <v>46518</v>
      </c>
      <c r="D616" s="45" t="s">
        <v>66</v>
      </c>
      <c r="E616" s="45" t="s">
        <v>127</v>
      </c>
      <c r="F616" s="45" t="s">
        <v>142</v>
      </c>
    </row>
    <row r="617" customFormat="false" ht="15" hidden="false" customHeight="false" outlineLevel="0" collapsed="false">
      <c r="A617" s="53" t="n">
        <f aca="false">FALSE()</f>
        <v>0</v>
      </c>
      <c r="B617" s="54" t="s">
        <v>758</v>
      </c>
      <c r="C617" s="48" t="n">
        <f aca="false">'Get Started'!$C$4-30+-4</f>
        <v>46518</v>
      </c>
      <c r="D617" s="47" t="s">
        <v>66</v>
      </c>
      <c r="E617" s="47" t="s">
        <v>127</v>
      </c>
      <c r="F617" s="47" t="s">
        <v>142</v>
      </c>
    </row>
    <row r="618" customFormat="false" ht="15" hidden="false" customHeight="false" outlineLevel="0" collapsed="false">
      <c r="A618" s="55" t="n">
        <f aca="false">FALSE()</f>
        <v>0</v>
      </c>
      <c r="B618" s="56" t="s">
        <v>759</v>
      </c>
      <c r="C618" s="46" t="n">
        <f aca="false">'Get Started'!$C$4-30+-4</f>
        <v>46518</v>
      </c>
      <c r="D618" s="45" t="s">
        <v>66</v>
      </c>
      <c r="E618" s="45" t="s">
        <v>127</v>
      </c>
      <c r="F618" s="45" t="s">
        <v>142</v>
      </c>
    </row>
    <row r="619" customFormat="false" ht="15" hidden="false" customHeight="false" outlineLevel="0" collapsed="false">
      <c r="A619" s="53" t="n">
        <f aca="false">FALSE()</f>
        <v>0</v>
      </c>
      <c r="B619" s="54" t="s">
        <v>760</v>
      </c>
      <c r="C619" s="48" t="n">
        <f aca="false">'Get Started'!$C$4-30+-4</f>
        <v>46518</v>
      </c>
      <c r="D619" s="47" t="s">
        <v>66</v>
      </c>
      <c r="E619" s="47" t="s">
        <v>127</v>
      </c>
      <c r="F619" s="47" t="s">
        <v>142</v>
      </c>
    </row>
    <row r="620" customFormat="false" ht="15" hidden="false" customHeight="false" outlineLevel="0" collapsed="false">
      <c r="A620" s="55" t="n">
        <f aca="false">FALSE()</f>
        <v>0</v>
      </c>
      <c r="B620" s="56" t="s">
        <v>761</v>
      </c>
      <c r="C620" s="46" t="n">
        <f aca="false">'Get Started'!$C$4-30+-4</f>
        <v>46518</v>
      </c>
      <c r="D620" s="45" t="s">
        <v>66</v>
      </c>
      <c r="E620" s="45" t="s">
        <v>127</v>
      </c>
      <c r="F620" s="45" t="s">
        <v>142</v>
      </c>
    </row>
    <row r="621" customFormat="false" ht="15" hidden="false" customHeight="false" outlineLevel="0" collapsed="false">
      <c r="A621" s="53" t="n">
        <f aca="false">FALSE()</f>
        <v>0</v>
      </c>
      <c r="B621" s="54" t="s">
        <v>762</v>
      </c>
      <c r="C621" s="48" t="n">
        <f aca="false">'Get Started'!$C$4-30+-4</f>
        <v>46518</v>
      </c>
      <c r="D621" s="47" t="s">
        <v>66</v>
      </c>
      <c r="E621" s="47" t="s">
        <v>127</v>
      </c>
      <c r="F621" s="47" t="s">
        <v>142</v>
      </c>
    </row>
    <row r="622" customFormat="false" ht="15" hidden="false" customHeight="false" outlineLevel="0" collapsed="false">
      <c r="A622" s="55" t="n">
        <f aca="false">FALSE()</f>
        <v>0</v>
      </c>
      <c r="B622" s="56" t="s">
        <v>763</v>
      </c>
      <c r="C622" s="46" t="n">
        <f aca="false">'Get Started'!$C$4-30+-3</f>
        <v>46519</v>
      </c>
      <c r="D622" s="45" t="s">
        <v>66</v>
      </c>
      <c r="E622" s="45" t="s">
        <v>127</v>
      </c>
      <c r="F622" s="45" t="s">
        <v>142</v>
      </c>
    </row>
    <row r="623" customFormat="false" ht="15" hidden="false" customHeight="false" outlineLevel="0" collapsed="false">
      <c r="A623" s="53" t="n">
        <f aca="false">FALSE()</f>
        <v>0</v>
      </c>
      <c r="B623" s="54" t="s">
        <v>764</v>
      </c>
      <c r="C623" s="48" t="n">
        <f aca="false">'Get Started'!$C$4-30+-3</f>
        <v>46519</v>
      </c>
      <c r="D623" s="47" t="s">
        <v>66</v>
      </c>
      <c r="E623" s="47" t="s">
        <v>127</v>
      </c>
      <c r="F623" s="47" t="s">
        <v>142</v>
      </c>
    </row>
    <row r="624" customFormat="false" ht="15" hidden="false" customHeight="false" outlineLevel="0" collapsed="false">
      <c r="A624" s="55" t="n">
        <f aca="false">FALSE()</f>
        <v>0</v>
      </c>
      <c r="B624" s="56" t="s">
        <v>765</v>
      </c>
      <c r="C624" s="46" t="n">
        <f aca="false">'Get Started'!$C$4-30+-3</f>
        <v>46519</v>
      </c>
      <c r="D624" s="45" t="s">
        <v>66</v>
      </c>
      <c r="E624" s="45" t="s">
        <v>127</v>
      </c>
      <c r="F624" s="45" t="s">
        <v>142</v>
      </c>
    </row>
    <row r="625" customFormat="false" ht="15" hidden="false" customHeight="false" outlineLevel="0" collapsed="false">
      <c r="A625" s="53" t="n">
        <f aca="false">FALSE()</f>
        <v>0</v>
      </c>
      <c r="B625" s="54" t="s">
        <v>766</v>
      </c>
      <c r="C625" s="48" t="n">
        <f aca="false">'Get Started'!$C$4-30+-3</f>
        <v>46519</v>
      </c>
      <c r="D625" s="47" t="s">
        <v>66</v>
      </c>
      <c r="E625" s="47" t="s">
        <v>127</v>
      </c>
      <c r="F625" s="47" t="s">
        <v>142</v>
      </c>
    </row>
    <row r="626" customFormat="false" ht="15" hidden="false" customHeight="false" outlineLevel="0" collapsed="false">
      <c r="A626" s="55" t="n">
        <f aca="false">FALSE()</f>
        <v>0</v>
      </c>
      <c r="B626" s="56" t="s">
        <v>767</v>
      </c>
      <c r="C626" s="46" t="n">
        <f aca="false">'Get Started'!$C$4-30+-3</f>
        <v>46519</v>
      </c>
      <c r="D626" s="45" t="s">
        <v>66</v>
      </c>
      <c r="E626" s="45" t="s">
        <v>127</v>
      </c>
      <c r="F626" s="45" t="s">
        <v>142</v>
      </c>
    </row>
    <row r="627" customFormat="false" ht="15" hidden="false" customHeight="false" outlineLevel="0" collapsed="false">
      <c r="A627" s="53" t="n">
        <f aca="false">FALSE()</f>
        <v>0</v>
      </c>
      <c r="B627" s="54" t="s">
        <v>768</v>
      </c>
      <c r="C627" s="48" t="n">
        <f aca="false">'Get Started'!$C$4-30+-2</f>
        <v>46520</v>
      </c>
      <c r="D627" s="47" t="s">
        <v>66</v>
      </c>
      <c r="E627" s="47" t="s">
        <v>127</v>
      </c>
      <c r="F627" s="47" t="s">
        <v>142</v>
      </c>
    </row>
    <row r="628" customFormat="false" ht="15" hidden="false" customHeight="false" outlineLevel="0" collapsed="false">
      <c r="A628" s="55" t="n">
        <f aca="false">FALSE()</f>
        <v>0</v>
      </c>
      <c r="B628" s="56" t="s">
        <v>769</v>
      </c>
      <c r="C628" s="46" t="n">
        <f aca="false">'Get Started'!$C$4-30+-2</f>
        <v>46520</v>
      </c>
      <c r="D628" s="45" t="s">
        <v>66</v>
      </c>
      <c r="E628" s="45" t="s">
        <v>127</v>
      </c>
      <c r="F628" s="45" t="s">
        <v>142</v>
      </c>
    </row>
    <row r="629" customFormat="false" ht="15" hidden="false" customHeight="false" outlineLevel="0" collapsed="false">
      <c r="A629" s="53" t="n">
        <f aca="false">FALSE()</f>
        <v>0</v>
      </c>
      <c r="B629" s="54" t="s">
        <v>770</v>
      </c>
      <c r="C629" s="48" t="n">
        <f aca="false">'Get Started'!$C$4-30+-2</f>
        <v>46520</v>
      </c>
      <c r="D629" s="47" t="s">
        <v>66</v>
      </c>
      <c r="E629" s="47" t="s">
        <v>127</v>
      </c>
      <c r="F629" s="47" t="s">
        <v>142</v>
      </c>
    </row>
    <row r="630" customFormat="false" ht="15" hidden="false" customHeight="false" outlineLevel="0" collapsed="false">
      <c r="A630" s="55" t="n">
        <f aca="false">FALSE()</f>
        <v>0</v>
      </c>
      <c r="B630" s="56" t="s">
        <v>771</v>
      </c>
      <c r="C630" s="46" t="n">
        <f aca="false">'Get Started'!$C$4-30+-2</f>
        <v>46520</v>
      </c>
      <c r="D630" s="45" t="s">
        <v>66</v>
      </c>
      <c r="E630" s="45" t="s">
        <v>127</v>
      </c>
      <c r="F630" s="45" t="s">
        <v>142</v>
      </c>
    </row>
    <row r="631" customFormat="false" ht="15" hidden="false" customHeight="false" outlineLevel="0" collapsed="false">
      <c r="A631" s="53" t="n">
        <f aca="false">FALSE()</f>
        <v>0</v>
      </c>
      <c r="B631" s="54" t="s">
        <v>772</v>
      </c>
      <c r="C631" s="48" t="n">
        <f aca="false">'Get Started'!$C$4-30+-2</f>
        <v>46520</v>
      </c>
      <c r="D631" s="47" t="s">
        <v>66</v>
      </c>
      <c r="E631" s="47" t="s">
        <v>127</v>
      </c>
      <c r="F631" s="47" t="s">
        <v>142</v>
      </c>
    </row>
    <row r="632" customFormat="false" ht="15" hidden="false" customHeight="false" outlineLevel="0" collapsed="false">
      <c r="A632" s="55" t="n">
        <f aca="false">FALSE()</f>
        <v>0</v>
      </c>
      <c r="B632" s="56" t="s">
        <v>773</v>
      </c>
      <c r="C632" s="46" t="n">
        <f aca="false">'Get Started'!$C$4-30+-2</f>
        <v>46520</v>
      </c>
      <c r="D632" s="45" t="s">
        <v>66</v>
      </c>
      <c r="E632" s="45" t="s">
        <v>127</v>
      </c>
      <c r="F632" s="45" t="s">
        <v>142</v>
      </c>
    </row>
    <row r="633" customFormat="false" ht="15" hidden="false" customHeight="false" outlineLevel="0" collapsed="false">
      <c r="A633" s="53" t="n">
        <f aca="false">FALSE()</f>
        <v>0</v>
      </c>
      <c r="B633" s="54" t="s">
        <v>774</v>
      </c>
      <c r="C633" s="48" t="n">
        <f aca="false">'Get Started'!$C$4-30+-1</f>
        <v>46521</v>
      </c>
      <c r="D633" s="47" t="s">
        <v>66</v>
      </c>
      <c r="E633" s="47" t="s">
        <v>127</v>
      </c>
      <c r="F633" s="47" t="s">
        <v>142</v>
      </c>
    </row>
    <row r="634" customFormat="false" ht="15" hidden="false" customHeight="false" outlineLevel="0" collapsed="false">
      <c r="A634" s="55" t="n">
        <f aca="false">FALSE()</f>
        <v>0</v>
      </c>
      <c r="B634" s="56" t="s">
        <v>775</v>
      </c>
      <c r="C634" s="46" t="n">
        <f aca="false">'Get Started'!$C$4-30+-1</f>
        <v>46521</v>
      </c>
      <c r="D634" s="45" t="s">
        <v>66</v>
      </c>
      <c r="E634" s="45" t="s">
        <v>127</v>
      </c>
      <c r="F634" s="45" t="s">
        <v>142</v>
      </c>
    </row>
    <row r="635" customFormat="false" ht="15" hidden="false" customHeight="false" outlineLevel="0" collapsed="false">
      <c r="A635" s="53" t="n">
        <f aca="false">FALSE()</f>
        <v>0</v>
      </c>
      <c r="B635" s="54" t="s">
        <v>776</v>
      </c>
      <c r="C635" s="48" t="n">
        <f aca="false">'Get Started'!$C$4-30+-1</f>
        <v>46521</v>
      </c>
      <c r="D635" s="47" t="s">
        <v>66</v>
      </c>
      <c r="E635" s="47" t="s">
        <v>127</v>
      </c>
      <c r="F635" s="47" t="s">
        <v>142</v>
      </c>
    </row>
    <row r="636" customFormat="false" ht="15" hidden="false" customHeight="false" outlineLevel="0" collapsed="false">
      <c r="A636" s="55" t="n">
        <f aca="false">FALSE()</f>
        <v>0</v>
      </c>
      <c r="B636" s="56" t="s">
        <v>777</v>
      </c>
      <c r="C636" s="46" t="n">
        <f aca="false">'Get Started'!$C$4-30+-1</f>
        <v>46521</v>
      </c>
      <c r="D636" s="45" t="s">
        <v>66</v>
      </c>
      <c r="E636" s="45" t="s">
        <v>127</v>
      </c>
      <c r="F636" s="45" t="s">
        <v>142</v>
      </c>
    </row>
    <row r="637" customFormat="false" ht="15" hidden="false" customHeight="false" outlineLevel="0" collapsed="false">
      <c r="A637" s="53" t="n">
        <f aca="false">FALSE()</f>
        <v>0</v>
      </c>
      <c r="B637" s="54" t="s">
        <v>778</v>
      </c>
      <c r="C637" s="48" t="n">
        <f aca="false">'Get Started'!$C$4-30+-1</f>
        <v>46521</v>
      </c>
      <c r="D637" s="47" t="s">
        <v>66</v>
      </c>
      <c r="E637" s="47" t="s">
        <v>127</v>
      </c>
      <c r="F637" s="47" t="s">
        <v>142</v>
      </c>
    </row>
    <row r="638" customFormat="false" ht="15" hidden="false" customHeight="false" outlineLevel="0" collapsed="false">
      <c r="A638" s="55" t="n">
        <f aca="false">FALSE()</f>
        <v>0</v>
      </c>
      <c r="B638" s="56" t="s">
        <v>779</v>
      </c>
      <c r="C638" s="46" t="n">
        <f aca="false">'Get Started'!$C$4-30+0</f>
        <v>46522</v>
      </c>
      <c r="D638" s="45" t="s">
        <v>66</v>
      </c>
      <c r="E638" s="45" t="s">
        <v>127</v>
      </c>
      <c r="F638" s="45" t="s">
        <v>142</v>
      </c>
    </row>
    <row r="639" customFormat="false" ht="15" hidden="false" customHeight="false" outlineLevel="0" collapsed="false">
      <c r="A639" s="53" t="n">
        <f aca="false">FALSE()</f>
        <v>0</v>
      </c>
      <c r="B639" s="54" t="s">
        <v>780</v>
      </c>
      <c r="C639" s="48" t="n">
        <f aca="false">'Get Started'!$C$4-30+0</f>
        <v>46522</v>
      </c>
      <c r="D639" s="47" t="s">
        <v>66</v>
      </c>
      <c r="E639" s="47" t="s">
        <v>127</v>
      </c>
      <c r="F639" s="47" t="s">
        <v>142</v>
      </c>
    </row>
    <row r="640" customFormat="false" ht="15" hidden="false" customHeight="false" outlineLevel="0" collapsed="false">
      <c r="A640" s="55" t="n">
        <f aca="false">FALSE()</f>
        <v>0</v>
      </c>
      <c r="B640" s="56" t="s">
        <v>781</v>
      </c>
      <c r="C640" s="46" t="n">
        <f aca="false">'Get Started'!$C$4-30+0</f>
        <v>46522</v>
      </c>
      <c r="D640" s="45" t="s">
        <v>66</v>
      </c>
      <c r="E640" s="45" t="s">
        <v>127</v>
      </c>
      <c r="F640" s="45" t="s">
        <v>142</v>
      </c>
    </row>
    <row r="641" customFormat="false" ht="15" hidden="false" customHeight="false" outlineLevel="0" collapsed="false">
      <c r="A641" s="53" t="n">
        <f aca="false">FALSE()</f>
        <v>0</v>
      </c>
      <c r="B641" s="54" t="s">
        <v>782</v>
      </c>
      <c r="C641" s="48" t="n">
        <f aca="false">'Get Started'!$C$4-30+0</f>
        <v>46522</v>
      </c>
      <c r="D641" s="47" t="s">
        <v>66</v>
      </c>
      <c r="E641" s="47" t="s">
        <v>127</v>
      </c>
      <c r="F641" s="47" t="s">
        <v>142</v>
      </c>
    </row>
    <row r="642" customFormat="false" ht="15" hidden="false" customHeight="false" outlineLevel="0" collapsed="false">
      <c r="A642" s="55" t="n">
        <f aca="false">FALSE()</f>
        <v>0</v>
      </c>
      <c r="B642" s="56" t="s">
        <v>783</v>
      </c>
      <c r="C642" s="46" t="n">
        <f aca="false">'Get Started'!$C$4-30+0</f>
        <v>46522</v>
      </c>
      <c r="D642" s="45" t="s">
        <v>66</v>
      </c>
      <c r="E642" s="45" t="s">
        <v>127</v>
      </c>
      <c r="F642" s="45" t="s">
        <v>142</v>
      </c>
    </row>
    <row r="643" customFormat="false" ht="15" hidden="false" customHeight="false" outlineLevel="0" collapsed="false">
      <c r="A643" s="53" t="n">
        <f aca="false">FALSE()</f>
        <v>0</v>
      </c>
      <c r="B643" s="54" t="s">
        <v>784</v>
      </c>
      <c r="C643" s="48" t="n">
        <f aca="false">'Get Started'!$C$4-30+0</f>
        <v>46522</v>
      </c>
      <c r="D643" s="47" t="s">
        <v>66</v>
      </c>
      <c r="E643" s="47" t="s">
        <v>127</v>
      </c>
      <c r="F643" s="47" t="s">
        <v>142</v>
      </c>
    </row>
    <row r="644" customFormat="false" ht="15" hidden="false" customHeight="false" outlineLevel="0" collapsed="false">
      <c r="A644" s="55" t="n">
        <f aca="false">FALSE()</f>
        <v>0</v>
      </c>
      <c r="B644" s="56" t="s">
        <v>785</v>
      </c>
      <c r="C644" s="46" t="n">
        <f aca="false">'Get Started'!$C$4-30+1</f>
        <v>46523</v>
      </c>
      <c r="D644" s="45" t="s">
        <v>66</v>
      </c>
      <c r="E644" s="45" t="s">
        <v>127</v>
      </c>
      <c r="F644" s="45" t="s">
        <v>142</v>
      </c>
    </row>
    <row r="645" customFormat="false" ht="15" hidden="false" customHeight="false" outlineLevel="0" collapsed="false">
      <c r="A645" s="53" t="n">
        <f aca="false">FALSE()</f>
        <v>0</v>
      </c>
      <c r="B645" s="54" t="s">
        <v>786</v>
      </c>
      <c r="C645" s="48" t="n">
        <f aca="false">'Get Started'!$C$4-30+1</f>
        <v>46523</v>
      </c>
      <c r="D645" s="47" t="s">
        <v>66</v>
      </c>
      <c r="E645" s="47" t="s">
        <v>127</v>
      </c>
      <c r="F645" s="47" t="s">
        <v>142</v>
      </c>
    </row>
    <row r="646" customFormat="false" ht="15" hidden="false" customHeight="false" outlineLevel="0" collapsed="false">
      <c r="A646" s="55" t="n">
        <f aca="false">FALSE()</f>
        <v>0</v>
      </c>
      <c r="B646" s="56" t="s">
        <v>787</v>
      </c>
      <c r="C646" s="46" t="n">
        <f aca="false">'Get Started'!$C$4-30+1</f>
        <v>46523</v>
      </c>
      <c r="D646" s="45" t="s">
        <v>66</v>
      </c>
      <c r="E646" s="45" t="s">
        <v>127</v>
      </c>
      <c r="F646" s="45" t="s">
        <v>142</v>
      </c>
    </row>
    <row r="647" customFormat="false" ht="15" hidden="false" customHeight="false" outlineLevel="0" collapsed="false">
      <c r="A647" s="53" t="n">
        <f aca="false">FALSE()</f>
        <v>0</v>
      </c>
      <c r="B647" s="54" t="s">
        <v>788</v>
      </c>
      <c r="C647" s="48" t="n">
        <f aca="false">'Get Started'!$C$4-30+1</f>
        <v>46523</v>
      </c>
      <c r="D647" s="47" t="s">
        <v>66</v>
      </c>
      <c r="E647" s="47" t="s">
        <v>127</v>
      </c>
      <c r="F647" s="47" t="s">
        <v>142</v>
      </c>
    </row>
    <row r="648" customFormat="false" ht="15" hidden="false" customHeight="false" outlineLevel="0" collapsed="false">
      <c r="A648" s="55" t="n">
        <f aca="false">FALSE()</f>
        <v>0</v>
      </c>
      <c r="B648" s="56" t="s">
        <v>789</v>
      </c>
      <c r="C648" s="46" t="n">
        <f aca="false">'Get Started'!$C$4-30+1</f>
        <v>46523</v>
      </c>
      <c r="D648" s="45" t="s">
        <v>66</v>
      </c>
      <c r="E648" s="45" t="s">
        <v>127</v>
      </c>
      <c r="F648" s="45" t="s">
        <v>142</v>
      </c>
    </row>
    <row r="649" customFormat="false" ht="15" hidden="false" customHeight="false" outlineLevel="0" collapsed="false">
      <c r="A649" s="53" t="n">
        <f aca="false">FALSE()</f>
        <v>0</v>
      </c>
      <c r="B649" s="54" t="s">
        <v>790</v>
      </c>
      <c r="C649" s="48" t="n">
        <f aca="false">'Get Started'!$C$4-30+1</f>
        <v>46523</v>
      </c>
      <c r="D649" s="47" t="s">
        <v>66</v>
      </c>
      <c r="E649" s="47" t="s">
        <v>127</v>
      </c>
      <c r="F649" s="47" t="s">
        <v>142</v>
      </c>
    </row>
    <row r="650" customFormat="false" ht="15" hidden="false" customHeight="false" outlineLevel="0" collapsed="false">
      <c r="A650" s="55" t="n">
        <f aca="false">FALSE()</f>
        <v>0</v>
      </c>
      <c r="B650" s="56" t="s">
        <v>791</v>
      </c>
      <c r="C650" s="46" t="n">
        <f aca="false">'Get Started'!$C$4-30+2</f>
        <v>46524</v>
      </c>
      <c r="D650" s="45" t="s">
        <v>66</v>
      </c>
      <c r="E650" s="45" t="s">
        <v>127</v>
      </c>
      <c r="F650" s="45" t="s">
        <v>142</v>
      </c>
    </row>
    <row r="651" customFormat="false" ht="15" hidden="false" customHeight="false" outlineLevel="0" collapsed="false">
      <c r="A651" s="53" t="n">
        <f aca="false">FALSE()</f>
        <v>0</v>
      </c>
      <c r="B651" s="54" t="s">
        <v>792</v>
      </c>
      <c r="C651" s="48" t="n">
        <f aca="false">'Get Started'!$C$4-30+2</f>
        <v>46524</v>
      </c>
      <c r="D651" s="47" t="s">
        <v>66</v>
      </c>
      <c r="E651" s="47" t="s">
        <v>127</v>
      </c>
      <c r="F651" s="47" t="s">
        <v>142</v>
      </c>
    </row>
    <row r="652" customFormat="false" ht="15" hidden="false" customHeight="false" outlineLevel="0" collapsed="false">
      <c r="A652" s="55" t="n">
        <f aca="false">FALSE()</f>
        <v>0</v>
      </c>
      <c r="B652" s="56" t="s">
        <v>793</v>
      </c>
      <c r="C652" s="46" t="n">
        <f aca="false">'Get Started'!$C$4-30+2</f>
        <v>46524</v>
      </c>
      <c r="D652" s="45" t="s">
        <v>66</v>
      </c>
      <c r="E652" s="45" t="s">
        <v>127</v>
      </c>
      <c r="F652" s="45" t="s">
        <v>142</v>
      </c>
    </row>
    <row r="653" customFormat="false" ht="15" hidden="false" customHeight="false" outlineLevel="0" collapsed="false">
      <c r="A653" s="53" t="n">
        <f aca="false">FALSE()</f>
        <v>0</v>
      </c>
      <c r="B653" s="54" t="s">
        <v>794</v>
      </c>
      <c r="C653" s="48" t="n">
        <f aca="false">'Get Started'!$C$4-30+2</f>
        <v>46524</v>
      </c>
      <c r="D653" s="47" t="s">
        <v>66</v>
      </c>
      <c r="E653" s="47" t="s">
        <v>127</v>
      </c>
      <c r="F653" s="47" t="s">
        <v>142</v>
      </c>
    </row>
    <row r="654" customFormat="false" ht="15" hidden="false" customHeight="false" outlineLevel="0" collapsed="false">
      <c r="A654" s="55" t="n">
        <f aca="false">FALSE()</f>
        <v>0</v>
      </c>
      <c r="B654" s="56" t="s">
        <v>795</v>
      </c>
      <c r="C654" s="46" t="n">
        <f aca="false">'Get Started'!$C$4-30+2</f>
        <v>46524</v>
      </c>
      <c r="D654" s="45" t="s">
        <v>66</v>
      </c>
      <c r="E654" s="45" t="s">
        <v>127</v>
      </c>
      <c r="F654" s="45" t="s">
        <v>142</v>
      </c>
    </row>
    <row r="655" customFormat="false" ht="15" hidden="false" customHeight="false" outlineLevel="0" collapsed="false">
      <c r="A655" s="53" t="n">
        <f aca="false">FALSE()</f>
        <v>0</v>
      </c>
      <c r="B655" s="54" t="s">
        <v>796</v>
      </c>
      <c r="C655" s="48" t="n">
        <f aca="false">'Get Started'!$C$4-30+3</f>
        <v>46525</v>
      </c>
      <c r="D655" s="47" t="s">
        <v>66</v>
      </c>
      <c r="E655" s="47" t="s">
        <v>127</v>
      </c>
      <c r="F655" s="47" t="s">
        <v>142</v>
      </c>
    </row>
    <row r="656" customFormat="false" ht="15" hidden="false" customHeight="false" outlineLevel="0" collapsed="false">
      <c r="A656" s="55" t="n">
        <f aca="false">FALSE()</f>
        <v>0</v>
      </c>
      <c r="B656" s="56" t="s">
        <v>797</v>
      </c>
      <c r="C656" s="46" t="n">
        <f aca="false">'Get Started'!$C$4-30+3</f>
        <v>46525</v>
      </c>
      <c r="D656" s="45" t="s">
        <v>66</v>
      </c>
      <c r="E656" s="45" t="s">
        <v>127</v>
      </c>
      <c r="F656" s="45" t="s">
        <v>142</v>
      </c>
    </row>
    <row r="657" customFormat="false" ht="15" hidden="false" customHeight="false" outlineLevel="0" collapsed="false">
      <c r="A657" s="53" t="n">
        <f aca="false">FALSE()</f>
        <v>0</v>
      </c>
      <c r="B657" s="54" t="s">
        <v>798</v>
      </c>
      <c r="C657" s="48" t="n">
        <f aca="false">'Get Started'!$C$4-30+3</f>
        <v>46525</v>
      </c>
      <c r="D657" s="47" t="s">
        <v>66</v>
      </c>
      <c r="E657" s="47" t="s">
        <v>127</v>
      </c>
      <c r="F657" s="47" t="s">
        <v>142</v>
      </c>
    </row>
    <row r="658" customFormat="false" ht="15" hidden="false" customHeight="false" outlineLevel="0" collapsed="false">
      <c r="A658" s="55" t="n">
        <f aca="false">FALSE()</f>
        <v>0</v>
      </c>
      <c r="B658" s="56" t="s">
        <v>799</v>
      </c>
      <c r="C658" s="46" t="n">
        <f aca="false">'Get Started'!$C$4-30+3</f>
        <v>46525</v>
      </c>
      <c r="D658" s="45" t="s">
        <v>66</v>
      </c>
      <c r="E658" s="45" t="s">
        <v>127</v>
      </c>
      <c r="F658" s="45" t="s">
        <v>142</v>
      </c>
    </row>
    <row r="659" customFormat="false" ht="15" hidden="false" customHeight="false" outlineLevel="0" collapsed="false">
      <c r="A659" s="53" t="n">
        <f aca="false">FALSE()</f>
        <v>0</v>
      </c>
      <c r="B659" s="54" t="s">
        <v>800</v>
      </c>
      <c r="C659" s="48" t="n">
        <f aca="false">'Get Started'!$C$4-30+3</f>
        <v>46525</v>
      </c>
      <c r="D659" s="47" t="s">
        <v>66</v>
      </c>
      <c r="E659" s="47" t="s">
        <v>127</v>
      </c>
      <c r="F659" s="47" t="s">
        <v>142</v>
      </c>
    </row>
    <row r="660" customFormat="false" ht="15" hidden="false" customHeight="false" outlineLevel="0" collapsed="false">
      <c r="A660" s="55" t="n">
        <f aca="false">FALSE()</f>
        <v>0</v>
      </c>
      <c r="B660" s="56" t="s">
        <v>801</v>
      </c>
      <c r="C660" s="46" t="n">
        <f aca="false">'Get Started'!$C$4-30+3</f>
        <v>46525</v>
      </c>
      <c r="D660" s="45" t="s">
        <v>66</v>
      </c>
      <c r="E660" s="45" t="s">
        <v>127</v>
      </c>
      <c r="F660" s="45" t="s">
        <v>142</v>
      </c>
    </row>
    <row r="661" customFormat="false" ht="15" hidden="false" customHeight="false" outlineLevel="0" collapsed="false">
      <c r="A661" s="53" t="n">
        <f aca="false">FALSE()</f>
        <v>0</v>
      </c>
      <c r="B661" s="54" t="s">
        <v>802</v>
      </c>
      <c r="C661" s="48" t="n">
        <f aca="false">'Get Started'!$C$4-30+4</f>
        <v>46526</v>
      </c>
      <c r="D661" s="47" t="s">
        <v>66</v>
      </c>
      <c r="E661" s="47" t="s">
        <v>127</v>
      </c>
      <c r="F661" s="47" t="s">
        <v>142</v>
      </c>
    </row>
    <row r="662" customFormat="false" ht="15" hidden="false" customHeight="false" outlineLevel="0" collapsed="false">
      <c r="A662" s="55" t="n">
        <f aca="false">FALSE()</f>
        <v>0</v>
      </c>
      <c r="B662" s="56" t="s">
        <v>803</v>
      </c>
      <c r="C662" s="46" t="n">
        <f aca="false">'Get Started'!$C$4-30+4</f>
        <v>46526</v>
      </c>
      <c r="D662" s="45" t="s">
        <v>66</v>
      </c>
      <c r="E662" s="45" t="s">
        <v>127</v>
      </c>
      <c r="F662" s="45" t="s">
        <v>142</v>
      </c>
    </row>
    <row r="663" customFormat="false" ht="15" hidden="false" customHeight="false" outlineLevel="0" collapsed="false">
      <c r="A663" s="53" t="n">
        <f aca="false">FALSE()</f>
        <v>0</v>
      </c>
      <c r="B663" s="54" t="s">
        <v>804</v>
      </c>
      <c r="C663" s="48" t="n">
        <f aca="false">'Get Started'!$C$4-30+4</f>
        <v>46526</v>
      </c>
      <c r="D663" s="47" t="s">
        <v>66</v>
      </c>
      <c r="E663" s="47" t="s">
        <v>127</v>
      </c>
      <c r="F663" s="47" t="s">
        <v>142</v>
      </c>
    </row>
    <row r="664" customFormat="false" ht="23.85" hidden="false" customHeight="false" outlineLevel="0" collapsed="false">
      <c r="A664" s="55" t="n">
        <f aca="false">FALSE()</f>
        <v>0</v>
      </c>
      <c r="B664" s="56" t="s">
        <v>805</v>
      </c>
      <c r="C664" s="46" t="n">
        <f aca="false">'Get Started'!$C$4-30+4</f>
        <v>46526</v>
      </c>
      <c r="D664" s="45" t="s">
        <v>66</v>
      </c>
      <c r="E664" s="45" t="s">
        <v>127</v>
      </c>
      <c r="F664" s="45" t="s">
        <v>142</v>
      </c>
    </row>
    <row r="665" customFormat="false" ht="15" hidden="false" customHeight="false" outlineLevel="0" collapsed="false">
      <c r="A665" s="53" t="n">
        <f aca="false">FALSE()</f>
        <v>0</v>
      </c>
      <c r="B665" s="54" t="s">
        <v>806</v>
      </c>
      <c r="C665" s="48" t="n">
        <f aca="false">'Get Started'!$C$4-30+4</f>
        <v>46526</v>
      </c>
      <c r="D665" s="47" t="s">
        <v>66</v>
      </c>
      <c r="E665" s="47" t="s">
        <v>127</v>
      </c>
      <c r="F665" s="47" t="s">
        <v>142</v>
      </c>
    </row>
    <row r="666" customFormat="false" ht="15" hidden="false" customHeight="false" outlineLevel="0" collapsed="false">
      <c r="A666" s="55" t="n">
        <f aca="false">FALSE()</f>
        <v>0</v>
      </c>
      <c r="B666" s="56" t="s">
        <v>807</v>
      </c>
      <c r="C666" s="46" t="n">
        <f aca="false">'Get Started'!$C$4-30+5</f>
        <v>46527</v>
      </c>
      <c r="D666" s="45" t="s">
        <v>66</v>
      </c>
      <c r="E666" s="45" t="s">
        <v>127</v>
      </c>
      <c r="F666" s="45" t="s">
        <v>142</v>
      </c>
    </row>
    <row r="667" customFormat="false" ht="15" hidden="false" customHeight="false" outlineLevel="0" collapsed="false">
      <c r="A667" s="53" t="n">
        <f aca="false">FALSE()</f>
        <v>0</v>
      </c>
      <c r="B667" s="54" t="s">
        <v>808</v>
      </c>
      <c r="C667" s="48" t="n">
        <f aca="false">'Get Started'!$C$4-14+-5</f>
        <v>46533</v>
      </c>
      <c r="D667" s="47" t="s">
        <v>66</v>
      </c>
      <c r="E667" s="47" t="s">
        <v>127</v>
      </c>
      <c r="F667" s="47" t="s">
        <v>144</v>
      </c>
    </row>
    <row r="668" customFormat="false" ht="15" hidden="false" customHeight="false" outlineLevel="0" collapsed="false">
      <c r="A668" s="55" t="n">
        <f aca="false">FALSE()</f>
        <v>0</v>
      </c>
      <c r="B668" s="56" t="s">
        <v>809</v>
      </c>
      <c r="C668" s="46" t="n">
        <f aca="false">'Get Started'!$C$4-14+-5</f>
        <v>46533</v>
      </c>
      <c r="D668" s="45" t="s">
        <v>66</v>
      </c>
      <c r="E668" s="45" t="s">
        <v>127</v>
      </c>
      <c r="F668" s="45" t="s">
        <v>144</v>
      </c>
    </row>
    <row r="669" customFormat="false" ht="15" hidden="false" customHeight="false" outlineLevel="0" collapsed="false">
      <c r="A669" s="53" t="n">
        <f aca="false">FALSE()</f>
        <v>0</v>
      </c>
      <c r="B669" s="54" t="s">
        <v>810</v>
      </c>
      <c r="C669" s="48" t="n">
        <f aca="false">'Get Started'!$C$4-14+-5</f>
        <v>46533</v>
      </c>
      <c r="D669" s="47" t="s">
        <v>66</v>
      </c>
      <c r="E669" s="47" t="s">
        <v>127</v>
      </c>
      <c r="F669" s="47" t="s">
        <v>144</v>
      </c>
    </row>
    <row r="670" customFormat="false" ht="15" hidden="false" customHeight="false" outlineLevel="0" collapsed="false">
      <c r="A670" s="55" t="n">
        <f aca="false">FALSE()</f>
        <v>0</v>
      </c>
      <c r="B670" s="56" t="s">
        <v>811</v>
      </c>
      <c r="C670" s="46" t="n">
        <f aca="false">'Get Started'!$C$4-14+-5</f>
        <v>46533</v>
      </c>
      <c r="D670" s="45" t="s">
        <v>66</v>
      </c>
      <c r="E670" s="45" t="s">
        <v>127</v>
      </c>
      <c r="F670" s="45" t="s">
        <v>144</v>
      </c>
    </row>
    <row r="671" customFormat="false" ht="15" hidden="false" customHeight="false" outlineLevel="0" collapsed="false">
      <c r="A671" s="53" t="n">
        <f aca="false">FALSE()</f>
        <v>0</v>
      </c>
      <c r="B671" s="54" t="s">
        <v>812</v>
      </c>
      <c r="C671" s="48" t="n">
        <f aca="false">'Get Started'!$C$4-14+-5</f>
        <v>46533</v>
      </c>
      <c r="D671" s="47" t="s">
        <v>66</v>
      </c>
      <c r="E671" s="47" t="s">
        <v>127</v>
      </c>
      <c r="F671" s="47" t="s">
        <v>144</v>
      </c>
    </row>
    <row r="672" customFormat="false" ht="15" hidden="false" customHeight="false" outlineLevel="0" collapsed="false">
      <c r="A672" s="55" t="n">
        <f aca="false">FALSE()</f>
        <v>0</v>
      </c>
      <c r="B672" s="56" t="s">
        <v>813</v>
      </c>
      <c r="C672" s="46" t="n">
        <f aca="false">'Get Started'!$C$4-14+-5</f>
        <v>46533</v>
      </c>
      <c r="D672" s="45" t="s">
        <v>66</v>
      </c>
      <c r="E672" s="45" t="s">
        <v>127</v>
      </c>
      <c r="F672" s="45" t="s">
        <v>144</v>
      </c>
    </row>
    <row r="673" customFormat="false" ht="15" hidden="false" customHeight="false" outlineLevel="0" collapsed="false">
      <c r="A673" s="53" t="n">
        <f aca="false">FALSE()</f>
        <v>0</v>
      </c>
      <c r="B673" s="54" t="s">
        <v>814</v>
      </c>
      <c r="C673" s="48" t="n">
        <f aca="false">'Get Started'!$C$4-14+-4</f>
        <v>46534</v>
      </c>
      <c r="D673" s="47" t="s">
        <v>66</v>
      </c>
      <c r="E673" s="47" t="s">
        <v>127</v>
      </c>
      <c r="F673" s="47" t="s">
        <v>144</v>
      </c>
    </row>
    <row r="674" customFormat="false" ht="15" hidden="false" customHeight="false" outlineLevel="0" collapsed="false">
      <c r="A674" s="55" t="n">
        <f aca="false">FALSE()</f>
        <v>0</v>
      </c>
      <c r="B674" s="56" t="s">
        <v>815</v>
      </c>
      <c r="C674" s="46" t="n">
        <f aca="false">'Get Started'!$C$4-14+-4</f>
        <v>46534</v>
      </c>
      <c r="D674" s="45" t="s">
        <v>66</v>
      </c>
      <c r="E674" s="45" t="s">
        <v>127</v>
      </c>
      <c r="F674" s="45" t="s">
        <v>144</v>
      </c>
    </row>
    <row r="675" customFormat="false" ht="15" hidden="false" customHeight="false" outlineLevel="0" collapsed="false">
      <c r="A675" s="53" t="n">
        <f aca="false">FALSE()</f>
        <v>0</v>
      </c>
      <c r="B675" s="54" t="s">
        <v>816</v>
      </c>
      <c r="C675" s="48" t="n">
        <f aca="false">'Get Started'!$C$4-14+-4</f>
        <v>46534</v>
      </c>
      <c r="D675" s="47" t="s">
        <v>66</v>
      </c>
      <c r="E675" s="47" t="s">
        <v>127</v>
      </c>
      <c r="F675" s="47" t="s">
        <v>144</v>
      </c>
    </row>
    <row r="676" customFormat="false" ht="15" hidden="false" customHeight="false" outlineLevel="0" collapsed="false">
      <c r="A676" s="55" t="n">
        <f aca="false">FALSE()</f>
        <v>0</v>
      </c>
      <c r="B676" s="56" t="s">
        <v>817</v>
      </c>
      <c r="C676" s="46" t="n">
        <f aca="false">'Get Started'!$C$4-14+-4</f>
        <v>46534</v>
      </c>
      <c r="D676" s="45" t="s">
        <v>66</v>
      </c>
      <c r="E676" s="45" t="s">
        <v>127</v>
      </c>
      <c r="F676" s="45" t="s">
        <v>144</v>
      </c>
    </row>
    <row r="677" customFormat="false" ht="15" hidden="false" customHeight="false" outlineLevel="0" collapsed="false">
      <c r="A677" s="53" t="n">
        <f aca="false">FALSE()</f>
        <v>0</v>
      </c>
      <c r="B677" s="54" t="s">
        <v>818</v>
      </c>
      <c r="C677" s="48" t="n">
        <f aca="false">'Get Started'!$C$4-14+-4</f>
        <v>46534</v>
      </c>
      <c r="D677" s="47" t="s">
        <v>66</v>
      </c>
      <c r="E677" s="47" t="s">
        <v>127</v>
      </c>
      <c r="F677" s="47" t="s">
        <v>144</v>
      </c>
    </row>
    <row r="678" customFormat="false" ht="15" hidden="false" customHeight="false" outlineLevel="0" collapsed="false">
      <c r="A678" s="55" t="n">
        <f aca="false">FALSE()</f>
        <v>0</v>
      </c>
      <c r="B678" s="56" t="s">
        <v>819</v>
      </c>
      <c r="C678" s="46" t="n">
        <f aca="false">'Get Started'!$C$4-14+-4</f>
        <v>46534</v>
      </c>
      <c r="D678" s="45" t="s">
        <v>66</v>
      </c>
      <c r="E678" s="45" t="s">
        <v>127</v>
      </c>
      <c r="F678" s="45" t="s">
        <v>144</v>
      </c>
    </row>
    <row r="679" customFormat="false" ht="15" hidden="false" customHeight="false" outlineLevel="0" collapsed="false">
      <c r="A679" s="53" t="n">
        <f aca="false">FALSE()</f>
        <v>0</v>
      </c>
      <c r="B679" s="54" t="s">
        <v>820</v>
      </c>
      <c r="C679" s="48" t="n">
        <f aca="false">'Get Started'!$C$4-14+-3</f>
        <v>46535</v>
      </c>
      <c r="D679" s="47" t="s">
        <v>66</v>
      </c>
      <c r="E679" s="47" t="s">
        <v>127</v>
      </c>
      <c r="F679" s="47" t="s">
        <v>144</v>
      </c>
    </row>
    <row r="680" customFormat="false" ht="15" hidden="false" customHeight="false" outlineLevel="0" collapsed="false">
      <c r="A680" s="55" t="n">
        <f aca="false">FALSE()</f>
        <v>0</v>
      </c>
      <c r="B680" s="56" t="s">
        <v>821</v>
      </c>
      <c r="C680" s="46" t="n">
        <f aca="false">'Get Started'!$C$4-14+-3</f>
        <v>46535</v>
      </c>
      <c r="D680" s="45" t="s">
        <v>66</v>
      </c>
      <c r="E680" s="45" t="s">
        <v>127</v>
      </c>
      <c r="F680" s="45" t="s">
        <v>144</v>
      </c>
    </row>
    <row r="681" customFormat="false" ht="15" hidden="false" customHeight="false" outlineLevel="0" collapsed="false">
      <c r="A681" s="53" t="n">
        <f aca="false">FALSE()</f>
        <v>0</v>
      </c>
      <c r="B681" s="54" t="s">
        <v>822</v>
      </c>
      <c r="C681" s="48" t="n">
        <f aca="false">'Get Started'!$C$4-14+-3</f>
        <v>46535</v>
      </c>
      <c r="D681" s="47" t="s">
        <v>66</v>
      </c>
      <c r="E681" s="47" t="s">
        <v>127</v>
      </c>
      <c r="F681" s="47" t="s">
        <v>144</v>
      </c>
    </row>
    <row r="682" customFormat="false" ht="15" hidden="false" customHeight="false" outlineLevel="0" collapsed="false">
      <c r="A682" s="55" t="n">
        <f aca="false">FALSE()</f>
        <v>0</v>
      </c>
      <c r="B682" s="56" t="s">
        <v>823</v>
      </c>
      <c r="C682" s="46" t="n">
        <f aca="false">'Get Started'!$C$4-14+-3</f>
        <v>46535</v>
      </c>
      <c r="D682" s="45" t="s">
        <v>66</v>
      </c>
      <c r="E682" s="45" t="s">
        <v>127</v>
      </c>
      <c r="F682" s="45" t="s">
        <v>144</v>
      </c>
    </row>
    <row r="683" customFormat="false" ht="15" hidden="false" customHeight="false" outlineLevel="0" collapsed="false">
      <c r="A683" s="53" t="n">
        <f aca="false">FALSE()</f>
        <v>0</v>
      </c>
      <c r="B683" s="54" t="s">
        <v>824</v>
      </c>
      <c r="C683" s="48" t="n">
        <f aca="false">'Get Started'!$C$4-14+-3</f>
        <v>46535</v>
      </c>
      <c r="D683" s="47" t="s">
        <v>66</v>
      </c>
      <c r="E683" s="47" t="s">
        <v>127</v>
      </c>
      <c r="F683" s="47" t="s">
        <v>144</v>
      </c>
    </row>
    <row r="684" customFormat="false" ht="15" hidden="false" customHeight="false" outlineLevel="0" collapsed="false">
      <c r="A684" s="55" t="n">
        <f aca="false">FALSE()</f>
        <v>0</v>
      </c>
      <c r="B684" s="56" t="s">
        <v>825</v>
      </c>
      <c r="C684" s="46" t="n">
        <f aca="false">'Get Started'!$C$4-14+-3</f>
        <v>46535</v>
      </c>
      <c r="D684" s="45" t="s">
        <v>66</v>
      </c>
      <c r="E684" s="45" t="s">
        <v>127</v>
      </c>
      <c r="F684" s="45" t="s">
        <v>144</v>
      </c>
    </row>
    <row r="685" customFormat="false" ht="15" hidden="false" customHeight="false" outlineLevel="0" collapsed="false">
      <c r="A685" s="53" t="n">
        <f aca="false">FALSE()</f>
        <v>0</v>
      </c>
      <c r="B685" s="54" t="s">
        <v>826</v>
      </c>
      <c r="C685" s="48" t="n">
        <f aca="false">'Get Started'!$C$4-14+-2</f>
        <v>46536</v>
      </c>
      <c r="D685" s="47" t="s">
        <v>66</v>
      </c>
      <c r="E685" s="47" t="s">
        <v>127</v>
      </c>
      <c r="F685" s="47" t="s">
        <v>144</v>
      </c>
    </row>
    <row r="686" customFormat="false" ht="15" hidden="false" customHeight="false" outlineLevel="0" collapsed="false">
      <c r="A686" s="55" t="n">
        <f aca="false">FALSE()</f>
        <v>0</v>
      </c>
      <c r="B686" s="56" t="s">
        <v>827</v>
      </c>
      <c r="C686" s="46" t="n">
        <f aca="false">'Get Started'!$C$4-14+-2</f>
        <v>46536</v>
      </c>
      <c r="D686" s="45" t="s">
        <v>66</v>
      </c>
      <c r="E686" s="45" t="s">
        <v>127</v>
      </c>
      <c r="F686" s="45" t="s">
        <v>144</v>
      </c>
    </row>
    <row r="687" customFormat="false" ht="15" hidden="false" customHeight="false" outlineLevel="0" collapsed="false">
      <c r="A687" s="53" t="n">
        <f aca="false">FALSE()</f>
        <v>0</v>
      </c>
      <c r="B687" s="54" t="s">
        <v>828</v>
      </c>
      <c r="C687" s="48" t="n">
        <f aca="false">'Get Started'!$C$4-14+-2</f>
        <v>46536</v>
      </c>
      <c r="D687" s="47" t="s">
        <v>66</v>
      </c>
      <c r="E687" s="47" t="s">
        <v>127</v>
      </c>
      <c r="F687" s="47" t="s">
        <v>144</v>
      </c>
    </row>
    <row r="688" customFormat="false" ht="15" hidden="false" customHeight="false" outlineLevel="0" collapsed="false">
      <c r="A688" s="55" t="n">
        <f aca="false">FALSE()</f>
        <v>0</v>
      </c>
      <c r="B688" s="56" t="s">
        <v>829</v>
      </c>
      <c r="C688" s="46" t="n">
        <f aca="false">'Get Started'!$C$4-14+-2</f>
        <v>46536</v>
      </c>
      <c r="D688" s="45" t="s">
        <v>66</v>
      </c>
      <c r="E688" s="45" t="s">
        <v>127</v>
      </c>
      <c r="F688" s="45" t="s">
        <v>144</v>
      </c>
    </row>
    <row r="689" customFormat="false" ht="15" hidden="false" customHeight="false" outlineLevel="0" collapsed="false">
      <c r="A689" s="53" t="n">
        <f aca="false">FALSE()</f>
        <v>0</v>
      </c>
      <c r="B689" s="54" t="s">
        <v>830</v>
      </c>
      <c r="C689" s="48" t="n">
        <f aca="false">'Get Started'!$C$4-14+-2</f>
        <v>46536</v>
      </c>
      <c r="D689" s="47" t="s">
        <v>66</v>
      </c>
      <c r="E689" s="47" t="s">
        <v>127</v>
      </c>
      <c r="F689" s="47" t="s">
        <v>144</v>
      </c>
    </row>
    <row r="690" customFormat="false" ht="15" hidden="false" customHeight="false" outlineLevel="0" collapsed="false">
      <c r="A690" s="55" t="n">
        <f aca="false">FALSE()</f>
        <v>0</v>
      </c>
      <c r="B690" s="56" t="s">
        <v>831</v>
      </c>
      <c r="C690" s="46" t="n">
        <f aca="false">'Get Started'!$C$4-14+-2</f>
        <v>46536</v>
      </c>
      <c r="D690" s="45" t="s">
        <v>66</v>
      </c>
      <c r="E690" s="45" t="s">
        <v>127</v>
      </c>
      <c r="F690" s="45" t="s">
        <v>144</v>
      </c>
    </row>
    <row r="691" customFormat="false" ht="15" hidden="false" customHeight="false" outlineLevel="0" collapsed="false">
      <c r="A691" s="53" t="n">
        <f aca="false">FALSE()</f>
        <v>0</v>
      </c>
      <c r="B691" s="54" t="s">
        <v>832</v>
      </c>
      <c r="C691" s="48" t="n">
        <f aca="false">'Get Started'!$C$4-14+-1</f>
        <v>46537</v>
      </c>
      <c r="D691" s="47" t="s">
        <v>66</v>
      </c>
      <c r="E691" s="47" t="s">
        <v>127</v>
      </c>
      <c r="F691" s="47" t="s">
        <v>144</v>
      </c>
    </row>
    <row r="692" customFormat="false" ht="15" hidden="false" customHeight="false" outlineLevel="0" collapsed="false">
      <c r="A692" s="55" t="n">
        <f aca="false">FALSE()</f>
        <v>0</v>
      </c>
      <c r="B692" s="56" t="s">
        <v>833</v>
      </c>
      <c r="C692" s="46" t="n">
        <f aca="false">'Get Started'!$C$4-14+-1</f>
        <v>46537</v>
      </c>
      <c r="D692" s="45" t="s">
        <v>66</v>
      </c>
      <c r="E692" s="45" t="s">
        <v>127</v>
      </c>
      <c r="F692" s="45" t="s">
        <v>144</v>
      </c>
    </row>
    <row r="693" customFormat="false" ht="15" hidden="false" customHeight="false" outlineLevel="0" collapsed="false">
      <c r="A693" s="53" t="n">
        <f aca="false">FALSE()</f>
        <v>0</v>
      </c>
      <c r="B693" s="54" t="s">
        <v>834</v>
      </c>
      <c r="C693" s="48" t="n">
        <f aca="false">'Get Started'!$C$4-14+-1</f>
        <v>46537</v>
      </c>
      <c r="D693" s="47" t="s">
        <v>66</v>
      </c>
      <c r="E693" s="47" t="s">
        <v>127</v>
      </c>
      <c r="F693" s="47" t="s">
        <v>144</v>
      </c>
    </row>
    <row r="694" customFormat="false" ht="15" hidden="false" customHeight="false" outlineLevel="0" collapsed="false">
      <c r="A694" s="55" t="n">
        <f aca="false">FALSE()</f>
        <v>0</v>
      </c>
      <c r="B694" s="56" t="s">
        <v>835</v>
      </c>
      <c r="C694" s="46" t="n">
        <f aca="false">'Get Started'!$C$4-14+-1</f>
        <v>46537</v>
      </c>
      <c r="D694" s="45" t="s">
        <v>66</v>
      </c>
      <c r="E694" s="45" t="s">
        <v>127</v>
      </c>
      <c r="F694" s="45" t="s">
        <v>144</v>
      </c>
    </row>
    <row r="695" customFormat="false" ht="15" hidden="false" customHeight="false" outlineLevel="0" collapsed="false">
      <c r="A695" s="53" t="n">
        <f aca="false">FALSE()</f>
        <v>0</v>
      </c>
      <c r="B695" s="54" t="s">
        <v>836</v>
      </c>
      <c r="C695" s="48" t="n">
        <f aca="false">'Get Started'!$C$4-14+-1</f>
        <v>46537</v>
      </c>
      <c r="D695" s="47" t="s">
        <v>66</v>
      </c>
      <c r="E695" s="47" t="s">
        <v>127</v>
      </c>
      <c r="F695" s="47" t="s">
        <v>144</v>
      </c>
    </row>
    <row r="696" customFormat="false" ht="15" hidden="false" customHeight="false" outlineLevel="0" collapsed="false">
      <c r="A696" s="55" t="n">
        <f aca="false">FALSE()</f>
        <v>0</v>
      </c>
      <c r="B696" s="56" t="s">
        <v>837</v>
      </c>
      <c r="C696" s="46" t="n">
        <f aca="false">'Get Started'!$C$4-14+0</f>
        <v>46538</v>
      </c>
      <c r="D696" s="45" t="s">
        <v>66</v>
      </c>
      <c r="E696" s="45" t="s">
        <v>127</v>
      </c>
      <c r="F696" s="45" t="s">
        <v>144</v>
      </c>
    </row>
    <row r="697" customFormat="false" ht="15" hidden="false" customHeight="false" outlineLevel="0" collapsed="false">
      <c r="A697" s="53" t="n">
        <f aca="false">FALSE()</f>
        <v>0</v>
      </c>
      <c r="B697" s="54" t="s">
        <v>838</v>
      </c>
      <c r="C697" s="48" t="n">
        <f aca="false">'Get Started'!$C$4-14+0</f>
        <v>46538</v>
      </c>
      <c r="D697" s="47" t="s">
        <v>66</v>
      </c>
      <c r="E697" s="47" t="s">
        <v>127</v>
      </c>
      <c r="F697" s="47" t="s">
        <v>144</v>
      </c>
    </row>
    <row r="698" customFormat="false" ht="15" hidden="false" customHeight="false" outlineLevel="0" collapsed="false">
      <c r="A698" s="55" t="n">
        <f aca="false">FALSE()</f>
        <v>0</v>
      </c>
      <c r="B698" s="56" t="s">
        <v>839</v>
      </c>
      <c r="C698" s="46" t="n">
        <f aca="false">'Get Started'!$C$4-14+0</f>
        <v>46538</v>
      </c>
      <c r="D698" s="45" t="s">
        <v>66</v>
      </c>
      <c r="E698" s="45" t="s">
        <v>127</v>
      </c>
      <c r="F698" s="45" t="s">
        <v>144</v>
      </c>
    </row>
    <row r="699" customFormat="false" ht="15" hidden="false" customHeight="false" outlineLevel="0" collapsed="false">
      <c r="A699" s="53" t="n">
        <f aca="false">FALSE()</f>
        <v>0</v>
      </c>
      <c r="B699" s="54" t="s">
        <v>840</v>
      </c>
      <c r="C699" s="48" t="n">
        <f aca="false">'Get Started'!$C$4-14+0</f>
        <v>46538</v>
      </c>
      <c r="D699" s="47" t="s">
        <v>66</v>
      </c>
      <c r="E699" s="47" t="s">
        <v>127</v>
      </c>
      <c r="F699" s="47" t="s">
        <v>144</v>
      </c>
    </row>
    <row r="700" customFormat="false" ht="15" hidden="false" customHeight="false" outlineLevel="0" collapsed="false">
      <c r="A700" s="55" t="n">
        <f aca="false">FALSE()</f>
        <v>0</v>
      </c>
      <c r="B700" s="56" t="s">
        <v>841</v>
      </c>
      <c r="C700" s="46" t="n">
        <f aca="false">'Get Started'!$C$4-14+0</f>
        <v>46538</v>
      </c>
      <c r="D700" s="45" t="s">
        <v>66</v>
      </c>
      <c r="E700" s="45" t="s">
        <v>127</v>
      </c>
      <c r="F700" s="45" t="s">
        <v>144</v>
      </c>
    </row>
    <row r="701" customFormat="false" ht="15" hidden="false" customHeight="false" outlineLevel="0" collapsed="false">
      <c r="A701" s="53" t="n">
        <f aca="false">FALSE()</f>
        <v>0</v>
      </c>
      <c r="B701" s="54" t="s">
        <v>842</v>
      </c>
      <c r="C701" s="48" t="n">
        <f aca="false">'Get Started'!$C$4-14+0</f>
        <v>46538</v>
      </c>
      <c r="D701" s="47" t="s">
        <v>66</v>
      </c>
      <c r="E701" s="47" t="s">
        <v>127</v>
      </c>
      <c r="F701" s="47" t="s">
        <v>144</v>
      </c>
    </row>
    <row r="702" customFormat="false" ht="15" hidden="false" customHeight="false" outlineLevel="0" collapsed="false">
      <c r="A702" s="55" t="n">
        <f aca="false">FALSE()</f>
        <v>0</v>
      </c>
      <c r="B702" s="56" t="s">
        <v>843</v>
      </c>
      <c r="C702" s="46" t="n">
        <f aca="false">'Get Started'!$C$4-14+1</f>
        <v>46539</v>
      </c>
      <c r="D702" s="45" t="s">
        <v>66</v>
      </c>
      <c r="E702" s="45" t="s">
        <v>127</v>
      </c>
      <c r="F702" s="45" t="s">
        <v>144</v>
      </c>
    </row>
    <row r="703" customFormat="false" ht="15" hidden="false" customHeight="false" outlineLevel="0" collapsed="false">
      <c r="A703" s="53" t="n">
        <f aca="false">FALSE()</f>
        <v>0</v>
      </c>
      <c r="B703" s="54" t="s">
        <v>844</v>
      </c>
      <c r="C703" s="48" t="n">
        <f aca="false">'Get Started'!$C$4-14+1</f>
        <v>46539</v>
      </c>
      <c r="D703" s="47" t="s">
        <v>66</v>
      </c>
      <c r="E703" s="47" t="s">
        <v>127</v>
      </c>
      <c r="F703" s="47" t="s">
        <v>144</v>
      </c>
    </row>
    <row r="704" customFormat="false" ht="15" hidden="false" customHeight="false" outlineLevel="0" collapsed="false">
      <c r="A704" s="55" t="n">
        <f aca="false">FALSE()</f>
        <v>0</v>
      </c>
      <c r="B704" s="56" t="s">
        <v>845</v>
      </c>
      <c r="C704" s="46" t="n">
        <f aca="false">'Get Started'!$C$4-14+1</f>
        <v>46539</v>
      </c>
      <c r="D704" s="45" t="s">
        <v>66</v>
      </c>
      <c r="E704" s="45" t="s">
        <v>127</v>
      </c>
      <c r="F704" s="45" t="s">
        <v>144</v>
      </c>
    </row>
    <row r="705" customFormat="false" ht="15" hidden="false" customHeight="false" outlineLevel="0" collapsed="false">
      <c r="A705" s="53" t="n">
        <f aca="false">FALSE()</f>
        <v>0</v>
      </c>
      <c r="B705" s="54" t="s">
        <v>846</v>
      </c>
      <c r="C705" s="48" t="n">
        <f aca="false">'Get Started'!$C$4-14+1</f>
        <v>46539</v>
      </c>
      <c r="D705" s="47" t="s">
        <v>66</v>
      </c>
      <c r="E705" s="47" t="s">
        <v>127</v>
      </c>
      <c r="F705" s="47" t="s">
        <v>144</v>
      </c>
    </row>
    <row r="706" customFormat="false" ht="15" hidden="false" customHeight="false" outlineLevel="0" collapsed="false">
      <c r="A706" s="55" t="n">
        <f aca="false">FALSE()</f>
        <v>0</v>
      </c>
      <c r="B706" s="56" t="s">
        <v>847</v>
      </c>
      <c r="C706" s="46" t="n">
        <f aca="false">'Get Started'!$C$4-14+1</f>
        <v>46539</v>
      </c>
      <c r="D706" s="45" t="s">
        <v>66</v>
      </c>
      <c r="E706" s="45" t="s">
        <v>127</v>
      </c>
      <c r="F706" s="45" t="s">
        <v>144</v>
      </c>
    </row>
    <row r="707" customFormat="false" ht="15" hidden="false" customHeight="false" outlineLevel="0" collapsed="false">
      <c r="A707" s="53" t="n">
        <f aca="false">FALSE()</f>
        <v>0</v>
      </c>
      <c r="B707" s="54" t="s">
        <v>848</v>
      </c>
      <c r="C707" s="48" t="n">
        <f aca="false">'Get Started'!$C$4-14+1</f>
        <v>46539</v>
      </c>
      <c r="D707" s="47" t="s">
        <v>66</v>
      </c>
      <c r="E707" s="47" t="s">
        <v>127</v>
      </c>
      <c r="F707" s="47" t="s">
        <v>144</v>
      </c>
    </row>
    <row r="708" customFormat="false" ht="15" hidden="false" customHeight="false" outlineLevel="0" collapsed="false">
      <c r="A708" s="55" t="n">
        <f aca="false">FALSE()</f>
        <v>0</v>
      </c>
      <c r="B708" s="56" t="s">
        <v>849</v>
      </c>
      <c r="C708" s="46" t="n">
        <f aca="false">'Get Started'!$C$4-14+2</f>
        <v>46540</v>
      </c>
      <c r="D708" s="45" t="s">
        <v>66</v>
      </c>
      <c r="E708" s="45" t="s">
        <v>127</v>
      </c>
      <c r="F708" s="45" t="s">
        <v>144</v>
      </c>
    </row>
    <row r="709" customFormat="false" ht="15" hidden="false" customHeight="false" outlineLevel="0" collapsed="false">
      <c r="A709" s="53" t="n">
        <f aca="false">FALSE()</f>
        <v>0</v>
      </c>
      <c r="B709" s="54" t="s">
        <v>850</v>
      </c>
      <c r="C709" s="48" t="n">
        <f aca="false">'Get Started'!$C$4-14+2</f>
        <v>46540</v>
      </c>
      <c r="D709" s="47" t="s">
        <v>66</v>
      </c>
      <c r="E709" s="47" t="s">
        <v>127</v>
      </c>
      <c r="F709" s="47" t="s">
        <v>144</v>
      </c>
    </row>
    <row r="710" customFormat="false" ht="15" hidden="false" customHeight="false" outlineLevel="0" collapsed="false">
      <c r="A710" s="55" t="n">
        <f aca="false">FALSE()</f>
        <v>0</v>
      </c>
      <c r="B710" s="56" t="s">
        <v>851</v>
      </c>
      <c r="C710" s="46" t="n">
        <f aca="false">'Get Started'!$C$4-14+2</f>
        <v>46540</v>
      </c>
      <c r="D710" s="45" t="s">
        <v>66</v>
      </c>
      <c r="E710" s="45" t="s">
        <v>127</v>
      </c>
      <c r="F710" s="45" t="s">
        <v>144</v>
      </c>
    </row>
    <row r="711" customFormat="false" ht="15" hidden="false" customHeight="false" outlineLevel="0" collapsed="false">
      <c r="A711" s="53" t="n">
        <f aca="false">FALSE()</f>
        <v>0</v>
      </c>
      <c r="B711" s="54" t="s">
        <v>852</v>
      </c>
      <c r="C711" s="48" t="n">
        <f aca="false">'Get Started'!$C$4-14+2</f>
        <v>46540</v>
      </c>
      <c r="D711" s="47" t="s">
        <v>66</v>
      </c>
      <c r="E711" s="47" t="s">
        <v>127</v>
      </c>
      <c r="F711" s="47" t="s">
        <v>144</v>
      </c>
    </row>
    <row r="712" customFormat="false" ht="15" hidden="false" customHeight="false" outlineLevel="0" collapsed="false">
      <c r="A712" s="55" t="n">
        <f aca="false">FALSE()</f>
        <v>0</v>
      </c>
      <c r="B712" s="56" t="s">
        <v>853</v>
      </c>
      <c r="C712" s="46" t="n">
        <f aca="false">'Get Started'!$C$4-14+2</f>
        <v>46540</v>
      </c>
      <c r="D712" s="45" t="s">
        <v>66</v>
      </c>
      <c r="E712" s="45" t="s">
        <v>127</v>
      </c>
      <c r="F712" s="45" t="s">
        <v>144</v>
      </c>
    </row>
    <row r="713" customFormat="false" ht="15" hidden="false" customHeight="false" outlineLevel="0" collapsed="false">
      <c r="A713" s="53" t="n">
        <f aca="false">FALSE()</f>
        <v>0</v>
      </c>
      <c r="B713" s="54" t="s">
        <v>854</v>
      </c>
      <c r="C713" s="48" t="n">
        <f aca="false">'Get Started'!$C$4-14+2</f>
        <v>46540</v>
      </c>
      <c r="D713" s="47" t="s">
        <v>66</v>
      </c>
      <c r="E713" s="47" t="s">
        <v>127</v>
      </c>
      <c r="F713" s="47" t="s">
        <v>144</v>
      </c>
    </row>
    <row r="714" customFormat="false" ht="15" hidden="false" customHeight="false" outlineLevel="0" collapsed="false">
      <c r="A714" s="55" t="n">
        <f aca="false">FALSE()</f>
        <v>0</v>
      </c>
      <c r="B714" s="56" t="s">
        <v>855</v>
      </c>
      <c r="C714" s="46" t="n">
        <f aca="false">'Get Started'!$C$4-14+3</f>
        <v>46541</v>
      </c>
      <c r="D714" s="45" t="s">
        <v>66</v>
      </c>
      <c r="E714" s="45" t="s">
        <v>127</v>
      </c>
      <c r="F714" s="45" t="s">
        <v>144</v>
      </c>
    </row>
    <row r="715" customFormat="false" ht="23.85" hidden="false" customHeight="false" outlineLevel="0" collapsed="false">
      <c r="A715" s="53" t="n">
        <f aca="false">FALSE()</f>
        <v>0</v>
      </c>
      <c r="B715" s="54" t="s">
        <v>856</v>
      </c>
      <c r="C715" s="48" t="n">
        <f aca="false">'Get Started'!$C$4-14+3</f>
        <v>46541</v>
      </c>
      <c r="D715" s="47" t="s">
        <v>66</v>
      </c>
      <c r="E715" s="47" t="s">
        <v>127</v>
      </c>
      <c r="F715" s="47" t="s">
        <v>144</v>
      </c>
    </row>
    <row r="716" customFormat="false" ht="15" hidden="false" customHeight="false" outlineLevel="0" collapsed="false">
      <c r="A716" s="55" t="n">
        <f aca="false">FALSE()</f>
        <v>0</v>
      </c>
      <c r="B716" s="56" t="s">
        <v>857</v>
      </c>
      <c r="C716" s="46" t="n">
        <f aca="false">'Get Started'!$C$4-14+3</f>
        <v>46541</v>
      </c>
      <c r="D716" s="45" t="s">
        <v>66</v>
      </c>
      <c r="E716" s="45" t="s">
        <v>127</v>
      </c>
      <c r="F716" s="45" t="s">
        <v>144</v>
      </c>
    </row>
    <row r="717" customFormat="false" ht="15" hidden="false" customHeight="false" outlineLevel="0" collapsed="false">
      <c r="A717" s="53" t="n">
        <f aca="false">FALSE()</f>
        <v>0</v>
      </c>
      <c r="B717" s="54" t="s">
        <v>858</v>
      </c>
      <c r="C717" s="48" t="n">
        <f aca="false">'Get Started'!$C$4-14+3</f>
        <v>46541</v>
      </c>
      <c r="D717" s="47" t="s">
        <v>66</v>
      </c>
      <c r="E717" s="47" t="s">
        <v>127</v>
      </c>
      <c r="F717" s="47" t="s">
        <v>144</v>
      </c>
    </row>
    <row r="718" customFormat="false" ht="15" hidden="false" customHeight="false" outlineLevel="0" collapsed="false">
      <c r="A718" s="55" t="n">
        <f aca="false">FALSE()</f>
        <v>0</v>
      </c>
      <c r="B718" s="56" t="s">
        <v>859</v>
      </c>
      <c r="C718" s="46" t="n">
        <f aca="false">'Get Started'!$C$4-14+3</f>
        <v>46541</v>
      </c>
      <c r="D718" s="45" t="s">
        <v>66</v>
      </c>
      <c r="E718" s="45" t="s">
        <v>127</v>
      </c>
      <c r="F718" s="45" t="s">
        <v>144</v>
      </c>
    </row>
    <row r="719" customFormat="false" ht="23.85" hidden="false" customHeight="false" outlineLevel="0" collapsed="false">
      <c r="A719" s="53" t="n">
        <f aca="false">FALSE()</f>
        <v>0</v>
      </c>
      <c r="B719" s="54" t="s">
        <v>860</v>
      </c>
      <c r="C719" s="48" t="n">
        <f aca="false">'Get Started'!$C$4-14+3</f>
        <v>46541</v>
      </c>
      <c r="D719" s="47" t="s">
        <v>66</v>
      </c>
      <c r="E719" s="47" t="s">
        <v>127</v>
      </c>
      <c r="F719" s="47" t="s">
        <v>144</v>
      </c>
    </row>
    <row r="720" customFormat="false" ht="15" hidden="false" customHeight="false" outlineLevel="0" collapsed="false">
      <c r="A720" s="55" t="n">
        <f aca="false">FALSE()</f>
        <v>0</v>
      </c>
      <c r="B720" s="56" t="s">
        <v>861</v>
      </c>
      <c r="C720" s="46" t="n">
        <f aca="false">'Get Started'!$C$4-14+4</f>
        <v>46542</v>
      </c>
      <c r="D720" s="45" t="s">
        <v>66</v>
      </c>
      <c r="E720" s="45" t="s">
        <v>127</v>
      </c>
      <c r="F720" s="45" t="s">
        <v>144</v>
      </c>
    </row>
    <row r="721" customFormat="false" ht="15" hidden="false" customHeight="false" outlineLevel="0" collapsed="false">
      <c r="A721" s="53" t="n">
        <f aca="false">FALSE()</f>
        <v>0</v>
      </c>
      <c r="B721" s="54" t="s">
        <v>862</v>
      </c>
      <c r="C721" s="48" t="n">
        <f aca="false">'Get Started'!$C$4-14+4</f>
        <v>46542</v>
      </c>
      <c r="D721" s="47" t="s">
        <v>66</v>
      </c>
      <c r="E721" s="47" t="s">
        <v>127</v>
      </c>
      <c r="F721" s="47" t="s">
        <v>144</v>
      </c>
    </row>
    <row r="722" customFormat="false" ht="15" hidden="false" customHeight="false" outlineLevel="0" collapsed="false">
      <c r="A722" s="55" t="n">
        <f aca="false">FALSE()</f>
        <v>0</v>
      </c>
      <c r="B722" s="56" t="s">
        <v>863</v>
      </c>
      <c r="C722" s="46" t="n">
        <f aca="false">'Get Started'!$C$4-14+4</f>
        <v>46542</v>
      </c>
      <c r="D722" s="45" t="s">
        <v>66</v>
      </c>
      <c r="E722" s="45" t="s">
        <v>127</v>
      </c>
      <c r="F722" s="45" t="s">
        <v>144</v>
      </c>
    </row>
    <row r="723" customFormat="false" ht="23.85" hidden="false" customHeight="false" outlineLevel="0" collapsed="false">
      <c r="A723" s="53" t="n">
        <f aca="false">FALSE()</f>
        <v>0</v>
      </c>
      <c r="B723" s="54" t="s">
        <v>864</v>
      </c>
      <c r="C723" s="48" t="n">
        <f aca="false">'Get Started'!$C$4-14+4</f>
        <v>46542</v>
      </c>
      <c r="D723" s="47" t="s">
        <v>66</v>
      </c>
      <c r="E723" s="47" t="s">
        <v>127</v>
      </c>
      <c r="F723" s="47" t="s">
        <v>144</v>
      </c>
    </row>
    <row r="724" customFormat="false" ht="23.85" hidden="false" customHeight="false" outlineLevel="0" collapsed="false">
      <c r="A724" s="55" t="n">
        <f aca="false">FALSE()</f>
        <v>0</v>
      </c>
      <c r="B724" s="56" t="s">
        <v>865</v>
      </c>
      <c r="C724" s="46" t="n">
        <f aca="false">'Get Started'!$C$4-14+4</f>
        <v>46542</v>
      </c>
      <c r="D724" s="45" t="s">
        <v>66</v>
      </c>
      <c r="E724" s="45" t="s">
        <v>127</v>
      </c>
      <c r="F724" s="45" t="s">
        <v>144</v>
      </c>
    </row>
    <row r="725" customFormat="false" ht="23.85" hidden="false" customHeight="false" outlineLevel="0" collapsed="false">
      <c r="A725" s="53" t="n">
        <f aca="false">FALSE()</f>
        <v>0</v>
      </c>
      <c r="B725" s="54" t="s">
        <v>866</v>
      </c>
      <c r="C725" s="48" t="n">
        <f aca="false">'Get Started'!$C$4-14+5</f>
        <v>46543</v>
      </c>
      <c r="D725" s="47" t="s">
        <v>66</v>
      </c>
      <c r="E725" s="47" t="s">
        <v>127</v>
      </c>
      <c r="F725" s="47" t="s">
        <v>144</v>
      </c>
    </row>
    <row r="726" customFormat="false" ht="15" hidden="false" customHeight="false" outlineLevel="0" collapsed="false">
      <c r="A726" s="55" t="n">
        <f aca="false">FALSE()</f>
        <v>0</v>
      </c>
      <c r="B726" s="56" t="s">
        <v>867</v>
      </c>
      <c r="C726" s="46" t="n">
        <f aca="false">'Get Started'!$C$4-7+-5</f>
        <v>46540</v>
      </c>
      <c r="D726" s="45" t="s">
        <v>66</v>
      </c>
      <c r="E726" s="45" t="s">
        <v>127</v>
      </c>
      <c r="F726" s="45" t="s">
        <v>146</v>
      </c>
    </row>
    <row r="727" customFormat="false" ht="15" hidden="false" customHeight="false" outlineLevel="0" collapsed="false">
      <c r="A727" s="53" t="n">
        <f aca="false">FALSE()</f>
        <v>0</v>
      </c>
      <c r="B727" s="54" t="s">
        <v>868</v>
      </c>
      <c r="C727" s="48" t="n">
        <f aca="false">'Get Started'!$C$4-7+-5</f>
        <v>46540</v>
      </c>
      <c r="D727" s="47" t="s">
        <v>66</v>
      </c>
      <c r="E727" s="47" t="s">
        <v>127</v>
      </c>
      <c r="F727" s="47" t="s">
        <v>146</v>
      </c>
    </row>
    <row r="728" customFormat="false" ht="15" hidden="false" customHeight="false" outlineLevel="0" collapsed="false">
      <c r="A728" s="55" t="n">
        <f aca="false">FALSE()</f>
        <v>0</v>
      </c>
      <c r="B728" s="56" t="s">
        <v>869</v>
      </c>
      <c r="C728" s="46" t="n">
        <f aca="false">'Get Started'!$C$4-7+-5</f>
        <v>46540</v>
      </c>
      <c r="D728" s="45" t="s">
        <v>66</v>
      </c>
      <c r="E728" s="45" t="s">
        <v>127</v>
      </c>
      <c r="F728" s="45" t="s">
        <v>146</v>
      </c>
    </row>
    <row r="729" customFormat="false" ht="15" hidden="false" customHeight="false" outlineLevel="0" collapsed="false">
      <c r="A729" s="53" t="n">
        <f aca="false">FALSE()</f>
        <v>0</v>
      </c>
      <c r="B729" s="54" t="s">
        <v>870</v>
      </c>
      <c r="C729" s="48" t="n">
        <f aca="false">'Get Started'!$C$4-7+-5</f>
        <v>46540</v>
      </c>
      <c r="D729" s="47" t="s">
        <v>66</v>
      </c>
      <c r="E729" s="47" t="s">
        <v>127</v>
      </c>
      <c r="F729" s="47" t="s">
        <v>146</v>
      </c>
    </row>
    <row r="730" customFormat="false" ht="15" hidden="false" customHeight="false" outlineLevel="0" collapsed="false">
      <c r="A730" s="55" t="n">
        <f aca="false">FALSE()</f>
        <v>0</v>
      </c>
      <c r="B730" s="56" t="s">
        <v>871</v>
      </c>
      <c r="C730" s="46" t="n">
        <f aca="false">'Get Started'!$C$4-7+-5</f>
        <v>46540</v>
      </c>
      <c r="D730" s="45" t="s">
        <v>66</v>
      </c>
      <c r="E730" s="45" t="s">
        <v>127</v>
      </c>
      <c r="F730" s="45" t="s">
        <v>146</v>
      </c>
    </row>
    <row r="731" customFormat="false" ht="15" hidden="false" customHeight="false" outlineLevel="0" collapsed="false">
      <c r="A731" s="53" t="n">
        <f aca="false">FALSE()</f>
        <v>0</v>
      </c>
      <c r="B731" s="54" t="s">
        <v>872</v>
      </c>
      <c r="C731" s="48" t="n">
        <f aca="false">'Get Started'!$C$4-7+-4</f>
        <v>46541</v>
      </c>
      <c r="D731" s="47" t="s">
        <v>66</v>
      </c>
      <c r="E731" s="47" t="s">
        <v>127</v>
      </c>
      <c r="F731" s="47" t="s">
        <v>146</v>
      </c>
    </row>
    <row r="732" customFormat="false" ht="15" hidden="false" customHeight="false" outlineLevel="0" collapsed="false">
      <c r="A732" s="55" t="n">
        <f aca="false">FALSE()</f>
        <v>0</v>
      </c>
      <c r="B732" s="56" t="s">
        <v>873</v>
      </c>
      <c r="C732" s="46" t="n">
        <f aca="false">'Get Started'!$C$4-7+-4</f>
        <v>46541</v>
      </c>
      <c r="D732" s="45" t="s">
        <v>66</v>
      </c>
      <c r="E732" s="45" t="s">
        <v>127</v>
      </c>
      <c r="F732" s="45" t="s">
        <v>146</v>
      </c>
    </row>
    <row r="733" customFormat="false" ht="15" hidden="false" customHeight="false" outlineLevel="0" collapsed="false">
      <c r="A733" s="53" t="n">
        <f aca="false">FALSE()</f>
        <v>0</v>
      </c>
      <c r="B733" s="54" t="s">
        <v>874</v>
      </c>
      <c r="C733" s="48" t="n">
        <f aca="false">'Get Started'!$C$4-7+-4</f>
        <v>46541</v>
      </c>
      <c r="D733" s="47" t="s">
        <v>66</v>
      </c>
      <c r="E733" s="47" t="s">
        <v>127</v>
      </c>
      <c r="F733" s="47" t="s">
        <v>146</v>
      </c>
    </row>
    <row r="734" customFormat="false" ht="15" hidden="false" customHeight="false" outlineLevel="0" collapsed="false">
      <c r="A734" s="55" t="n">
        <f aca="false">FALSE()</f>
        <v>0</v>
      </c>
      <c r="B734" s="56" t="s">
        <v>875</v>
      </c>
      <c r="C734" s="46" t="n">
        <f aca="false">'Get Started'!$C$4-7+-4</f>
        <v>46541</v>
      </c>
      <c r="D734" s="45" t="s">
        <v>66</v>
      </c>
      <c r="E734" s="45" t="s">
        <v>127</v>
      </c>
      <c r="F734" s="45" t="s">
        <v>146</v>
      </c>
    </row>
    <row r="735" customFormat="false" ht="15" hidden="false" customHeight="false" outlineLevel="0" collapsed="false">
      <c r="A735" s="53" t="n">
        <f aca="false">FALSE()</f>
        <v>0</v>
      </c>
      <c r="B735" s="54" t="s">
        <v>876</v>
      </c>
      <c r="C735" s="48" t="n">
        <f aca="false">'Get Started'!$C$4-7+-4</f>
        <v>46541</v>
      </c>
      <c r="D735" s="47" t="s">
        <v>66</v>
      </c>
      <c r="E735" s="47" t="s">
        <v>127</v>
      </c>
      <c r="F735" s="47" t="s">
        <v>146</v>
      </c>
    </row>
    <row r="736" customFormat="false" ht="15" hidden="false" customHeight="false" outlineLevel="0" collapsed="false">
      <c r="A736" s="55" t="n">
        <f aca="false">FALSE()</f>
        <v>0</v>
      </c>
      <c r="B736" s="56" t="s">
        <v>877</v>
      </c>
      <c r="C736" s="46" t="n">
        <f aca="false">'Get Started'!$C$4-7+-3</f>
        <v>46542</v>
      </c>
      <c r="D736" s="45" t="s">
        <v>66</v>
      </c>
      <c r="E736" s="45" t="s">
        <v>127</v>
      </c>
      <c r="F736" s="45" t="s">
        <v>146</v>
      </c>
    </row>
    <row r="737" customFormat="false" ht="15" hidden="false" customHeight="false" outlineLevel="0" collapsed="false">
      <c r="A737" s="53" t="n">
        <f aca="false">FALSE()</f>
        <v>0</v>
      </c>
      <c r="B737" s="54" t="s">
        <v>878</v>
      </c>
      <c r="C737" s="48" t="n">
        <f aca="false">'Get Started'!$C$4-7+-3</f>
        <v>46542</v>
      </c>
      <c r="D737" s="47" t="s">
        <v>66</v>
      </c>
      <c r="E737" s="47" t="s">
        <v>127</v>
      </c>
      <c r="F737" s="47" t="s">
        <v>146</v>
      </c>
    </row>
    <row r="738" customFormat="false" ht="15" hidden="false" customHeight="false" outlineLevel="0" collapsed="false">
      <c r="A738" s="55" t="n">
        <f aca="false">FALSE()</f>
        <v>0</v>
      </c>
      <c r="B738" s="56" t="s">
        <v>879</v>
      </c>
      <c r="C738" s="46" t="n">
        <f aca="false">'Get Started'!$C$4-7+-3</f>
        <v>46542</v>
      </c>
      <c r="D738" s="45" t="s">
        <v>66</v>
      </c>
      <c r="E738" s="45" t="s">
        <v>127</v>
      </c>
      <c r="F738" s="45" t="s">
        <v>146</v>
      </c>
    </row>
    <row r="739" customFormat="false" ht="15" hidden="false" customHeight="false" outlineLevel="0" collapsed="false">
      <c r="A739" s="53" t="n">
        <f aca="false">FALSE()</f>
        <v>0</v>
      </c>
      <c r="B739" s="54" t="s">
        <v>880</v>
      </c>
      <c r="C739" s="48" t="n">
        <f aca="false">'Get Started'!$C$4-7+-3</f>
        <v>46542</v>
      </c>
      <c r="D739" s="47" t="s">
        <v>66</v>
      </c>
      <c r="E739" s="47" t="s">
        <v>127</v>
      </c>
      <c r="F739" s="47" t="s">
        <v>146</v>
      </c>
    </row>
    <row r="740" customFormat="false" ht="15" hidden="false" customHeight="false" outlineLevel="0" collapsed="false">
      <c r="A740" s="55" t="n">
        <f aca="false">FALSE()</f>
        <v>0</v>
      </c>
      <c r="B740" s="56" t="s">
        <v>881</v>
      </c>
      <c r="C740" s="46" t="n">
        <f aca="false">'Get Started'!$C$4-7+-2</f>
        <v>46543</v>
      </c>
      <c r="D740" s="45" t="s">
        <v>66</v>
      </c>
      <c r="E740" s="45" t="s">
        <v>127</v>
      </c>
      <c r="F740" s="45" t="s">
        <v>146</v>
      </c>
    </row>
    <row r="741" customFormat="false" ht="15" hidden="false" customHeight="false" outlineLevel="0" collapsed="false">
      <c r="A741" s="53" t="n">
        <f aca="false">FALSE()</f>
        <v>0</v>
      </c>
      <c r="B741" s="54" t="s">
        <v>882</v>
      </c>
      <c r="C741" s="48" t="n">
        <f aca="false">'Get Started'!$C$4-7+-2</f>
        <v>46543</v>
      </c>
      <c r="D741" s="47" t="s">
        <v>66</v>
      </c>
      <c r="E741" s="47" t="s">
        <v>127</v>
      </c>
      <c r="F741" s="47" t="s">
        <v>146</v>
      </c>
    </row>
    <row r="742" customFormat="false" ht="15" hidden="false" customHeight="false" outlineLevel="0" collapsed="false">
      <c r="A742" s="55" t="n">
        <f aca="false">FALSE()</f>
        <v>0</v>
      </c>
      <c r="B742" s="56" t="s">
        <v>883</v>
      </c>
      <c r="C742" s="46" t="n">
        <f aca="false">'Get Started'!$C$4-7+-2</f>
        <v>46543</v>
      </c>
      <c r="D742" s="45" t="s">
        <v>66</v>
      </c>
      <c r="E742" s="45" t="s">
        <v>127</v>
      </c>
      <c r="F742" s="45" t="s">
        <v>146</v>
      </c>
    </row>
    <row r="743" customFormat="false" ht="15" hidden="false" customHeight="false" outlineLevel="0" collapsed="false">
      <c r="A743" s="53" t="n">
        <f aca="false">FALSE()</f>
        <v>0</v>
      </c>
      <c r="B743" s="54" t="s">
        <v>884</v>
      </c>
      <c r="C743" s="48" t="n">
        <f aca="false">'Get Started'!$C$4-7+-2</f>
        <v>46543</v>
      </c>
      <c r="D743" s="47" t="s">
        <v>66</v>
      </c>
      <c r="E743" s="47" t="s">
        <v>127</v>
      </c>
      <c r="F743" s="47" t="s">
        <v>146</v>
      </c>
    </row>
    <row r="744" customFormat="false" ht="15" hidden="false" customHeight="false" outlineLevel="0" collapsed="false">
      <c r="A744" s="55" t="n">
        <f aca="false">FALSE()</f>
        <v>0</v>
      </c>
      <c r="B744" s="56" t="s">
        <v>885</v>
      </c>
      <c r="C744" s="46" t="n">
        <f aca="false">'Get Started'!$C$4-7+-2</f>
        <v>46543</v>
      </c>
      <c r="D744" s="45" t="s">
        <v>66</v>
      </c>
      <c r="E744" s="45" t="s">
        <v>127</v>
      </c>
      <c r="F744" s="45" t="s">
        <v>146</v>
      </c>
    </row>
    <row r="745" customFormat="false" ht="15" hidden="false" customHeight="false" outlineLevel="0" collapsed="false">
      <c r="A745" s="53" t="n">
        <f aca="false">FALSE()</f>
        <v>0</v>
      </c>
      <c r="B745" s="54" t="s">
        <v>886</v>
      </c>
      <c r="C745" s="48" t="n">
        <f aca="false">'Get Started'!$C$4-7+-1</f>
        <v>46544</v>
      </c>
      <c r="D745" s="47" t="s">
        <v>66</v>
      </c>
      <c r="E745" s="47" t="s">
        <v>127</v>
      </c>
      <c r="F745" s="47" t="s">
        <v>146</v>
      </c>
    </row>
    <row r="746" customFormat="false" ht="15" hidden="false" customHeight="false" outlineLevel="0" collapsed="false">
      <c r="A746" s="55" t="n">
        <f aca="false">FALSE()</f>
        <v>0</v>
      </c>
      <c r="B746" s="56" t="s">
        <v>887</v>
      </c>
      <c r="C746" s="46" t="n">
        <f aca="false">'Get Started'!$C$4-7+-1</f>
        <v>46544</v>
      </c>
      <c r="D746" s="45" t="s">
        <v>66</v>
      </c>
      <c r="E746" s="45" t="s">
        <v>127</v>
      </c>
      <c r="F746" s="45" t="s">
        <v>146</v>
      </c>
    </row>
    <row r="747" customFormat="false" ht="15" hidden="false" customHeight="false" outlineLevel="0" collapsed="false">
      <c r="A747" s="53" t="n">
        <f aca="false">FALSE()</f>
        <v>0</v>
      </c>
      <c r="B747" s="54" t="s">
        <v>888</v>
      </c>
      <c r="C747" s="48" t="n">
        <f aca="false">'Get Started'!$C$4-7+-1</f>
        <v>46544</v>
      </c>
      <c r="D747" s="47" t="s">
        <v>66</v>
      </c>
      <c r="E747" s="47" t="s">
        <v>127</v>
      </c>
      <c r="F747" s="47" t="s">
        <v>146</v>
      </c>
    </row>
    <row r="748" customFormat="false" ht="15" hidden="false" customHeight="false" outlineLevel="0" collapsed="false">
      <c r="A748" s="55" t="n">
        <f aca="false">FALSE()</f>
        <v>0</v>
      </c>
      <c r="B748" s="56" t="s">
        <v>889</v>
      </c>
      <c r="C748" s="46" t="n">
        <f aca="false">'Get Started'!$C$4-7+-1</f>
        <v>46544</v>
      </c>
      <c r="D748" s="45" t="s">
        <v>66</v>
      </c>
      <c r="E748" s="45" t="s">
        <v>127</v>
      </c>
      <c r="F748" s="45" t="s">
        <v>146</v>
      </c>
    </row>
    <row r="749" customFormat="false" ht="15" hidden="false" customHeight="false" outlineLevel="0" collapsed="false">
      <c r="A749" s="53" t="n">
        <f aca="false">FALSE()</f>
        <v>0</v>
      </c>
      <c r="B749" s="54" t="s">
        <v>890</v>
      </c>
      <c r="C749" s="48" t="n">
        <f aca="false">'Get Started'!$C$4-7+0</f>
        <v>46545</v>
      </c>
      <c r="D749" s="47" t="s">
        <v>66</v>
      </c>
      <c r="E749" s="47" t="s">
        <v>127</v>
      </c>
      <c r="F749" s="47" t="s">
        <v>146</v>
      </c>
    </row>
    <row r="750" customFormat="false" ht="15" hidden="false" customHeight="false" outlineLevel="0" collapsed="false">
      <c r="A750" s="55" t="n">
        <f aca="false">FALSE()</f>
        <v>0</v>
      </c>
      <c r="B750" s="56" t="s">
        <v>891</v>
      </c>
      <c r="C750" s="46" t="n">
        <f aca="false">'Get Started'!$C$4-7+0</f>
        <v>46545</v>
      </c>
      <c r="D750" s="45" t="s">
        <v>66</v>
      </c>
      <c r="E750" s="45" t="s">
        <v>127</v>
      </c>
      <c r="F750" s="45" t="s">
        <v>146</v>
      </c>
    </row>
    <row r="751" customFormat="false" ht="15" hidden="false" customHeight="false" outlineLevel="0" collapsed="false">
      <c r="A751" s="53" t="n">
        <f aca="false">FALSE()</f>
        <v>0</v>
      </c>
      <c r="B751" s="54" t="s">
        <v>892</v>
      </c>
      <c r="C751" s="48" t="n">
        <f aca="false">'Get Started'!$C$4-7+0</f>
        <v>46545</v>
      </c>
      <c r="D751" s="47" t="s">
        <v>66</v>
      </c>
      <c r="E751" s="47" t="s">
        <v>127</v>
      </c>
      <c r="F751" s="47" t="s">
        <v>146</v>
      </c>
    </row>
    <row r="752" customFormat="false" ht="15" hidden="false" customHeight="false" outlineLevel="0" collapsed="false">
      <c r="A752" s="55" t="n">
        <f aca="false">FALSE()</f>
        <v>0</v>
      </c>
      <c r="B752" s="56" t="s">
        <v>893</v>
      </c>
      <c r="C752" s="46" t="n">
        <f aca="false">'Get Started'!$C$4-7+0</f>
        <v>46545</v>
      </c>
      <c r="D752" s="45" t="s">
        <v>66</v>
      </c>
      <c r="E752" s="45" t="s">
        <v>127</v>
      </c>
      <c r="F752" s="45" t="s">
        <v>146</v>
      </c>
    </row>
    <row r="753" customFormat="false" ht="15" hidden="false" customHeight="false" outlineLevel="0" collapsed="false">
      <c r="A753" s="53" t="n">
        <f aca="false">FALSE()</f>
        <v>0</v>
      </c>
      <c r="B753" s="54" t="s">
        <v>894</v>
      </c>
      <c r="C753" s="48" t="n">
        <f aca="false">'Get Started'!$C$4-7+0</f>
        <v>46545</v>
      </c>
      <c r="D753" s="47" t="s">
        <v>66</v>
      </c>
      <c r="E753" s="47" t="s">
        <v>127</v>
      </c>
      <c r="F753" s="47" t="s">
        <v>146</v>
      </c>
    </row>
    <row r="754" customFormat="false" ht="15" hidden="false" customHeight="false" outlineLevel="0" collapsed="false">
      <c r="A754" s="55" t="n">
        <f aca="false">FALSE()</f>
        <v>0</v>
      </c>
      <c r="B754" s="56" t="s">
        <v>895</v>
      </c>
      <c r="C754" s="46" t="n">
        <f aca="false">'Get Started'!$C$4-7+1</f>
        <v>46546</v>
      </c>
      <c r="D754" s="45" t="s">
        <v>66</v>
      </c>
      <c r="E754" s="45" t="s">
        <v>127</v>
      </c>
      <c r="F754" s="45" t="s">
        <v>146</v>
      </c>
    </row>
    <row r="755" customFormat="false" ht="15" hidden="false" customHeight="false" outlineLevel="0" collapsed="false">
      <c r="A755" s="53" t="n">
        <f aca="false">FALSE()</f>
        <v>0</v>
      </c>
      <c r="B755" s="54" t="s">
        <v>896</v>
      </c>
      <c r="C755" s="48" t="n">
        <f aca="false">'Get Started'!$C$4-7+1</f>
        <v>46546</v>
      </c>
      <c r="D755" s="47" t="s">
        <v>66</v>
      </c>
      <c r="E755" s="47" t="s">
        <v>127</v>
      </c>
      <c r="F755" s="47" t="s">
        <v>146</v>
      </c>
    </row>
    <row r="756" customFormat="false" ht="15" hidden="false" customHeight="false" outlineLevel="0" collapsed="false">
      <c r="A756" s="55" t="n">
        <f aca="false">FALSE()</f>
        <v>0</v>
      </c>
      <c r="B756" s="56" t="s">
        <v>897</v>
      </c>
      <c r="C756" s="46" t="n">
        <f aca="false">'Get Started'!$C$4-7+1</f>
        <v>46546</v>
      </c>
      <c r="D756" s="45" t="s">
        <v>66</v>
      </c>
      <c r="E756" s="45" t="s">
        <v>127</v>
      </c>
      <c r="F756" s="45" t="s">
        <v>146</v>
      </c>
    </row>
    <row r="757" customFormat="false" ht="15" hidden="false" customHeight="false" outlineLevel="0" collapsed="false">
      <c r="A757" s="53" t="n">
        <f aca="false">FALSE()</f>
        <v>0</v>
      </c>
      <c r="B757" s="54" t="s">
        <v>898</v>
      </c>
      <c r="C757" s="48" t="n">
        <f aca="false">'Get Started'!$C$4-7+1</f>
        <v>46546</v>
      </c>
      <c r="D757" s="47" t="s">
        <v>66</v>
      </c>
      <c r="E757" s="47" t="s">
        <v>127</v>
      </c>
      <c r="F757" s="47" t="s">
        <v>146</v>
      </c>
    </row>
    <row r="758" customFormat="false" ht="15" hidden="false" customHeight="false" outlineLevel="0" collapsed="false">
      <c r="A758" s="55" t="n">
        <f aca="false">FALSE()</f>
        <v>0</v>
      </c>
      <c r="B758" s="56" t="s">
        <v>899</v>
      </c>
      <c r="C758" s="46" t="n">
        <f aca="false">'Get Started'!$C$4-7+1</f>
        <v>46546</v>
      </c>
      <c r="D758" s="45" t="s">
        <v>66</v>
      </c>
      <c r="E758" s="45" t="s">
        <v>127</v>
      </c>
      <c r="F758" s="45" t="s">
        <v>146</v>
      </c>
    </row>
    <row r="759" customFormat="false" ht="15" hidden="false" customHeight="false" outlineLevel="0" collapsed="false">
      <c r="A759" s="53" t="n">
        <f aca="false">FALSE()</f>
        <v>0</v>
      </c>
      <c r="B759" s="54" t="s">
        <v>900</v>
      </c>
      <c r="C759" s="48" t="n">
        <f aca="false">'Get Started'!$C$4-7+2</f>
        <v>46547</v>
      </c>
      <c r="D759" s="47" t="s">
        <v>66</v>
      </c>
      <c r="E759" s="47" t="s">
        <v>127</v>
      </c>
      <c r="F759" s="47" t="s">
        <v>146</v>
      </c>
    </row>
    <row r="760" customFormat="false" ht="15" hidden="false" customHeight="false" outlineLevel="0" collapsed="false">
      <c r="A760" s="55" t="n">
        <f aca="false">FALSE()</f>
        <v>0</v>
      </c>
      <c r="B760" s="56" t="s">
        <v>901</v>
      </c>
      <c r="C760" s="46" t="n">
        <f aca="false">'Get Started'!$C$4-7+2</f>
        <v>46547</v>
      </c>
      <c r="D760" s="45" t="s">
        <v>66</v>
      </c>
      <c r="E760" s="45" t="s">
        <v>127</v>
      </c>
      <c r="F760" s="45" t="s">
        <v>146</v>
      </c>
    </row>
    <row r="761" customFormat="false" ht="15" hidden="false" customHeight="false" outlineLevel="0" collapsed="false">
      <c r="A761" s="53" t="n">
        <f aca="false">FALSE()</f>
        <v>0</v>
      </c>
      <c r="B761" s="54" t="s">
        <v>902</v>
      </c>
      <c r="C761" s="48" t="n">
        <f aca="false">'Get Started'!$C$4-7+2</f>
        <v>46547</v>
      </c>
      <c r="D761" s="47" t="s">
        <v>66</v>
      </c>
      <c r="E761" s="47" t="s">
        <v>127</v>
      </c>
      <c r="F761" s="47" t="s">
        <v>146</v>
      </c>
    </row>
    <row r="762" customFormat="false" ht="23.85" hidden="false" customHeight="false" outlineLevel="0" collapsed="false">
      <c r="A762" s="55" t="n">
        <f aca="false">FALSE()</f>
        <v>0</v>
      </c>
      <c r="B762" s="56" t="s">
        <v>903</v>
      </c>
      <c r="C762" s="46" t="n">
        <f aca="false">'Get Started'!$C$4-7+2</f>
        <v>46547</v>
      </c>
      <c r="D762" s="45" t="s">
        <v>66</v>
      </c>
      <c r="E762" s="45" t="s">
        <v>127</v>
      </c>
      <c r="F762" s="45" t="s">
        <v>146</v>
      </c>
    </row>
    <row r="763" customFormat="false" ht="15" hidden="false" customHeight="false" outlineLevel="0" collapsed="false">
      <c r="A763" s="53" t="n">
        <f aca="false">FALSE()</f>
        <v>0</v>
      </c>
      <c r="B763" s="54" t="s">
        <v>904</v>
      </c>
      <c r="C763" s="48" t="n">
        <f aca="false">'Get Started'!$C$4-7+3</f>
        <v>46548</v>
      </c>
      <c r="D763" s="47" t="s">
        <v>66</v>
      </c>
      <c r="E763" s="47" t="s">
        <v>127</v>
      </c>
      <c r="F763" s="47" t="s">
        <v>146</v>
      </c>
    </row>
    <row r="764" customFormat="false" ht="15" hidden="false" customHeight="false" outlineLevel="0" collapsed="false">
      <c r="A764" s="55" t="n">
        <f aca="false">FALSE()</f>
        <v>0</v>
      </c>
      <c r="B764" s="56" t="s">
        <v>905</v>
      </c>
      <c r="C764" s="46" t="n">
        <f aca="false">'Get Started'!$C$4-7+3</f>
        <v>46548</v>
      </c>
      <c r="D764" s="45" t="s">
        <v>66</v>
      </c>
      <c r="E764" s="45" t="s">
        <v>127</v>
      </c>
      <c r="F764" s="45" t="s">
        <v>146</v>
      </c>
    </row>
    <row r="765" customFormat="false" ht="15" hidden="false" customHeight="false" outlineLevel="0" collapsed="false">
      <c r="A765" s="53" t="n">
        <f aca="false">FALSE()</f>
        <v>0</v>
      </c>
      <c r="B765" s="54" t="s">
        <v>906</v>
      </c>
      <c r="C765" s="48" t="n">
        <f aca="false">'Get Started'!$C$4-7+3</f>
        <v>46548</v>
      </c>
      <c r="D765" s="47" t="s">
        <v>66</v>
      </c>
      <c r="E765" s="47" t="s">
        <v>127</v>
      </c>
      <c r="F765" s="47" t="s">
        <v>146</v>
      </c>
    </row>
    <row r="766" customFormat="false" ht="23.85" hidden="false" customHeight="false" outlineLevel="0" collapsed="false">
      <c r="A766" s="55" t="n">
        <f aca="false">FALSE()</f>
        <v>0</v>
      </c>
      <c r="B766" s="56" t="s">
        <v>907</v>
      </c>
      <c r="C766" s="46" t="n">
        <f aca="false">'Get Started'!$C$4-7+3</f>
        <v>46548</v>
      </c>
      <c r="D766" s="45" t="s">
        <v>66</v>
      </c>
      <c r="E766" s="45" t="s">
        <v>127</v>
      </c>
      <c r="F766" s="45" t="s">
        <v>146</v>
      </c>
    </row>
    <row r="767" customFormat="false" ht="15" hidden="false" customHeight="false" outlineLevel="0" collapsed="false">
      <c r="A767" s="53" t="n">
        <f aca="false">FALSE()</f>
        <v>0</v>
      </c>
      <c r="B767" s="54" t="s">
        <v>908</v>
      </c>
      <c r="C767" s="48" t="n">
        <f aca="false">'Get Started'!$C$4-7+3</f>
        <v>46548</v>
      </c>
      <c r="D767" s="47" t="s">
        <v>66</v>
      </c>
      <c r="E767" s="47" t="s">
        <v>127</v>
      </c>
      <c r="F767" s="47" t="s">
        <v>146</v>
      </c>
    </row>
    <row r="768" customFormat="false" ht="15" hidden="false" customHeight="false" outlineLevel="0" collapsed="false">
      <c r="A768" s="55" t="n">
        <f aca="false">FALSE()</f>
        <v>0</v>
      </c>
      <c r="B768" s="56" t="s">
        <v>909</v>
      </c>
      <c r="C768" s="46" t="n">
        <f aca="false">'Get Started'!$C$4-7+4</f>
        <v>46549</v>
      </c>
      <c r="D768" s="45" t="s">
        <v>66</v>
      </c>
      <c r="E768" s="45" t="s">
        <v>127</v>
      </c>
      <c r="F768" s="45" t="s">
        <v>146</v>
      </c>
    </row>
    <row r="769" customFormat="false" ht="15" hidden="false" customHeight="false" outlineLevel="0" collapsed="false">
      <c r="A769" s="53" t="n">
        <f aca="false">FALSE()</f>
        <v>0</v>
      </c>
      <c r="B769" s="54" t="s">
        <v>910</v>
      </c>
      <c r="C769" s="48" t="n">
        <f aca="false">'Get Started'!$C$4-7+4</f>
        <v>46549</v>
      </c>
      <c r="D769" s="47" t="s">
        <v>66</v>
      </c>
      <c r="E769" s="47" t="s">
        <v>127</v>
      </c>
      <c r="F769" s="47" t="s">
        <v>146</v>
      </c>
    </row>
    <row r="770" customFormat="false" ht="23.85" hidden="false" customHeight="false" outlineLevel="0" collapsed="false">
      <c r="A770" s="55" t="n">
        <f aca="false">FALSE()</f>
        <v>0</v>
      </c>
      <c r="B770" s="56" t="s">
        <v>911</v>
      </c>
      <c r="C770" s="46" t="n">
        <f aca="false">'Get Started'!$C$4-7+4</f>
        <v>46549</v>
      </c>
      <c r="D770" s="45" t="s">
        <v>66</v>
      </c>
      <c r="E770" s="45" t="s">
        <v>127</v>
      </c>
      <c r="F770" s="45" t="s">
        <v>146</v>
      </c>
    </row>
    <row r="771" customFormat="false" ht="23.85" hidden="false" customHeight="false" outlineLevel="0" collapsed="false">
      <c r="A771" s="53" t="n">
        <f aca="false">FALSE()</f>
        <v>0</v>
      </c>
      <c r="B771" s="54" t="s">
        <v>912</v>
      </c>
      <c r="C771" s="48" t="n">
        <f aca="false">'Get Started'!$C$4-7+4</f>
        <v>46549</v>
      </c>
      <c r="D771" s="47" t="s">
        <v>66</v>
      </c>
      <c r="E771" s="47" t="s">
        <v>127</v>
      </c>
      <c r="F771" s="47" t="s">
        <v>146</v>
      </c>
    </row>
    <row r="772" customFormat="false" ht="23.85" hidden="false" customHeight="false" outlineLevel="0" collapsed="false">
      <c r="A772" s="55" t="n">
        <f aca="false">FALSE()</f>
        <v>0</v>
      </c>
      <c r="B772" s="56" t="s">
        <v>913</v>
      </c>
      <c r="C772" s="46" t="n">
        <f aca="false">'Get Started'!$C$4-7+5</f>
        <v>46550</v>
      </c>
      <c r="D772" s="45" t="s">
        <v>66</v>
      </c>
      <c r="E772" s="45" t="s">
        <v>127</v>
      </c>
      <c r="F772" s="45" t="s">
        <v>146</v>
      </c>
    </row>
    <row r="773" customFormat="false" ht="15" hidden="false" customHeight="false" outlineLevel="0" collapsed="false">
      <c r="A773" s="53" t="n">
        <f aca="false">FALSE()</f>
        <v>0</v>
      </c>
      <c r="B773" s="54" t="s">
        <v>914</v>
      </c>
      <c r="C773" s="48" t="n">
        <f aca="false">'Get Started'!$C$4-2+-5</f>
        <v>46545</v>
      </c>
      <c r="D773" s="47" t="s">
        <v>66</v>
      </c>
      <c r="E773" s="47" t="s">
        <v>127</v>
      </c>
      <c r="F773" s="47" t="s">
        <v>148</v>
      </c>
    </row>
    <row r="774" customFormat="false" ht="15" hidden="false" customHeight="false" outlineLevel="0" collapsed="false">
      <c r="A774" s="55" t="n">
        <f aca="false">FALSE()</f>
        <v>0</v>
      </c>
      <c r="B774" s="56" t="s">
        <v>915</v>
      </c>
      <c r="C774" s="46" t="n">
        <f aca="false">'Get Started'!$C$4-2+-5</f>
        <v>46545</v>
      </c>
      <c r="D774" s="45" t="s">
        <v>66</v>
      </c>
      <c r="E774" s="45" t="s">
        <v>127</v>
      </c>
      <c r="F774" s="45" t="s">
        <v>148</v>
      </c>
    </row>
    <row r="775" customFormat="false" ht="15" hidden="false" customHeight="false" outlineLevel="0" collapsed="false">
      <c r="A775" s="53" t="n">
        <f aca="false">FALSE()</f>
        <v>0</v>
      </c>
      <c r="B775" s="54" t="s">
        <v>916</v>
      </c>
      <c r="C775" s="48" t="n">
        <f aca="false">'Get Started'!$C$4-2+-4</f>
        <v>46546</v>
      </c>
      <c r="D775" s="47" t="s">
        <v>66</v>
      </c>
      <c r="E775" s="47" t="s">
        <v>127</v>
      </c>
      <c r="F775" s="47" t="s">
        <v>148</v>
      </c>
    </row>
    <row r="776" customFormat="false" ht="15" hidden="false" customHeight="false" outlineLevel="0" collapsed="false">
      <c r="A776" s="55" t="n">
        <f aca="false">FALSE()</f>
        <v>0</v>
      </c>
      <c r="B776" s="56" t="s">
        <v>917</v>
      </c>
      <c r="C776" s="46" t="n">
        <f aca="false">'Get Started'!$C$4-2+-4</f>
        <v>46546</v>
      </c>
      <c r="D776" s="45" t="s">
        <v>66</v>
      </c>
      <c r="E776" s="45" t="s">
        <v>127</v>
      </c>
      <c r="F776" s="45" t="s">
        <v>148</v>
      </c>
    </row>
    <row r="777" customFormat="false" ht="15" hidden="false" customHeight="false" outlineLevel="0" collapsed="false">
      <c r="A777" s="53" t="n">
        <f aca="false">FALSE()</f>
        <v>0</v>
      </c>
      <c r="B777" s="54" t="s">
        <v>918</v>
      </c>
      <c r="C777" s="48" t="n">
        <f aca="false">'Get Started'!$C$4-2+-3</f>
        <v>46547</v>
      </c>
      <c r="D777" s="47" t="s">
        <v>66</v>
      </c>
      <c r="E777" s="47" t="s">
        <v>127</v>
      </c>
      <c r="F777" s="47" t="s">
        <v>148</v>
      </c>
    </row>
    <row r="778" customFormat="false" ht="15" hidden="false" customHeight="false" outlineLevel="0" collapsed="false">
      <c r="A778" s="55" t="n">
        <f aca="false">FALSE()</f>
        <v>0</v>
      </c>
      <c r="B778" s="56" t="s">
        <v>919</v>
      </c>
      <c r="C778" s="46" t="n">
        <f aca="false">'Get Started'!$C$4-2+-3</f>
        <v>46547</v>
      </c>
      <c r="D778" s="45" t="s">
        <v>66</v>
      </c>
      <c r="E778" s="45" t="s">
        <v>127</v>
      </c>
      <c r="F778" s="45" t="s">
        <v>148</v>
      </c>
    </row>
    <row r="779" customFormat="false" ht="15" hidden="false" customHeight="false" outlineLevel="0" collapsed="false">
      <c r="A779" s="53" t="n">
        <f aca="false">FALSE()</f>
        <v>0</v>
      </c>
      <c r="B779" s="54" t="s">
        <v>920</v>
      </c>
      <c r="C779" s="48" t="n">
        <f aca="false">'Get Started'!$C$4-2+-2</f>
        <v>46548</v>
      </c>
      <c r="D779" s="47" t="s">
        <v>66</v>
      </c>
      <c r="E779" s="47" t="s">
        <v>127</v>
      </c>
      <c r="F779" s="47" t="s">
        <v>148</v>
      </c>
    </row>
    <row r="780" customFormat="false" ht="15" hidden="false" customHeight="false" outlineLevel="0" collapsed="false">
      <c r="A780" s="55" t="n">
        <f aca="false">FALSE()</f>
        <v>0</v>
      </c>
      <c r="B780" s="56" t="s">
        <v>921</v>
      </c>
      <c r="C780" s="46" t="n">
        <f aca="false">'Get Started'!$C$4-2+-2</f>
        <v>46548</v>
      </c>
      <c r="D780" s="45" t="s">
        <v>66</v>
      </c>
      <c r="E780" s="45" t="s">
        <v>127</v>
      </c>
      <c r="F780" s="45" t="s">
        <v>148</v>
      </c>
    </row>
    <row r="781" customFormat="false" ht="15" hidden="false" customHeight="false" outlineLevel="0" collapsed="false">
      <c r="A781" s="53" t="n">
        <f aca="false">FALSE()</f>
        <v>0</v>
      </c>
      <c r="B781" s="54" t="s">
        <v>922</v>
      </c>
      <c r="C781" s="48" t="n">
        <f aca="false">'Get Started'!$C$4-2+-1</f>
        <v>46549</v>
      </c>
      <c r="D781" s="47" t="s">
        <v>66</v>
      </c>
      <c r="E781" s="47" t="s">
        <v>127</v>
      </c>
      <c r="F781" s="47" t="s">
        <v>148</v>
      </c>
    </row>
    <row r="782" customFormat="false" ht="15" hidden="false" customHeight="false" outlineLevel="0" collapsed="false">
      <c r="A782" s="55" t="n">
        <f aca="false">FALSE()</f>
        <v>0</v>
      </c>
      <c r="B782" s="56" t="s">
        <v>923</v>
      </c>
      <c r="C782" s="46" t="n">
        <f aca="false">'Get Started'!$C$4-2+0</f>
        <v>46550</v>
      </c>
      <c r="D782" s="45" t="s">
        <v>66</v>
      </c>
      <c r="E782" s="45" t="s">
        <v>127</v>
      </c>
      <c r="F782" s="45" t="s">
        <v>148</v>
      </c>
    </row>
    <row r="783" customFormat="false" ht="15" hidden="false" customHeight="false" outlineLevel="0" collapsed="false">
      <c r="A783" s="53" t="n">
        <f aca="false">FALSE()</f>
        <v>0</v>
      </c>
      <c r="B783" s="54" t="s">
        <v>924</v>
      </c>
      <c r="C783" s="48" t="n">
        <f aca="false">'Get Started'!$C$4-2+0</f>
        <v>46550</v>
      </c>
      <c r="D783" s="47" t="s">
        <v>66</v>
      </c>
      <c r="E783" s="47" t="s">
        <v>127</v>
      </c>
      <c r="F783" s="47" t="s">
        <v>148</v>
      </c>
    </row>
    <row r="784" customFormat="false" ht="15" hidden="false" customHeight="false" outlineLevel="0" collapsed="false">
      <c r="A784" s="55" t="n">
        <f aca="false">FALSE()</f>
        <v>0</v>
      </c>
      <c r="B784" s="56" t="s">
        <v>925</v>
      </c>
      <c r="C784" s="46" t="n">
        <f aca="false">'Get Started'!$C$4-2+1</f>
        <v>46551</v>
      </c>
      <c r="D784" s="45" t="s">
        <v>66</v>
      </c>
      <c r="E784" s="45" t="s">
        <v>127</v>
      </c>
      <c r="F784" s="45" t="s">
        <v>148</v>
      </c>
    </row>
    <row r="785" customFormat="false" ht="15" hidden="false" customHeight="false" outlineLevel="0" collapsed="false">
      <c r="A785" s="53" t="n">
        <f aca="false">FALSE()</f>
        <v>0</v>
      </c>
      <c r="B785" s="54" t="s">
        <v>926</v>
      </c>
      <c r="C785" s="48" t="n">
        <f aca="false">'Get Started'!$C$4-2+1</f>
        <v>46551</v>
      </c>
      <c r="D785" s="47" t="s">
        <v>66</v>
      </c>
      <c r="E785" s="47" t="s">
        <v>127</v>
      </c>
      <c r="F785" s="47" t="s">
        <v>148</v>
      </c>
    </row>
    <row r="786" customFormat="false" ht="15" hidden="false" customHeight="false" outlineLevel="0" collapsed="false">
      <c r="A786" s="55" t="n">
        <f aca="false">FALSE()</f>
        <v>0</v>
      </c>
      <c r="B786" s="56" t="s">
        <v>927</v>
      </c>
      <c r="C786" s="46" t="n">
        <f aca="false">'Get Started'!$C$4-2+2</f>
        <v>46552</v>
      </c>
      <c r="D786" s="45" t="s">
        <v>66</v>
      </c>
      <c r="E786" s="45" t="s">
        <v>127</v>
      </c>
      <c r="F786" s="45" t="s">
        <v>148</v>
      </c>
    </row>
    <row r="787" customFormat="false" ht="15" hidden="false" customHeight="false" outlineLevel="0" collapsed="false">
      <c r="A787" s="53" t="n">
        <f aca="false">FALSE()</f>
        <v>0</v>
      </c>
      <c r="B787" s="54" t="s">
        <v>928</v>
      </c>
      <c r="C787" s="48" t="n">
        <f aca="false">'Get Started'!$C$4-2+2</f>
        <v>46552</v>
      </c>
      <c r="D787" s="47" t="s">
        <v>66</v>
      </c>
      <c r="E787" s="47" t="s">
        <v>127</v>
      </c>
      <c r="F787" s="47" t="s">
        <v>148</v>
      </c>
    </row>
    <row r="788" customFormat="false" ht="15" hidden="false" customHeight="false" outlineLevel="0" collapsed="false">
      <c r="A788" s="55" t="n">
        <f aca="false">FALSE()</f>
        <v>0</v>
      </c>
      <c r="B788" s="56" t="s">
        <v>929</v>
      </c>
      <c r="C788" s="46" t="n">
        <f aca="false">'Get Started'!$C$4-2+3</f>
        <v>46553</v>
      </c>
      <c r="D788" s="45" t="s">
        <v>66</v>
      </c>
      <c r="E788" s="45" t="s">
        <v>127</v>
      </c>
      <c r="F788" s="45" t="s">
        <v>148</v>
      </c>
    </row>
    <row r="789" customFormat="false" ht="15" hidden="false" customHeight="false" outlineLevel="0" collapsed="false">
      <c r="A789" s="53" t="n">
        <f aca="false">FALSE()</f>
        <v>0</v>
      </c>
      <c r="B789" s="54" t="s">
        <v>930</v>
      </c>
      <c r="C789" s="48" t="n">
        <f aca="false">'Get Started'!$C$4-2+3</f>
        <v>46553</v>
      </c>
      <c r="D789" s="47" t="s">
        <v>66</v>
      </c>
      <c r="E789" s="47" t="s">
        <v>127</v>
      </c>
      <c r="F789" s="47" t="s">
        <v>148</v>
      </c>
    </row>
    <row r="790" customFormat="false" ht="15" hidden="false" customHeight="false" outlineLevel="0" collapsed="false">
      <c r="A790" s="55" t="n">
        <f aca="false">FALSE()</f>
        <v>0</v>
      </c>
      <c r="B790" s="56" t="s">
        <v>931</v>
      </c>
      <c r="C790" s="46" t="n">
        <f aca="false">'Get Started'!$C$4-2+4</f>
        <v>46554</v>
      </c>
      <c r="D790" s="45" t="s">
        <v>66</v>
      </c>
      <c r="E790" s="45" t="s">
        <v>127</v>
      </c>
      <c r="F790" s="45" t="s">
        <v>148</v>
      </c>
    </row>
    <row r="791" customFormat="false" ht="15" hidden="false" customHeight="false" outlineLevel="0" collapsed="false">
      <c r="A791" s="53" t="n">
        <f aca="false">FALSE()</f>
        <v>0</v>
      </c>
      <c r="B791" s="54" t="s">
        <v>932</v>
      </c>
      <c r="C791" s="48" t="n">
        <f aca="false">'Get Started'!$C$4-2+5</f>
        <v>46555</v>
      </c>
      <c r="D791" s="47" t="s">
        <v>66</v>
      </c>
      <c r="E791" s="47" t="s">
        <v>127</v>
      </c>
      <c r="F791" s="47" t="s">
        <v>148</v>
      </c>
    </row>
    <row r="792" customFormat="false" ht="15" hidden="false" customHeight="false" outlineLevel="0" collapsed="false">
      <c r="A792" s="55" t="n">
        <f aca="false">FALSE()</f>
        <v>0</v>
      </c>
      <c r="B792" s="56" t="s">
        <v>933</v>
      </c>
      <c r="C792" s="46" t="n">
        <f aca="false">'Get Started'!$C$4-1+-5</f>
        <v>46546</v>
      </c>
      <c r="D792" s="45" t="s">
        <v>66</v>
      </c>
      <c r="E792" s="45" t="s">
        <v>127</v>
      </c>
      <c r="F792" s="45" t="s">
        <v>150</v>
      </c>
    </row>
    <row r="793" customFormat="false" ht="15" hidden="false" customHeight="false" outlineLevel="0" collapsed="false">
      <c r="A793" s="53" t="n">
        <f aca="false">FALSE()</f>
        <v>0</v>
      </c>
      <c r="B793" s="54" t="s">
        <v>874</v>
      </c>
      <c r="C793" s="48" t="n">
        <f aca="false">'Get Started'!$C$4-1+-5</f>
        <v>46546</v>
      </c>
      <c r="D793" s="47" t="s">
        <v>66</v>
      </c>
      <c r="E793" s="47" t="s">
        <v>127</v>
      </c>
      <c r="F793" s="47" t="s">
        <v>150</v>
      </c>
    </row>
    <row r="794" customFormat="false" ht="15" hidden="false" customHeight="false" outlineLevel="0" collapsed="false">
      <c r="A794" s="55" t="n">
        <f aca="false">FALSE()</f>
        <v>0</v>
      </c>
      <c r="B794" s="56" t="s">
        <v>934</v>
      </c>
      <c r="C794" s="46" t="n">
        <f aca="false">'Get Started'!$C$4-1+-4</f>
        <v>46547</v>
      </c>
      <c r="D794" s="45" t="s">
        <v>66</v>
      </c>
      <c r="E794" s="45" t="s">
        <v>127</v>
      </c>
      <c r="F794" s="45" t="s">
        <v>150</v>
      </c>
    </row>
    <row r="795" customFormat="false" ht="15" hidden="false" customHeight="false" outlineLevel="0" collapsed="false">
      <c r="A795" s="53" t="n">
        <f aca="false">FALSE()</f>
        <v>0</v>
      </c>
      <c r="B795" s="54" t="s">
        <v>935</v>
      </c>
      <c r="C795" s="48" t="n">
        <f aca="false">'Get Started'!$C$4-1+-3</f>
        <v>46548</v>
      </c>
      <c r="D795" s="47" t="s">
        <v>66</v>
      </c>
      <c r="E795" s="47" t="s">
        <v>127</v>
      </c>
      <c r="F795" s="47" t="s">
        <v>150</v>
      </c>
    </row>
    <row r="796" customFormat="false" ht="15" hidden="false" customHeight="false" outlineLevel="0" collapsed="false">
      <c r="A796" s="55" t="n">
        <f aca="false">FALSE()</f>
        <v>0</v>
      </c>
      <c r="B796" s="56" t="s">
        <v>936</v>
      </c>
      <c r="C796" s="46" t="n">
        <f aca="false">'Get Started'!$C$4-1+-2</f>
        <v>46549</v>
      </c>
      <c r="D796" s="45" t="s">
        <v>66</v>
      </c>
      <c r="E796" s="45" t="s">
        <v>127</v>
      </c>
      <c r="F796" s="45" t="s">
        <v>150</v>
      </c>
    </row>
    <row r="797" customFormat="false" ht="15" hidden="false" customHeight="false" outlineLevel="0" collapsed="false">
      <c r="A797" s="53" t="n">
        <f aca="false">FALSE()</f>
        <v>0</v>
      </c>
      <c r="B797" s="54" t="s">
        <v>937</v>
      </c>
      <c r="C797" s="48" t="n">
        <f aca="false">'Get Started'!$C$4-1+-1</f>
        <v>46550</v>
      </c>
      <c r="D797" s="47" t="s">
        <v>66</v>
      </c>
      <c r="E797" s="47" t="s">
        <v>127</v>
      </c>
      <c r="F797" s="47" t="s">
        <v>150</v>
      </c>
    </row>
    <row r="798" customFormat="false" ht="15" hidden="false" customHeight="false" outlineLevel="0" collapsed="false">
      <c r="A798" s="55" t="n">
        <f aca="false">FALSE()</f>
        <v>0</v>
      </c>
      <c r="B798" s="56" t="s">
        <v>938</v>
      </c>
      <c r="C798" s="46" t="n">
        <f aca="false">'Get Started'!$C$4-1+0</f>
        <v>46551</v>
      </c>
      <c r="D798" s="45" t="s">
        <v>66</v>
      </c>
      <c r="E798" s="45" t="s">
        <v>127</v>
      </c>
      <c r="F798" s="45" t="s">
        <v>150</v>
      </c>
    </row>
    <row r="799" customFormat="false" ht="15" hidden="false" customHeight="false" outlineLevel="0" collapsed="false">
      <c r="A799" s="53" t="n">
        <f aca="false">FALSE()</f>
        <v>0</v>
      </c>
      <c r="B799" s="54" t="s">
        <v>939</v>
      </c>
      <c r="C799" s="48" t="n">
        <f aca="false">'Get Started'!$C$4-1+0</f>
        <v>46551</v>
      </c>
      <c r="D799" s="47" t="s">
        <v>66</v>
      </c>
      <c r="E799" s="47" t="s">
        <v>127</v>
      </c>
      <c r="F799" s="47" t="s">
        <v>150</v>
      </c>
    </row>
    <row r="800" customFormat="false" ht="15" hidden="false" customHeight="false" outlineLevel="0" collapsed="false">
      <c r="A800" s="55" t="n">
        <f aca="false">FALSE()</f>
        <v>0</v>
      </c>
      <c r="B800" s="56" t="s">
        <v>940</v>
      </c>
      <c r="C800" s="46" t="n">
        <f aca="false">'Get Started'!$C$4-1+1</f>
        <v>46552</v>
      </c>
      <c r="D800" s="45" t="s">
        <v>66</v>
      </c>
      <c r="E800" s="45" t="s">
        <v>127</v>
      </c>
      <c r="F800" s="45" t="s">
        <v>150</v>
      </c>
    </row>
    <row r="801" customFormat="false" ht="15" hidden="false" customHeight="false" outlineLevel="0" collapsed="false">
      <c r="A801" s="53" t="n">
        <f aca="false">FALSE()</f>
        <v>0</v>
      </c>
      <c r="B801" s="54" t="s">
        <v>941</v>
      </c>
      <c r="C801" s="48" t="n">
        <f aca="false">'Get Started'!$C$4-1+2</f>
        <v>46553</v>
      </c>
      <c r="D801" s="47" t="s">
        <v>66</v>
      </c>
      <c r="E801" s="47" t="s">
        <v>127</v>
      </c>
      <c r="F801" s="47" t="s">
        <v>150</v>
      </c>
    </row>
    <row r="802" customFormat="false" ht="15" hidden="false" customHeight="false" outlineLevel="0" collapsed="false">
      <c r="A802" s="55" t="n">
        <f aca="false">FALSE()</f>
        <v>0</v>
      </c>
      <c r="B802" s="56" t="s">
        <v>942</v>
      </c>
      <c r="C802" s="46" t="n">
        <f aca="false">'Get Started'!$C$4-1+3</f>
        <v>46554</v>
      </c>
      <c r="D802" s="45" t="s">
        <v>66</v>
      </c>
      <c r="E802" s="45" t="s">
        <v>127</v>
      </c>
      <c r="F802" s="45" t="s">
        <v>150</v>
      </c>
    </row>
    <row r="803" customFormat="false" ht="15" hidden="false" customHeight="false" outlineLevel="0" collapsed="false">
      <c r="A803" s="53" t="n">
        <f aca="false">FALSE()</f>
        <v>0</v>
      </c>
      <c r="B803" s="54" t="s">
        <v>943</v>
      </c>
      <c r="C803" s="48" t="n">
        <f aca="false">'Get Started'!$C$4-1+4</f>
        <v>46555</v>
      </c>
      <c r="D803" s="47" t="s">
        <v>66</v>
      </c>
      <c r="E803" s="47" t="s">
        <v>127</v>
      </c>
      <c r="F803" s="47" t="s">
        <v>150</v>
      </c>
    </row>
    <row r="804" customFormat="false" ht="15" hidden="false" customHeight="false" outlineLevel="0" collapsed="false">
      <c r="A804" s="55" t="n">
        <f aca="false">FALSE()</f>
        <v>0</v>
      </c>
      <c r="B804" s="56" t="s">
        <v>944</v>
      </c>
      <c r="C804" s="46" t="n">
        <f aca="false">'Get Started'!$C$4-1+5</f>
        <v>46556</v>
      </c>
      <c r="D804" s="45" t="s">
        <v>66</v>
      </c>
      <c r="E804" s="45" t="s">
        <v>127</v>
      </c>
      <c r="F804" s="45" t="s">
        <v>150</v>
      </c>
    </row>
    <row r="805" customFormat="false" ht="15" hidden="false" customHeight="false" outlineLevel="0" collapsed="false">
      <c r="A805" s="53" t="n">
        <f aca="false">FALSE()</f>
        <v>0</v>
      </c>
      <c r="B805" s="54" t="s">
        <v>945</v>
      </c>
      <c r="C805" s="48" t="n">
        <f aca="false">'Get Started'!$C$4-180+-5</f>
        <v>46367</v>
      </c>
      <c r="D805" s="47" t="s">
        <v>66</v>
      </c>
      <c r="E805" s="47" t="s">
        <v>127</v>
      </c>
      <c r="F805" s="47" t="s">
        <v>152</v>
      </c>
    </row>
    <row r="806" customFormat="false" ht="15" hidden="false" customHeight="false" outlineLevel="0" collapsed="false">
      <c r="A806" s="55" t="n">
        <f aca="false">FALSE()</f>
        <v>0</v>
      </c>
      <c r="B806" s="56" t="s">
        <v>946</v>
      </c>
      <c r="C806" s="46" t="n">
        <f aca="false">'Get Started'!$C$4-180+-5</f>
        <v>46367</v>
      </c>
      <c r="D806" s="45" t="s">
        <v>66</v>
      </c>
      <c r="E806" s="45" t="s">
        <v>127</v>
      </c>
      <c r="F806" s="45" t="s">
        <v>152</v>
      </c>
    </row>
    <row r="807" customFormat="false" ht="15" hidden="false" customHeight="false" outlineLevel="0" collapsed="false">
      <c r="A807" s="53" t="n">
        <f aca="false">FALSE()</f>
        <v>0</v>
      </c>
      <c r="B807" s="54" t="s">
        <v>947</v>
      </c>
      <c r="C807" s="48" t="n">
        <f aca="false">'Get Started'!$C$4-180+-5</f>
        <v>46367</v>
      </c>
      <c r="D807" s="47" t="s">
        <v>66</v>
      </c>
      <c r="E807" s="47" t="s">
        <v>127</v>
      </c>
      <c r="F807" s="47" t="s">
        <v>152</v>
      </c>
    </row>
    <row r="808" customFormat="false" ht="15" hidden="false" customHeight="false" outlineLevel="0" collapsed="false">
      <c r="A808" s="55" t="n">
        <f aca="false">FALSE()</f>
        <v>0</v>
      </c>
      <c r="B808" s="56" t="s">
        <v>948</v>
      </c>
      <c r="C808" s="46" t="n">
        <f aca="false">'Get Started'!$C$4-180+-5</f>
        <v>46367</v>
      </c>
      <c r="D808" s="45" t="s">
        <v>66</v>
      </c>
      <c r="E808" s="45" t="s">
        <v>127</v>
      </c>
      <c r="F808" s="45" t="s">
        <v>152</v>
      </c>
    </row>
    <row r="809" customFormat="false" ht="15" hidden="false" customHeight="false" outlineLevel="0" collapsed="false">
      <c r="A809" s="53" t="n">
        <f aca="false">FALSE()</f>
        <v>0</v>
      </c>
      <c r="B809" s="54" t="s">
        <v>949</v>
      </c>
      <c r="C809" s="48" t="n">
        <f aca="false">'Get Started'!$C$4-180+-5</f>
        <v>46367</v>
      </c>
      <c r="D809" s="47" t="s">
        <v>66</v>
      </c>
      <c r="E809" s="47" t="s">
        <v>127</v>
      </c>
      <c r="F809" s="47" t="s">
        <v>152</v>
      </c>
    </row>
    <row r="810" customFormat="false" ht="15" hidden="false" customHeight="false" outlineLevel="0" collapsed="false">
      <c r="A810" s="55" t="n">
        <f aca="false">FALSE()</f>
        <v>0</v>
      </c>
      <c r="B810" s="56" t="s">
        <v>950</v>
      </c>
      <c r="C810" s="46" t="n">
        <f aca="false">'Get Started'!$C$4-180+-4</f>
        <v>46368</v>
      </c>
      <c r="D810" s="45" t="s">
        <v>66</v>
      </c>
      <c r="E810" s="45" t="s">
        <v>127</v>
      </c>
      <c r="F810" s="45" t="s">
        <v>152</v>
      </c>
    </row>
    <row r="811" customFormat="false" ht="15" hidden="false" customHeight="false" outlineLevel="0" collapsed="false">
      <c r="A811" s="53" t="n">
        <f aca="false">FALSE()</f>
        <v>0</v>
      </c>
      <c r="B811" s="54" t="s">
        <v>951</v>
      </c>
      <c r="C811" s="48" t="n">
        <f aca="false">'Get Started'!$C$4-180+-4</f>
        <v>46368</v>
      </c>
      <c r="D811" s="47" t="s">
        <v>66</v>
      </c>
      <c r="E811" s="47" t="s">
        <v>127</v>
      </c>
      <c r="F811" s="47" t="s">
        <v>152</v>
      </c>
    </row>
    <row r="812" customFormat="false" ht="15" hidden="false" customHeight="false" outlineLevel="0" collapsed="false">
      <c r="A812" s="55" t="n">
        <f aca="false">FALSE()</f>
        <v>0</v>
      </c>
      <c r="B812" s="56" t="s">
        <v>952</v>
      </c>
      <c r="C812" s="46" t="n">
        <f aca="false">'Get Started'!$C$4-180+-4</f>
        <v>46368</v>
      </c>
      <c r="D812" s="45" t="s">
        <v>66</v>
      </c>
      <c r="E812" s="45" t="s">
        <v>127</v>
      </c>
      <c r="F812" s="45" t="s">
        <v>152</v>
      </c>
    </row>
    <row r="813" customFormat="false" ht="15" hidden="false" customHeight="false" outlineLevel="0" collapsed="false">
      <c r="A813" s="53" t="n">
        <f aca="false">FALSE()</f>
        <v>0</v>
      </c>
      <c r="B813" s="54" t="s">
        <v>953</v>
      </c>
      <c r="C813" s="48" t="n">
        <f aca="false">'Get Started'!$C$4-180+-4</f>
        <v>46368</v>
      </c>
      <c r="D813" s="47" t="s">
        <v>66</v>
      </c>
      <c r="E813" s="47" t="s">
        <v>127</v>
      </c>
      <c r="F813" s="47" t="s">
        <v>152</v>
      </c>
    </row>
    <row r="814" customFormat="false" ht="15" hidden="false" customHeight="false" outlineLevel="0" collapsed="false">
      <c r="A814" s="55" t="n">
        <f aca="false">FALSE()</f>
        <v>0</v>
      </c>
      <c r="B814" s="56" t="s">
        <v>954</v>
      </c>
      <c r="C814" s="46" t="n">
        <f aca="false">'Get Started'!$C$4-180+-4</f>
        <v>46368</v>
      </c>
      <c r="D814" s="45" t="s">
        <v>66</v>
      </c>
      <c r="E814" s="45" t="s">
        <v>127</v>
      </c>
      <c r="F814" s="45" t="s">
        <v>152</v>
      </c>
    </row>
    <row r="815" customFormat="false" ht="15" hidden="false" customHeight="false" outlineLevel="0" collapsed="false">
      <c r="A815" s="53" t="n">
        <f aca="false">FALSE()</f>
        <v>0</v>
      </c>
      <c r="B815" s="54" t="s">
        <v>955</v>
      </c>
      <c r="C815" s="48" t="n">
        <f aca="false">'Get Started'!$C$4-180+-3</f>
        <v>46369</v>
      </c>
      <c r="D815" s="47" t="s">
        <v>66</v>
      </c>
      <c r="E815" s="47" t="s">
        <v>127</v>
      </c>
      <c r="F815" s="47" t="s">
        <v>152</v>
      </c>
    </row>
    <row r="816" customFormat="false" ht="15" hidden="false" customHeight="false" outlineLevel="0" collapsed="false">
      <c r="A816" s="55" t="n">
        <f aca="false">FALSE()</f>
        <v>0</v>
      </c>
      <c r="B816" s="56" t="s">
        <v>956</v>
      </c>
      <c r="C816" s="46" t="n">
        <f aca="false">'Get Started'!$C$4-180+-3</f>
        <v>46369</v>
      </c>
      <c r="D816" s="45" t="s">
        <v>66</v>
      </c>
      <c r="E816" s="45" t="s">
        <v>127</v>
      </c>
      <c r="F816" s="45" t="s">
        <v>152</v>
      </c>
    </row>
    <row r="817" customFormat="false" ht="15" hidden="false" customHeight="false" outlineLevel="0" collapsed="false">
      <c r="A817" s="53" t="n">
        <f aca="false">FALSE()</f>
        <v>0</v>
      </c>
      <c r="B817" s="54" t="s">
        <v>957</v>
      </c>
      <c r="C817" s="48" t="n">
        <f aca="false">'Get Started'!$C$4-180+-3</f>
        <v>46369</v>
      </c>
      <c r="D817" s="47" t="s">
        <v>66</v>
      </c>
      <c r="E817" s="47" t="s">
        <v>127</v>
      </c>
      <c r="F817" s="47" t="s">
        <v>152</v>
      </c>
    </row>
    <row r="818" customFormat="false" ht="15" hidden="false" customHeight="false" outlineLevel="0" collapsed="false">
      <c r="A818" s="55" t="n">
        <f aca="false">FALSE()</f>
        <v>0</v>
      </c>
      <c r="B818" s="56" t="s">
        <v>958</v>
      </c>
      <c r="C818" s="46" t="n">
        <f aca="false">'Get Started'!$C$4-180+-3</f>
        <v>46369</v>
      </c>
      <c r="D818" s="45" t="s">
        <v>66</v>
      </c>
      <c r="E818" s="45" t="s">
        <v>127</v>
      </c>
      <c r="F818" s="45" t="s">
        <v>152</v>
      </c>
    </row>
    <row r="819" customFormat="false" ht="15" hidden="false" customHeight="false" outlineLevel="0" collapsed="false">
      <c r="A819" s="53" t="n">
        <f aca="false">FALSE()</f>
        <v>0</v>
      </c>
      <c r="B819" s="54" t="s">
        <v>959</v>
      </c>
      <c r="C819" s="48" t="n">
        <f aca="false">'Get Started'!$C$4-180+-3</f>
        <v>46369</v>
      </c>
      <c r="D819" s="47" t="s">
        <v>66</v>
      </c>
      <c r="E819" s="47" t="s">
        <v>127</v>
      </c>
      <c r="F819" s="47" t="s">
        <v>152</v>
      </c>
    </row>
    <row r="820" customFormat="false" ht="15" hidden="false" customHeight="false" outlineLevel="0" collapsed="false">
      <c r="A820" s="55" t="n">
        <f aca="false">FALSE()</f>
        <v>0</v>
      </c>
      <c r="B820" s="56" t="s">
        <v>960</v>
      </c>
      <c r="C820" s="46" t="n">
        <f aca="false">'Get Started'!$C$4-180+-2</f>
        <v>46370</v>
      </c>
      <c r="D820" s="45" t="s">
        <v>66</v>
      </c>
      <c r="E820" s="45" t="s">
        <v>127</v>
      </c>
      <c r="F820" s="45" t="s">
        <v>152</v>
      </c>
    </row>
    <row r="821" customFormat="false" ht="15" hidden="false" customHeight="false" outlineLevel="0" collapsed="false">
      <c r="A821" s="53" t="n">
        <f aca="false">FALSE()</f>
        <v>0</v>
      </c>
      <c r="B821" s="54" t="s">
        <v>961</v>
      </c>
      <c r="C821" s="48" t="n">
        <f aca="false">'Get Started'!$C$4-180+-2</f>
        <v>46370</v>
      </c>
      <c r="D821" s="47" t="s">
        <v>66</v>
      </c>
      <c r="E821" s="47" t="s">
        <v>127</v>
      </c>
      <c r="F821" s="47" t="s">
        <v>152</v>
      </c>
    </row>
    <row r="822" customFormat="false" ht="15" hidden="false" customHeight="false" outlineLevel="0" collapsed="false">
      <c r="A822" s="55" t="n">
        <f aca="false">FALSE()</f>
        <v>0</v>
      </c>
      <c r="B822" s="56" t="s">
        <v>962</v>
      </c>
      <c r="C822" s="46" t="n">
        <f aca="false">'Get Started'!$C$4-180+-2</f>
        <v>46370</v>
      </c>
      <c r="D822" s="45" t="s">
        <v>66</v>
      </c>
      <c r="E822" s="45" t="s">
        <v>127</v>
      </c>
      <c r="F822" s="45" t="s">
        <v>152</v>
      </c>
    </row>
    <row r="823" customFormat="false" ht="15" hidden="false" customHeight="false" outlineLevel="0" collapsed="false">
      <c r="A823" s="53" t="n">
        <f aca="false">FALSE()</f>
        <v>0</v>
      </c>
      <c r="B823" s="54" t="s">
        <v>963</v>
      </c>
      <c r="C823" s="48" t="n">
        <f aca="false">'Get Started'!$C$4-180+-2</f>
        <v>46370</v>
      </c>
      <c r="D823" s="47" t="s">
        <v>66</v>
      </c>
      <c r="E823" s="47" t="s">
        <v>127</v>
      </c>
      <c r="F823" s="47" t="s">
        <v>152</v>
      </c>
    </row>
    <row r="824" customFormat="false" ht="15" hidden="false" customHeight="false" outlineLevel="0" collapsed="false">
      <c r="A824" s="55" t="n">
        <f aca="false">FALSE()</f>
        <v>0</v>
      </c>
      <c r="B824" s="56" t="s">
        <v>964</v>
      </c>
      <c r="C824" s="46" t="n">
        <f aca="false">'Get Started'!$C$4-180+-2</f>
        <v>46370</v>
      </c>
      <c r="D824" s="45" t="s">
        <v>66</v>
      </c>
      <c r="E824" s="45" t="s">
        <v>127</v>
      </c>
      <c r="F824" s="45" t="s">
        <v>152</v>
      </c>
    </row>
    <row r="825" customFormat="false" ht="15" hidden="false" customHeight="false" outlineLevel="0" collapsed="false">
      <c r="A825" s="53" t="n">
        <f aca="false">FALSE()</f>
        <v>0</v>
      </c>
      <c r="B825" s="54" t="s">
        <v>965</v>
      </c>
      <c r="C825" s="48" t="n">
        <f aca="false">'Get Started'!$C$4-180+-1</f>
        <v>46371</v>
      </c>
      <c r="D825" s="47" t="s">
        <v>66</v>
      </c>
      <c r="E825" s="47" t="s">
        <v>127</v>
      </c>
      <c r="F825" s="47" t="s">
        <v>152</v>
      </c>
    </row>
    <row r="826" customFormat="false" ht="15" hidden="false" customHeight="false" outlineLevel="0" collapsed="false">
      <c r="A826" s="55" t="n">
        <f aca="false">FALSE()</f>
        <v>0</v>
      </c>
      <c r="B826" s="56" t="s">
        <v>966</v>
      </c>
      <c r="C826" s="46" t="n">
        <f aca="false">'Get Started'!$C$4-180+-1</f>
        <v>46371</v>
      </c>
      <c r="D826" s="45" t="s">
        <v>66</v>
      </c>
      <c r="E826" s="45" t="s">
        <v>127</v>
      </c>
      <c r="F826" s="45" t="s">
        <v>152</v>
      </c>
    </row>
    <row r="827" customFormat="false" ht="15" hidden="false" customHeight="false" outlineLevel="0" collapsed="false">
      <c r="A827" s="53" t="n">
        <f aca="false">FALSE()</f>
        <v>0</v>
      </c>
      <c r="B827" s="54" t="s">
        <v>967</v>
      </c>
      <c r="C827" s="48" t="n">
        <f aca="false">'Get Started'!$C$4-180+-1</f>
        <v>46371</v>
      </c>
      <c r="D827" s="47" t="s">
        <v>66</v>
      </c>
      <c r="E827" s="47" t="s">
        <v>127</v>
      </c>
      <c r="F827" s="47" t="s">
        <v>152</v>
      </c>
    </row>
    <row r="828" customFormat="false" ht="15" hidden="false" customHeight="false" outlineLevel="0" collapsed="false">
      <c r="A828" s="55" t="n">
        <f aca="false">FALSE()</f>
        <v>0</v>
      </c>
      <c r="B828" s="56" t="s">
        <v>968</v>
      </c>
      <c r="C828" s="46" t="n">
        <f aca="false">'Get Started'!$C$4-180+-1</f>
        <v>46371</v>
      </c>
      <c r="D828" s="45" t="s">
        <v>66</v>
      </c>
      <c r="E828" s="45" t="s">
        <v>127</v>
      </c>
      <c r="F828" s="45" t="s">
        <v>152</v>
      </c>
    </row>
    <row r="829" customFormat="false" ht="15" hidden="false" customHeight="false" outlineLevel="0" collapsed="false">
      <c r="A829" s="53" t="n">
        <f aca="false">FALSE()</f>
        <v>0</v>
      </c>
      <c r="B829" s="54" t="s">
        <v>969</v>
      </c>
      <c r="C829" s="48" t="n">
        <f aca="false">'Get Started'!$C$4-180+-1</f>
        <v>46371</v>
      </c>
      <c r="D829" s="47" t="s">
        <v>66</v>
      </c>
      <c r="E829" s="47" t="s">
        <v>127</v>
      </c>
      <c r="F829" s="47" t="s">
        <v>152</v>
      </c>
    </row>
    <row r="830" customFormat="false" ht="15" hidden="false" customHeight="false" outlineLevel="0" collapsed="false">
      <c r="A830" s="55" t="n">
        <f aca="false">FALSE()</f>
        <v>0</v>
      </c>
      <c r="B830" s="56" t="s">
        <v>970</v>
      </c>
      <c r="C830" s="46" t="n">
        <f aca="false">'Get Started'!$C$4-180+0</f>
        <v>46372</v>
      </c>
      <c r="D830" s="45" t="s">
        <v>66</v>
      </c>
      <c r="E830" s="45" t="s">
        <v>127</v>
      </c>
      <c r="F830" s="45" t="s">
        <v>152</v>
      </c>
    </row>
    <row r="831" customFormat="false" ht="15" hidden="false" customHeight="false" outlineLevel="0" collapsed="false">
      <c r="A831" s="53" t="n">
        <f aca="false">FALSE()</f>
        <v>0</v>
      </c>
      <c r="B831" s="54" t="s">
        <v>971</v>
      </c>
      <c r="C831" s="48" t="n">
        <f aca="false">'Get Started'!$C$4-180+0</f>
        <v>46372</v>
      </c>
      <c r="D831" s="47" t="s">
        <v>66</v>
      </c>
      <c r="E831" s="47" t="s">
        <v>127</v>
      </c>
      <c r="F831" s="47" t="s">
        <v>152</v>
      </c>
    </row>
    <row r="832" customFormat="false" ht="15" hidden="false" customHeight="false" outlineLevel="0" collapsed="false">
      <c r="A832" s="55" t="n">
        <f aca="false">FALSE()</f>
        <v>0</v>
      </c>
      <c r="B832" s="56" t="s">
        <v>972</v>
      </c>
      <c r="C832" s="46" t="n">
        <f aca="false">'Get Started'!$C$4-180+0</f>
        <v>46372</v>
      </c>
      <c r="D832" s="45" t="s">
        <v>66</v>
      </c>
      <c r="E832" s="45" t="s">
        <v>127</v>
      </c>
      <c r="F832" s="45" t="s">
        <v>152</v>
      </c>
    </row>
    <row r="833" customFormat="false" ht="23.85" hidden="false" customHeight="false" outlineLevel="0" collapsed="false">
      <c r="A833" s="53" t="n">
        <f aca="false">FALSE()</f>
        <v>0</v>
      </c>
      <c r="B833" s="54" t="s">
        <v>973</v>
      </c>
      <c r="C833" s="48" t="n">
        <f aca="false">'Get Started'!$C$4-180+0</f>
        <v>46372</v>
      </c>
      <c r="D833" s="47" t="s">
        <v>66</v>
      </c>
      <c r="E833" s="47" t="s">
        <v>127</v>
      </c>
      <c r="F833" s="47" t="s">
        <v>152</v>
      </c>
    </row>
    <row r="834" customFormat="false" ht="15" hidden="false" customHeight="false" outlineLevel="0" collapsed="false">
      <c r="A834" s="55" t="n">
        <f aca="false">FALSE()</f>
        <v>0</v>
      </c>
      <c r="B834" s="56" t="s">
        <v>974</v>
      </c>
      <c r="C834" s="46" t="n">
        <f aca="false">'Get Started'!$C$4-180+0</f>
        <v>46372</v>
      </c>
      <c r="D834" s="45" t="s">
        <v>66</v>
      </c>
      <c r="E834" s="45" t="s">
        <v>127</v>
      </c>
      <c r="F834" s="45" t="s">
        <v>152</v>
      </c>
    </row>
    <row r="835" customFormat="false" ht="15" hidden="false" customHeight="false" outlineLevel="0" collapsed="false">
      <c r="A835" s="53" t="n">
        <f aca="false">FALSE()</f>
        <v>0</v>
      </c>
      <c r="B835" s="54" t="s">
        <v>975</v>
      </c>
      <c r="C835" s="48" t="n">
        <f aca="false">'Get Started'!$C$4-180+1</f>
        <v>46373</v>
      </c>
      <c r="D835" s="47" t="s">
        <v>66</v>
      </c>
      <c r="E835" s="47" t="s">
        <v>127</v>
      </c>
      <c r="F835" s="47" t="s">
        <v>152</v>
      </c>
    </row>
    <row r="836" customFormat="false" ht="15" hidden="false" customHeight="false" outlineLevel="0" collapsed="false">
      <c r="A836" s="55" t="n">
        <f aca="false">FALSE()</f>
        <v>0</v>
      </c>
      <c r="B836" s="56" t="s">
        <v>976</v>
      </c>
      <c r="C836" s="46" t="n">
        <f aca="false">'Get Started'!$C$4-180+1</f>
        <v>46373</v>
      </c>
      <c r="D836" s="45" t="s">
        <v>66</v>
      </c>
      <c r="E836" s="45" t="s">
        <v>127</v>
      </c>
      <c r="F836" s="45" t="s">
        <v>152</v>
      </c>
    </row>
    <row r="837" customFormat="false" ht="15" hidden="false" customHeight="false" outlineLevel="0" collapsed="false">
      <c r="A837" s="53" t="n">
        <f aca="false">FALSE()</f>
        <v>0</v>
      </c>
      <c r="B837" s="54" t="s">
        <v>977</v>
      </c>
      <c r="C837" s="48" t="n">
        <f aca="false">'Get Started'!$C$4-180+1</f>
        <v>46373</v>
      </c>
      <c r="D837" s="47" t="s">
        <v>66</v>
      </c>
      <c r="E837" s="47" t="s">
        <v>127</v>
      </c>
      <c r="F837" s="47" t="s">
        <v>152</v>
      </c>
    </row>
    <row r="838" customFormat="false" ht="15" hidden="false" customHeight="false" outlineLevel="0" collapsed="false">
      <c r="A838" s="55" t="n">
        <f aca="false">FALSE()</f>
        <v>0</v>
      </c>
      <c r="B838" s="56" t="s">
        <v>978</v>
      </c>
      <c r="C838" s="46" t="n">
        <f aca="false">'Get Started'!$C$4-180+1</f>
        <v>46373</v>
      </c>
      <c r="D838" s="45" t="s">
        <v>66</v>
      </c>
      <c r="E838" s="45" t="s">
        <v>127</v>
      </c>
      <c r="F838" s="45" t="s">
        <v>152</v>
      </c>
    </row>
    <row r="839" customFormat="false" ht="15" hidden="false" customHeight="false" outlineLevel="0" collapsed="false">
      <c r="A839" s="53" t="n">
        <f aca="false">FALSE()</f>
        <v>0</v>
      </c>
      <c r="B839" s="54" t="s">
        <v>979</v>
      </c>
      <c r="C839" s="48" t="n">
        <f aca="false">'Get Started'!$C$4-180+1</f>
        <v>46373</v>
      </c>
      <c r="D839" s="47" t="s">
        <v>66</v>
      </c>
      <c r="E839" s="47" t="s">
        <v>127</v>
      </c>
      <c r="F839" s="47" t="s">
        <v>152</v>
      </c>
    </row>
    <row r="840" customFormat="false" ht="15" hidden="false" customHeight="false" outlineLevel="0" collapsed="false">
      <c r="A840" s="55" t="n">
        <f aca="false">FALSE()</f>
        <v>0</v>
      </c>
      <c r="B840" s="56" t="s">
        <v>980</v>
      </c>
      <c r="C840" s="46" t="n">
        <f aca="false">'Get Started'!$C$4-180+2</f>
        <v>46374</v>
      </c>
      <c r="D840" s="45" t="s">
        <v>66</v>
      </c>
      <c r="E840" s="45" t="s">
        <v>127</v>
      </c>
      <c r="F840" s="45" t="s">
        <v>152</v>
      </c>
    </row>
    <row r="841" customFormat="false" ht="15" hidden="false" customHeight="false" outlineLevel="0" collapsed="false">
      <c r="A841" s="53" t="n">
        <f aca="false">FALSE()</f>
        <v>0</v>
      </c>
      <c r="B841" s="54" t="s">
        <v>981</v>
      </c>
      <c r="C841" s="48" t="n">
        <f aca="false">'Get Started'!$C$4-180+2</f>
        <v>46374</v>
      </c>
      <c r="D841" s="47" t="s">
        <v>66</v>
      </c>
      <c r="E841" s="47" t="s">
        <v>127</v>
      </c>
      <c r="F841" s="47" t="s">
        <v>152</v>
      </c>
    </row>
    <row r="842" customFormat="false" ht="15" hidden="false" customHeight="false" outlineLevel="0" collapsed="false">
      <c r="A842" s="55" t="n">
        <f aca="false">FALSE()</f>
        <v>0</v>
      </c>
      <c r="B842" s="56" t="s">
        <v>982</v>
      </c>
      <c r="C842" s="46" t="n">
        <f aca="false">'Get Started'!$C$4-180+2</f>
        <v>46374</v>
      </c>
      <c r="D842" s="45" t="s">
        <v>66</v>
      </c>
      <c r="E842" s="45" t="s">
        <v>127</v>
      </c>
      <c r="F842" s="45" t="s">
        <v>152</v>
      </c>
    </row>
    <row r="843" customFormat="false" ht="15" hidden="false" customHeight="false" outlineLevel="0" collapsed="false">
      <c r="A843" s="53" t="n">
        <f aca="false">FALSE()</f>
        <v>0</v>
      </c>
      <c r="B843" s="54" t="s">
        <v>983</v>
      </c>
      <c r="C843" s="48" t="n">
        <f aca="false">'Get Started'!$C$4-180+2</f>
        <v>46374</v>
      </c>
      <c r="D843" s="47" t="s">
        <v>66</v>
      </c>
      <c r="E843" s="47" t="s">
        <v>127</v>
      </c>
      <c r="F843" s="47" t="s">
        <v>152</v>
      </c>
    </row>
    <row r="844" customFormat="false" ht="15" hidden="false" customHeight="false" outlineLevel="0" collapsed="false">
      <c r="A844" s="55" t="n">
        <f aca="false">FALSE()</f>
        <v>0</v>
      </c>
      <c r="B844" s="56" t="s">
        <v>984</v>
      </c>
      <c r="C844" s="46" t="n">
        <f aca="false">'Get Started'!$C$4-180+2</f>
        <v>46374</v>
      </c>
      <c r="D844" s="45" t="s">
        <v>66</v>
      </c>
      <c r="E844" s="45" t="s">
        <v>127</v>
      </c>
      <c r="F844" s="45" t="s">
        <v>152</v>
      </c>
    </row>
    <row r="845" customFormat="false" ht="15" hidden="false" customHeight="false" outlineLevel="0" collapsed="false">
      <c r="A845" s="53" t="n">
        <f aca="false">FALSE()</f>
        <v>0</v>
      </c>
      <c r="B845" s="54" t="s">
        <v>985</v>
      </c>
      <c r="C845" s="48" t="n">
        <f aca="false">'Get Started'!$C$4-180+3</f>
        <v>46375</v>
      </c>
      <c r="D845" s="47" t="s">
        <v>66</v>
      </c>
      <c r="E845" s="47" t="s">
        <v>127</v>
      </c>
      <c r="F845" s="47" t="s">
        <v>152</v>
      </c>
    </row>
    <row r="846" customFormat="false" ht="15" hidden="false" customHeight="false" outlineLevel="0" collapsed="false">
      <c r="A846" s="55" t="n">
        <f aca="false">FALSE()</f>
        <v>0</v>
      </c>
      <c r="B846" s="56" t="s">
        <v>986</v>
      </c>
      <c r="C846" s="46" t="n">
        <f aca="false">'Get Started'!$C$4-180+3</f>
        <v>46375</v>
      </c>
      <c r="D846" s="45" t="s">
        <v>66</v>
      </c>
      <c r="E846" s="45" t="s">
        <v>127</v>
      </c>
      <c r="F846" s="45" t="s">
        <v>152</v>
      </c>
    </row>
    <row r="847" customFormat="false" ht="15" hidden="false" customHeight="false" outlineLevel="0" collapsed="false">
      <c r="A847" s="53" t="n">
        <f aca="false">FALSE()</f>
        <v>0</v>
      </c>
      <c r="B847" s="54" t="s">
        <v>987</v>
      </c>
      <c r="C847" s="48" t="n">
        <f aca="false">'Get Started'!$C$4-180+3</f>
        <v>46375</v>
      </c>
      <c r="D847" s="47" t="s">
        <v>66</v>
      </c>
      <c r="E847" s="47" t="s">
        <v>127</v>
      </c>
      <c r="F847" s="47" t="s">
        <v>152</v>
      </c>
    </row>
    <row r="848" customFormat="false" ht="15" hidden="false" customHeight="false" outlineLevel="0" collapsed="false">
      <c r="A848" s="55" t="n">
        <f aca="false">FALSE()</f>
        <v>0</v>
      </c>
      <c r="B848" s="56" t="s">
        <v>988</v>
      </c>
      <c r="C848" s="46" t="n">
        <f aca="false">'Get Started'!$C$4-180+3</f>
        <v>46375</v>
      </c>
      <c r="D848" s="45" t="s">
        <v>66</v>
      </c>
      <c r="E848" s="45" t="s">
        <v>127</v>
      </c>
      <c r="F848" s="45" t="s">
        <v>152</v>
      </c>
    </row>
    <row r="849" customFormat="false" ht="15" hidden="false" customHeight="false" outlineLevel="0" collapsed="false">
      <c r="A849" s="53" t="n">
        <f aca="false">FALSE()</f>
        <v>0</v>
      </c>
      <c r="B849" s="54" t="s">
        <v>989</v>
      </c>
      <c r="C849" s="48" t="n">
        <f aca="false">'Get Started'!$C$4-180+3</f>
        <v>46375</v>
      </c>
      <c r="D849" s="47" t="s">
        <v>66</v>
      </c>
      <c r="E849" s="47" t="s">
        <v>127</v>
      </c>
      <c r="F849" s="47" t="s">
        <v>152</v>
      </c>
    </row>
    <row r="850" customFormat="false" ht="15" hidden="false" customHeight="false" outlineLevel="0" collapsed="false">
      <c r="A850" s="55" t="n">
        <f aca="false">FALSE()</f>
        <v>0</v>
      </c>
      <c r="B850" s="56" t="s">
        <v>990</v>
      </c>
      <c r="C850" s="46" t="n">
        <f aca="false">'Get Started'!$C$4-180+4</f>
        <v>46376</v>
      </c>
      <c r="D850" s="45" t="s">
        <v>66</v>
      </c>
      <c r="E850" s="45" t="s">
        <v>127</v>
      </c>
      <c r="F850" s="45" t="s">
        <v>152</v>
      </c>
    </row>
    <row r="851" customFormat="false" ht="15" hidden="false" customHeight="false" outlineLevel="0" collapsed="false">
      <c r="A851" s="53" t="n">
        <f aca="false">FALSE()</f>
        <v>0</v>
      </c>
      <c r="B851" s="54" t="s">
        <v>991</v>
      </c>
      <c r="C851" s="48" t="n">
        <f aca="false">'Get Started'!$C$4-180+4</f>
        <v>46376</v>
      </c>
      <c r="D851" s="47" t="s">
        <v>66</v>
      </c>
      <c r="E851" s="47" t="s">
        <v>127</v>
      </c>
      <c r="F851" s="47" t="s">
        <v>152</v>
      </c>
    </row>
    <row r="852" customFormat="false" ht="15" hidden="false" customHeight="false" outlineLevel="0" collapsed="false">
      <c r="A852" s="55" t="n">
        <f aca="false">FALSE()</f>
        <v>0</v>
      </c>
      <c r="B852" s="56" t="s">
        <v>992</v>
      </c>
      <c r="C852" s="46" t="n">
        <f aca="false">'Get Started'!$C$4-180+4</f>
        <v>46376</v>
      </c>
      <c r="D852" s="45" t="s">
        <v>66</v>
      </c>
      <c r="E852" s="45" t="s">
        <v>127</v>
      </c>
      <c r="F852" s="45" t="s">
        <v>152</v>
      </c>
    </row>
    <row r="853" customFormat="false" ht="15" hidden="false" customHeight="false" outlineLevel="0" collapsed="false">
      <c r="A853" s="53" t="n">
        <f aca="false">FALSE()</f>
        <v>0</v>
      </c>
      <c r="B853" s="54" t="s">
        <v>993</v>
      </c>
      <c r="C853" s="48" t="n">
        <f aca="false">'Get Started'!$C$4-180+4</f>
        <v>46376</v>
      </c>
      <c r="D853" s="47" t="s">
        <v>66</v>
      </c>
      <c r="E853" s="47" t="s">
        <v>127</v>
      </c>
      <c r="F853" s="47" t="s">
        <v>152</v>
      </c>
    </row>
    <row r="854" customFormat="false" ht="15" hidden="false" customHeight="false" outlineLevel="0" collapsed="false">
      <c r="A854" s="55" t="n">
        <f aca="false">FALSE()</f>
        <v>0</v>
      </c>
      <c r="B854" s="56" t="s">
        <v>994</v>
      </c>
      <c r="C854" s="46" t="n">
        <f aca="false">'Get Started'!$C$4-180+4</f>
        <v>46376</v>
      </c>
      <c r="D854" s="45" t="s">
        <v>66</v>
      </c>
      <c r="E854" s="45" t="s">
        <v>127</v>
      </c>
      <c r="F854" s="45" t="s">
        <v>152</v>
      </c>
    </row>
    <row r="855" customFormat="false" ht="15" hidden="false" customHeight="false" outlineLevel="0" collapsed="false">
      <c r="A855" s="53" t="n">
        <f aca="false">FALSE()</f>
        <v>0</v>
      </c>
      <c r="B855" s="54" t="s">
        <v>995</v>
      </c>
      <c r="C855" s="48" t="n">
        <f aca="false">'Get Started'!$C$4-180+5</f>
        <v>46377</v>
      </c>
      <c r="D855" s="47" t="s">
        <v>66</v>
      </c>
      <c r="E855" s="47" t="s">
        <v>127</v>
      </c>
      <c r="F855" s="47" t="s">
        <v>152</v>
      </c>
    </row>
  </sheetData>
  <mergeCells count="4">
    <mergeCell ref="A1:F1"/>
    <mergeCell ref="A2:F2"/>
    <mergeCell ref="H4:J4"/>
    <mergeCell ref="H19:J19"/>
  </mergeCells>
  <conditionalFormatting sqref="E5:E855">
    <cfRule type="expression" priority="2" aboveAverage="0" equalAverage="0" bottom="0" percent="0" rank="0" text="" dxfId="1">
      <formula>EXACT(E5,"Urgent")</formula>
    </cfRule>
    <cfRule type="expression" priority="3" aboveAverage="0" equalAverage="0" bottom="0" percent="0" rank="0" text="" dxfId="3">
      <formula>EXACT(E5,"High")</formula>
    </cfRule>
    <cfRule type="expression" priority="4" aboveAverage="0" equalAverage="0" bottom="0" percent="0" rank="0" text="" dxfId="0">
      <formula>EXACT(E5,"Medium")</formula>
    </cfRule>
    <cfRule type="expression" priority="5" aboveAverage="0" equalAverage="0" bottom="0" percent="0" rank="0" text="" dxfId="2">
      <formula>EXACT(E5,"Low")</formula>
    </cfRule>
  </conditionalFormatting>
  <conditionalFormatting sqref="C5:C855">
    <cfRule type="expression" priority="6" aboveAverage="0" equalAverage="0" bottom="0" percent="0" rank="0" text="" dxfId="1">
      <formula>AND(C5&lt;TODAY(),A5=0)</formula>
    </cfRule>
  </conditionalFormatting>
  <conditionalFormatting sqref="B5:B855">
    <cfRule type="expression" priority="7" aboveAverage="0" equalAverage="0" bottom="0" percent="0" rank="0" text="" dxfId="4">
      <formula>A5=1</formula>
    </cfRule>
  </conditionalFormatting>
  <dataValidations count="4">
    <dataValidation allowBlank="true" errorStyle="stop" operator="between" showDropDown="false" showErrorMessage="false" showInputMessage="false" sqref="D5:D855" type="list">
      <formula1>AssignedTo</formula1>
      <formula2>0</formula2>
    </dataValidation>
    <dataValidation allowBlank="true" errorStyle="stop" operator="between" showDropDown="false" showErrorMessage="false" showInputMessage="false" sqref="E5:E855" type="list">
      <formula1>Priority</formula1>
      <formula2>0</formula2>
    </dataValidation>
    <dataValidation allowBlank="true" errorStyle="stop" operator="between" showDropDown="false" showErrorMessage="false" showInputMessage="false" sqref="F5:F855" type="list">
      <formula1>ChecklistSections</formula1>
      <formula2>0</formula2>
    </dataValidation>
    <dataValidation allowBlank="true" errorStyle="stop" operator="between" showDropDown="false" showErrorMessage="false" showInputMessage="false" sqref="A5:A855" type="list">
      <formula1>TrueFalse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DFD0"/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60" t="s">
        <v>996</v>
      </c>
      <c r="B1" s="60"/>
      <c r="C1" s="60"/>
      <c r="D1" s="60"/>
    </row>
    <row r="3" customFormat="false" ht="19.5" hidden="false" customHeight="true" outlineLevel="0" collapsed="false">
      <c r="A3" s="61" t="s">
        <v>997</v>
      </c>
      <c r="B3" s="61" t="s">
        <v>998</v>
      </c>
      <c r="C3" s="61" t="s">
        <v>999</v>
      </c>
      <c r="D3" s="61" t="s">
        <v>1000</v>
      </c>
    </row>
    <row r="4" customFormat="false" ht="15" hidden="false" customHeight="false" outlineLevel="0" collapsed="false">
      <c r="A4" s="45" t="s">
        <v>1001</v>
      </c>
      <c r="B4" s="45" t="s">
        <v>1002</v>
      </c>
      <c r="C4" s="45" t="s">
        <v>1003</v>
      </c>
      <c r="D4" s="45" t="s">
        <v>1004</v>
      </c>
    </row>
    <row r="5" customFormat="false" ht="15" hidden="false" customHeight="false" outlineLevel="0" collapsed="false">
      <c r="A5" s="47" t="s">
        <v>1005</v>
      </c>
      <c r="B5" s="47" t="s">
        <v>1006</v>
      </c>
      <c r="C5" s="47" t="s">
        <v>1007</v>
      </c>
      <c r="D5" s="47" t="s">
        <v>1008</v>
      </c>
    </row>
    <row r="6" customFormat="false" ht="15" hidden="false" customHeight="false" outlineLevel="0" collapsed="false">
      <c r="A6" s="45" t="s">
        <v>1009</v>
      </c>
      <c r="B6" s="45" t="s">
        <v>1010</v>
      </c>
      <c r="C6" s="45" t="s">
        <v>1011</v>
      </c>
      <c r="D6" s="45" t="s">
        <v>1012</v>
      </c>
    </row>
    <row r="7" customFormat="false" ht="15" hidden="false" customHeight="false" outlineLevel="0" collapsed="false">
      <c r="A7" s="47" t="s">
        <v>1013</v>
      </c>
      <c r="B7" s="47" t="s">
        <v>1014</v>
      </c>
      <c r="C7" s="47" t="s">
        <v>1011</v>
      </c>
      <c r="D7" s="47" t="s">
        <v>1012</v>
      </c>
    </row>
    <row r="8" customFormat="false" ht="15" hidden="false" customHeight="false" outlineLevel="0" collapsed="false">
      <c r="A8" s="45" t="s">
        <v>1015</v>
      </c>
      <c r="B8" s="45" t="s">
        <v>1016</v>
      </c>
      <c r="C8" s="45" t="s">
        <v>1011</v>
      </c>
      <c r="D8" s="45" t="s">
        <v>1012</v>
      </c>
    </row>
    <row r="9" customFormat="false" ht="15" hidden="false" customHeight="false" outlineLevel="0" collapsed="false">
      <c r="A9" s="47" t="s">
        <v>1017</v>
      </c>
      <c r="B9" s="47" t="s">
        <v>1018</v>
      </c>
      <c r="C9" s="47" t="s">
        <v>1019</v>
      </c>
      <c r="D9" s="47" t="s">
        <v>1020</v>
      </c>
    </row>
    <row r="10" customFormat="false" ht="15" hidden="false" customHeight="false" outlineLevel="0" collapsed="false">
      <c r="A10" s="45" t="s">
        <v>1021</v>
      </c>
      <c r="B10" s="45" t="s">
        <v>1022</v>
      </c>
      <c r="C10" s="45" t="s">
        <v>1023</v>
      </c>
      <c r="D10" s="45" t="s">
        <v>1020</v>
      </c>
    </row>
    <row r="11" customFormat="false" ht="15" hidden="false" customHeight="false" outlineLevel="0" collapsed="false">
      <c r="A11" s="47" t="s">
        <v>1024</v>
      </c>
      <c r="B11" s="47" t="s">
        <v>1025</v>
      </c>
      <c r="C11" s="47" t="s">
        <v>1026</v>
      </c>
      <c r="D11" s="47" t="s">
        <v>1027</v>
      </c>
    </row>
    <row r="12" customFormat="false" ht="15" hidden="false" customHeight="false" outlineLevel="0" collapsed="false">
      <c r="A12" s="45" t="s">
        <v>1028</v>
      </c>
      <c r="B12" s="45" t="s">
        <v>1029</v>
      </c>
      <c r="C12" s="45" t="s">
        <v>1030</v>
      </c>
      <c r="D12" s="45" t="s">
        <v>1031</v>
      </c>
    </row>
    <row r="13" customFormat="false" ht="15" hidden="false" customHeight="false" outlineLevel="0" collapsed="false">
      <c r="A13" s="47" t="s">
        <v>1032</v>
      </c>
      <c r="B13" s="47" t="s">
        <v>1033</v>
      </c>
      <c r="C13" s="47" t="s">
        <v>1030</v>
      </c>
      <c r="D13" s="47" t="s">
        <v>1031</v>
      </c>
    </row>
    <row r="14" customFormat="false" ht="15" hidden="false" customHeight="false" outlineLevel="0" collapsed="false">
      <c r="A14" s="45" t="s">
        <v>1034</v>
      </c>
      <c r="B14" s="45" t="s">
        <v>1035</v>
      </c>
      <c r="C14" s="45" t="s">
        <v>164</v>
      </c>
      <c r="D14" s="45" t="s">
        <v>1031</v>
      </c>
    </row>
    <row r="15" customFormat="false" ht="15" hidden="false" customHeight="false" outlineLevel="0" collapsed="false">
      <c r="A15" s="47" t="s">
        <v>1036</v>
      </c>
      <c r="B15" s="47" t="s">
        <v>1037</v>
      </c>
      <c r="C15" s="47" t="s">
        <v>1026</v>
      </c>
      <c r="D15" s="47" t="s">
        <v>1031</v>
      </c>
    </row>
    <row r="16" customFormat="false" ht="15" hidden="false" customHeight="false" outlineLevel="0" collapsed="false">
      <c r="A16" s="45" t="s">
        <v>1038</v>
      </c>
      <c r="B16" s="45" t="s">
        <v>1039</v>
      </c>
      <c r="C16" s="45" t="s">
        <v>1040</v>
      </c>
      <c r="D16" s="45" t="s">
        <v>1031</v>
      </c>
    </row>
    <row r="17" customFormat="false" ht="15" hidden="false" customHeight="false" outlineLevel="0" collapsed="false">
      <c r="A17" s="47" t="s">
        <v>1041</v>
      </c>
      <c r="B17" s="47" t="s">
        <v>1042</v>
      </c>
      <c r="C17" s="47" t="s">
        <v>1030</v>
      </c>
      <c r="D17" s="47" t="s">
        <v>1031</v>
      </c>
    </row>
    <row r="18" customFormat="false" ht="15" hidden="false" customHeight="false" outlineLevel="0" collapsed="false">
      <c r="A18" s="45" t="s">
        <v>1043</v>
      </c>
      <c r="B18" s="45" t="s">
        <v>1044</v>
      </c>
      <c r="C18" s="45" t="s">
        <v>1045</v>
      </c>
      <c r="D18" s="45" t="s">
        <v>1031</v>
      </c>
    </row>
    <row r="19" customFormat="false" ht="15" hidden="false" customHeight="false" outlineLevel="0" collapsed="false">
      <c r="A19" s="47" t="s">
        <v>1046</v>
      </c>
      <c r="B19" s="47" t="s">
        <v>1047</v>
      </c>
      <c r="C19" s="47" t="s">
        <v>1030</v>
      </c>
      <c r="D19" s="47" t="s">
        <v>1031</v>
      </c>
    </row>
    <row r="20" customFormat="false" ht="15" hidden="false" customHeight="false" outlineLevel="0" collapsed="false">
      <c r="A20" s="45" t="s">
        <v>1048</v>
      </c>
      <c r="B20" s="45" t="s">
        <v>1049</v>
      </c>
      <c r="C20" s="45" t="s">
        <v>1030</v>
      </c>
      <c r="D20" s="45" t="s">
        <v>1031</v>
      </c>
    </row>
    <row r="21" customFormat="false" ht="15" hidden="false" customHeight="false" outlineLevel="0" collapsed="false">
      <c r="A21" s="47" t="s">
        <v>1050</v>
      </c>
      <c r="B21" s="47" t="s">
        <v>1051</v>
      </c>
      <c r="C21" s="47" t="s">
        <v>1030</v>
      </c>
      <c r="D21" s="47" t="s">
        <v>1031</v>
      </c>
    </row>
    <row r="22" customFormat="false" ht="15" hidden="false" customHeight="false" outlineLevel="0" collapsed="false">
      <c r="A22" s="45" t="s">
        <v>1052</v>
      </c>
      <c r="B22" s="45" t="s">
        <v>1053</v>
      </c>
      <c r="C22" s="45" t="s">
        <v>1054</v>
      </c>
      <c r="D22" s="45" t="s">
        <v>1055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8D8"/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6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62" t="s">
        <v>1056</v>
      </c>
      <c r="B1" s="62"/>
      <c r="C1" s="62"/>
      <c r="D1" s="62"/>
    </row>
    <row r="3" customFormat="false" ht="15" hidden="false" customHeight="false" outlineLevel="0" collapsed="false">
      <c r="A3" s="63" t="s">
        <v>1057</v>
      </c>
      <c r="B3" s="63"/>
      <c r="C3" s="63"/>
      <c r="D3" s="63"/>
    </row>
    <row r="4" customFormat="false" ht="19.5" hidden="false" customHeight="true" outlineLevel="0" collapsed="false">
      <c r="A4" s="64" t="s">
        <v>1058</v>
      </c>
      <c r="B4" s="64" t="s">
        <v>1000</v>
      </c>
      <c r="C4" s="64" t="s">
        <v>999</v>
      </c>
      <c r="D4" s="64" t="s">
        <v>1059</v>
      </c>
    </row>
    <row r="5" customFormat="false" ht="15" hidden="false" customHeight="false" outlineLevel="0" collapsed="false">
      <c r="A5" s="45" t="s">
        <v>1024</v>
      </c>
      <c r="B5" s="45" t="s">
        <v>1027</v>
      </c>
      <c r="C5" s="45" t="s">
        <v>160</v>
      </c>
      <c r="D5" s="45" t="s">
        <v>1060</v>
      </c>
    </row>
    <row r="6" customFormat="false" ht="15" hidden="false" customHeight="false" outlineLevel="0" collapsed="false">
      <c r="A6" s="47" t="s">
        <v>1061</v>
      </c>
      <c r="B6" s="47" t="s">
        <v>1062</v>
      </c>
      <c r="C6" s="47" t="s">
        <v>1019</v>
      </c>
      <c r="D6" s="47" t="s">
        <v>1063</v>
      </c>
    </row>
    <row r="7" customFormat="false" ht="15" hidden="false" customHeight="false" outlineLevel="0" collapsed="false">
      <c r="A7" s="45" t="s">
        <v>1034</v>
      </c>
      <c r="B7" s="45" t="s">
        <v>1031</v>
      </c>
      <c r="C7" s="45" t="s">
        <v>1064</v>
      </c>
      <c r="D7" s="45" t="s">
        <v>1065</v>
      </c>
    </row>
    <row r="10" customFormat="false" ht="15" hidden="false" customHeight="false" outlineLevel="0" collapsed="false">
      <c r="A10" s="28" t="s">
        <v>1066</v>
      </c>
      <c r="B10" s="28"/>
      <c r="C10" s="28"/>
      <c r="D10" s="28"/>
    </row>
    <row r="11" customFormat="false" ht="15" hidden="false" customHeight="false" outlineLevel="0" collapsed="false">
      <c r="A11" s="65" t="s">
        <v>1067</v>
      </c>
      <c r="B11" s="65" t="s">
        <v>1068</v>
      </c>
      <c r="C11" s="65" t="s">
        <v>1069</v>
      </c>
    </row>
    <row r="12" customFormat="false" ht="22.35" hidden="false" customHeight="false" outlineLevel="0" collapsed="false">
      <c r="A12" s="65" t="s">
        <v>1070</v>
      </c>
      <c r="B12" s="65" t="s">
        <v>1071</v>
      </c>
      <c r="C12" s="65" t="s">
        <v>1072</v>
      </c>
    </row>
    <row r="13" customFormat="false" ht="22.35" hidden="false" customHeight="false" outlineLevel="0" collapsed="false">
      <c r="A13" s="65" t="s">
        <v>1073</v>
      </c>
      <c r="B13" s="65" t="s">
        <v>1074</v>
      </c>
      <c r="C13" s="65" t="s">
        <v>1075</v>
      </c>
    </row>
    <row r="14" customFormat="false" ht="15" hidden="false" customHeight="false" outlineLevel="0" collapsed="false">
      <c r="A14" s="65" t="s">
        <v>1076</v>
      </c>
      <c r="B14" s="65" t="s">
        <v>1077</v>
      </c>
      <c r="C14" s="65" t="s">
        <v>1078</v>
      </c>
    </row>
    <row r="15" customFormat="false" ht="15" hidden="false" customHeight="false" outlineLevel="0" collapsed="false">
      <c r="A15" s="65" t="s">
        <v>1079</v>
      </c>
      <c r="B15" s="65" t="s">
        <v>1080</v>
      </c>
      <c r="C15" s="65" t="s">
        <v>1081</v>
      </c>
    </row>
    <row r="16" customFormat="false" ht="15" hidden="false" customHeight="false" outlineLevel="0" collapsed="false">
      <c r="A16" s="65" t="s">
        <v>1082</v>
      </c>
      <c r="B16" s="65" t="s">
        <v>1083</v>
      </c>
      <c r="C16" s="65" t="s">
        <v>1084</v>
      </c>
    </row>
    <row r="17" customFormat="false" ht="15" hidden="false" customHeight="false" outlineLevel="0" collapsed="false">
      <c r="A17" s="65" t="s">
        <v>1085</v>
      </c>
      <c r="B17" s="65" t="s">
        <v>1086</v>
      </c>
      <c r="C17" s="65" t="s">
        <v>1087</v>
      </c>
    </row>
    <row r="18" customFormat="false" ht="15" hidden="false" customHeight="false" outlineLevel="0" collapsed="false">
      <c r="A18" s="65" t="s">
        <v>1088</v>
      </c>
      <c r="B18" s="65" t="s">
        <v>1089</v>
      </c>
      <c r="C18" s="65" t="s">
        <v>1090</v>
      </c>
    </row>
    <row r="19" customFormat="false" ht="15" hidden="false" customHeight="false" outlineLevel="0" collapsed="false">
      <c r="A19" s="65" t="s">
        <v>1091</v>
      </c>
      <c r="B19" s="65" t="s">
        <v>1092</v>
      </c>
      <c r="C19" s="65" t="s">
        <v>1093</v>
      </c>
    </row>
    <row r="20" customFormat="false" ht="15" hidden="false" customHeight="false" outlineLevel="0" collapsed="false">
      <c r="A20" s="65" t="s">
        <v>1094</v>
      </c>
      <c r="B20" s="65" t="s">
        <v>1095</v>
      </c>
      <c r="C20" s="65" t="s">
        <v>1096</v>
      </c>
    </row>
    <row r="21" customFormat="false" ht="15" hidden="false" customHeight="false" outlineLevel="0" collapsed="false">
      <c r="A21" s="65" t="s">
        <v>1097</v>
      </c>
      <c r="B21" s="65" t="s">
        <v>1098</v>
      </c>
      <c r="C21" s="65" t="s">
        <v>1099</v>
      </c>
    </row>
    <row r="22" customFormat="false" ht="15" hidden="false" customHeight="false" outlineLevel="0" collapsed="false">
      <c r="A22" s="65" t="s">
        <v>1100</v>
      </c>
      <c r="B22" s="65" t="s">
        <v>1101</v>
      </c>
      <c r="C22" s="65" t="s">
        <v>1102</v>
      </c>
    </row>
    <row r="23" customFormat="false" ht="22.35" hidden="false" customHeight="false" outlineLevel="0" collapsed="false">
      <c r="A23" s="65" t="s">
        <v>1103</v>
      </c>
      <c r="B23" s="65" t="s">
        <v>1104</v>
      </c>
      <c r="C23" s="65" t="s">
        <v>1105</v>
      </c>
    </row>
    <row r="24" customFormat="false" ht="15" hidden="false" customHeight="false" outlineLevel="0" collapsed="false">
      <c r="A24" s="65" t="s">
        <v>1106</v>
      </c>
      <c r="B24" s="65" t="s">
        <v>1107</v>
      </c>
      <c r="C24" s="65" t="s">
        <v>1108</v>
      </c>
    </row>
    <row r="25" customFormat="false" ht="22.35" hidden="false" customHeight="false" outlineLevel="0" collapsed="false">
      <c r="A25" s="65" t="s">
        <v>1109</v>
      </c>
      <c r="B25" s="65" t="s">
        <v>1110</v>
      </c>
      <c r="C25" s="65" t="s">
        <v>1111</v>
      </c>
    </row>
    <row r="26" customFormat="false" ht="15" hidden="false" customHeight="false" outlineLevel="0" collapsed="false">
      <c r="A26" s="65" t="s">
        <v>1112</v>
      </c>
      <c r="B26" s="65" t="s">
        <v>1113</v>
      </c>
      <c r="C26" s="65" t="s">
        <v>1114</v>
      </c>
    </row>
    <row r="27" customFormat="false" ht="15" hidden="false" customHeight="false" outlineLevel="0" collapsed="false">
      <c r="A27" s="65" t="s">
        <v>1115</v>
      </c>
      <c r="B27" s="65" t="s">
        <v>1116</v>
      </c>
      <c r="C27" s="65" t="s">
        <v>1117</v>
      </c>
    </row>
    <row r="28" customFormat="false" ht="15" hidden="false" customHeight="false" outlineLevel="0" collapsed="false">
      <c r="A28" s="65" t="s">
        <v>1118</v>
      </c>
      <c r="B28" s="65" t="s">
        <v>1119</v>
      </c>
      <c r="C28" s="65" t="s">
        <v>1120</v>
      </c>
    </row>
    <row r="29" customFormat="false" ht="15" hidden="false" customHeight="false" outlineLevel="0" collapsed="false">
      <c r="A29" s="65" t="s">
        <v>1121</v>
      </c>
      <c r="B29" s="65" t="s">
        <v>1122</v>
      </c>
    </row>
    <row r="30" customFormat="false" ht="15" hidden="false" customHeight="false" outlineLevel="0" collapsed="false">
      <c r="A30" s="65" t="s">
        <v>1123</v>
      </c>
      <c r="B30" s="65" t="s">
        <v>1124</v>
      </c>
    </row>
  </sheetData>
  <mergeCells count="3">
    <mergeCell ref="A1:D1"/>
    <mergeCell ref="A3:D3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E6F0"/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32" t="s">
        <v>1125</v>
      </c>
      <c r="B1" s="32"/>
      <c r="C1" s="32"/>
      <c r="D1" s="32"/>
    </row>
    <row r="3" customFormat="false" ht="15" hidden="false" customHeight="false" outlineLevel="0" collapsed="false">
      <c r="A3" s="50" t="s">
        <v>1126</v>
      </c>
      <c r="B3" s="50"/>
      <c r="C3" s="50"/>
      <c r="D3" s="50"/>
    </row>
    <row r="5" customFormat="false" ht="15" hidden="false" customHeight="false" outlineLevel="0" collapsed="false">
      <c r="A5" s="6" t="s">
        <v>1127</v>
      </c>
      <c r="B5" s="6"/>
      <c r="C5" s="6"/>
      <c r="D5" s="6"/>
    </row>
    <row r="6" customFormat="false" ht="19.5" hidden="false" customHeight="true" outlineLevel="0" collapsed="false">
      <c r="A6" s="41" t="s">
        <v>1128</v>
      </c>
      <c r="B6" s="41" t="s">
        <v>1129</v>
      </c>
      <c r="C6" s="41" t="s">
        <v>1130</v>
      </c>
      <c r="D6" s="41" t="s">
        <v>1131</v>
      </c>
    </row>
    <row r="7" customFormat="false" ht="15" hidden="false" customHeight="false" outlineLevel="0" collapsed="false">
      <c r="A7" s="45" t="s">
        <v>1132</v>
      </c>
      <c r="B7" s="45"/>
      <c r="C7" s="45"/>
      <c r="D7" s="45"/>
    </row>
    <row r="8" customFormat="false" ht="15" hidden="false" customHeight="false" outlineLevel="0" collapsed="false">
      <c r="A8" s="47" t="s">
        <v>1133</v>
      </c>
      <c r="B8" s="47"/>
      <c r="C8" s="47"/>
      <c r="D8" s="47"/>
    </row>
    <row r="9" customFormat="false" ht="15" hidden="false" customHeight="false" outlineLevel="0" collapsed="false">
      <c r="A9" s="45" t="s">
        <v>1134</v>
      </c>
      <c r="B9" s="45"/>
      <c r="C9" s="45"/>
      <c r="D9" s="45"/>
    </row>
    <row r="11" customFormat="false" ht="15" hidden="false" customHeight="false" outlineLevel="0" collapsed="false">
      <c r="A11" s="63" t="s">
        <v>1135</v>
      </c>
      <c r="B11" s="63"/>
      <c r="C11" s="63"/>
      <c r="D11" s="63"/>
    </row>
    <row r="12" customFormat="false" ht="19.5" hidden="false" customHeight="true" outlineLevel="0" collapsed="false">
      <c r="A12" s="64" t="s">
        <v>1128</v>
      </c>
      <c r="B12" s="64" t="s">
        <v>1129</v>
      </c>
      <c r="C12" s="64" t="s">
        <v>1130</v>
      </c>
      <c r="D12" s="64" t="s">
        <v>1131</v>
      </c>
    </row>
    <row r="13" customFormat="false" ht="15" hidden="false" customHeight="false" outlineLevel="0" collapsed="false">
      <c r="A13" s="45" t="s">
        <v>1136</v>
      </c>
      <c r="B13" s="45"/>
      <c r="C13" s="45"/>
      <c r="D13" s="45"/>
    </row>
    <row r="15" customFormat="false" ht="15" hidden="false" customHeight="false" outlineLevel="0" collapsed="false">
      <c r="A15" s="28" t="s">
        <v>1137</v>
      </c>
      <c r="B15" s="28"/>
      <c r="C15" s="28"/>
      <c r="D15" s="28"/>
    </row>
    <row r="16" customFormat="false" ht="19.5" hidden="false" customHeight="true" outlineLevel="0" collapsed="false">
      <c r="A16" s="44" t="s">
        <v>1128</v>
      </c>
      <c r="B16" s="44" t="s">
        <v>1129</v>
      </c>
      <c r="C16" s="44" t="s">
        <v>1130</v>
      </c>
      <c r="D16" s="44" t="s">
        <v>1131</v>
      </c>
    </row>
    <row r="17" customFormat="false" ht="15" hidden="false" customHeight="false" outlineLevel="0" collapsed="false">
      <c r="A17" s="45" t="s">
        <v>1138</v>
      </c>
      <c r="B17" s="45"/>
      <c r="C17" s="45"/>
      <c r="D17" s="45"/>
    </row>
    <row r="19" customFormat="false" ht="15" hidden="false" customHeight="false" outlineLevel="0" collapsed="false">
      <c r="A19" s="59" t="s">
        <v>1139</v>
      </c>
      <c r="B19" s="59"/>
      <c r="C19" s="59"/>
      <c r="D19" s="59"/>
    </row>
    <row r="20" customFormat="false" ht="19.5" hidden="false" customHeight="true" outlineLevel="0" collapsed="false">
      <c r="A20" s="66" t="s">
        <v>1128</v>
      </c>
      <c r="B20" s="66" t="s">
        <v>1129</v>
      </c>
      <c r="C20" s="66" t="s">
        <v>1130</v>
      </c>
      <c r="D20" s="66" t="s">
        <v>1131</v>
      </c>
    </row>
    <row r="21" customFormat="false" ht="15" hidden="false" customHeight="false" outlineLevel="0" collapsed="false">
      <c r="A21" s="45" t="s">
        <v>1140</v>
      </c>
      <c r="B21" s="45"/>
      <c r="C21" s="45"/>
      <c r="D21" s="45"/>
    </row>
    <row r="23" customFormat="false" ht="15" hidden="false" customHeight="false" outlineLevel="0" collapsed="false">
      <c r="A23" s="52" t="s">
        <v>1141</v>
      </c>
      <c r="B23" s="52"/>
      <c r="C23" s="52"/>
      <c r="D23" s="52"/>
    </row>
    <row r="24" customFormat="false" ht="19.5" hidden="false" customHeight="true" outlineLevel="0" collapsed="false">
      <c r="A24" s="51" t="s">
        <v>1128</v>
      </c>
      <c r="B24" s="51" t="s">
        <v>1129</v>
      </c>
      <c r="C24" s="51" t="s">
        <v>1130</v>
      </c>
      <c r="D24" s="51" t="s">
        <v>1131</v>
      </c>
    </row>
    <row r="25" customFormat="false" ht="15" hidden="false" customHeight="false" outlineLevel="0" collapsed="false">
      <c r="A25" s="45" t="s">
        <v>1142</v>
      </c>
      <c r="B25" s="45"/>
      <c r="C25" s="45"/>
      <c r="D25" s="45"/>
    </row>
    <row r="26" customFormat="false" ht="15" hidden="false" customHeight="false" outlineLevel="0" collapsed="false">
      <c r="A26" s="47" t="s">
        <v>1143</v>
      </c>
      <c r="B26" s="47"/>
      <c r="C26" s="47"/>
      <c r="D26" s="47"/>
    </row>
    <row r="28" customFormat="false" ht="15" hidden="false" customHeight="false" outlineLevel="0" collapsed="false">
      <c r="A28" s="67" t="s">
        <v>1144</v>
      </c>
      <c r="B28" s="67"/>
      <c r="C28" s="67"/>
      <c r="D28" s="67"/>
    </row>
    <row r="29" customFormat="false" ht="19.5" hidden="false" customHeight="true" outlineLevel="0" collapsed="false">
      <c r="A29" s="61" t="s">
        <v>1128</v>
      </c>
      <c r="B29" s="61" t="s">
        <v>1129</v>
      </c>
      <c r="C29" s="61" t="s">
        <v>1130</v>
      </c>
      <c r="D29" s="61" t="s">
        <v>1131</v>
      </c>
    </row>
    <row r="30" customFormat="false" ht="15" hidden="false" customHeight="false" outlineLevel="0" collapsed="false">
      <c r="A30" s="45" t="s">
        <v>1145</v>
      </c>
      <c r="B30" s="45"/>
      <c r="C30" s="45"/>
      <c r="D30" s="45"/>
    </row>
    <row r="31" customFormat="false" ht="15" hidden="false" customHeight="false" outlineLevel="0" collapsed="false">
      <c r="A31" s="47" t="s">
        <v>1146</v>
      </c>
      <c r="B31" s="47"/>
      <c r="C31" s="47"/>
      <c r="D31" s="47"/>
    </row>
    <row r="33" customFormat="false" ht="15" hidden="false" customHeight="false" outlineLevel="0" collapsed="false">
      <c r="A33" s="6" t="s">
        <v>1147</v>
      </c>
      <c r="B33" s="6"/>
      <c r="C33" s="6"/>
      <c r="D33" s="6"/>
    </row>
    <row r="34" customFormat="false" ht="19.5" hidden="false" customHeight="true" outlineLevel="0" collapsed="false">
      <c r="A34" s="41" t="s">
        <v>1128</v>
      </c>
      <c r="B34" s="41" t="s">
        <v>1129</v>
      </c>
      <c r="C34" s="41" t="s">
        <v>1130</v>
      </c>
      <c r="D34" s="41" t="s">
        <v>1131</v>
      </c>
    </row>
    <row r="35" customFormat="false" ht="15" hidden="false" customHeight="false" outlineLevel="0" collapsed="false">
      <c r="A35" s="45" t="s">
        <v>1148</v>
      </c>
      <c r="B35" s="45"/>
      <c r="C35" s="45"/>
      <c r="D35" s="45"/>
    </row>
  </sheetData>
  <mergeCells count="9">
    <mergeCell ref="A1:D1"/>
    <mergeCell ref="A3:D3"/>
    <mergeCell ref="A5:D5"/>
    <mergeCell ref="A11:D11"/>
    <mergeCell ref="A15:D15"/>
    <mergeCell ref="A19:D19"/>
    <mergeCell ref="A23:D23"/>
    <mergeCell ref="A28:D28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EFD6"/>
    <pageSetUpPr fitToPage="false"/>
  </sheetPr>
  <dimension ref="A1:D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6"/>
  </cols>
  <sheetData>
    <row r="1" customFormat="false" ht="27.75" hidden="false" customHeight="true" outlineLevel="0" collapsed="false">
      <c r="A1" s="68" t="s">
        <v>1149</v>
      </c>
      <c r="B1" s="68"/>
      <c r="C1" s="68"/>
      <c r="D1" s="68"/>
    </row>
    <row r="3" customFormat="false" ht="15" hidden="false" customHeight="false" outlineLevel="0" collapsed="false">
      <c r="A3" s="59" t="s">
        <v>1150</v>
      </c>
      <c r="B3" s="59"/>
      <c r="C3" s="59"/>
      <c r="D3" s="59"/>
    </row>
    <row r="4" customFormat="false" ht="19.5" hidden="false" customHeight="true" outlineLevel="0" collapsed="false">
      <c r="A4" s="66" t="s">
        <v>1151</v>
      </c>
      <c r="B4" s="66" t="s">
        <v>1152</v>
      </c>
      <c r="C4" s="66" t="s">
        <v>122</v>
      </c>
      <c r="D4" s="66" t="s">
        <v>1153</v>
      </c>
    </row>
    <row r="5" customFormat="false" ht="15" hidden="false" customHeight="false" outlineLevel="0" collapsed="false">
      <c r="A5" s="45" t="s">
        <v>1154</v>
      </c>
      <c r="B5" s="69" t="b">
        <f aca="false">FALSE()</f>
        <v>0</v>
      </c>
      <c r="C5" s="45" t="s">
        <v>66</v>
      </c>
      <c r="D5" s="45"/>
    </row>
    <row r="6" customFormat="false" ht="15" hidden="false" customHeight="false" outlineLevel="0" collapsed="false">
      <c r="A6" s="47" t="s">
        <v>1155</v>
      </c>
      <c r="B6" s="53" t="n">
        <f aca="false">FALSE()</f>
        <v>0</v>
      </c>
      <c r="C6" s="47" t="s">
        <v>66</v>
      </c>
      <c r="D6" s="47"/>
    </row>
    <row r="7" customFormat="false" ht="15" hidden="false" customHeight="false" outlineLevel="0" collapsed="false">
      <c r="A7" s="45" t="s">
        <v>1156</v>
      </c>
      <c r="B7" s="55" t="n">
        <f aca="false">FALSE()</f>
        <v>0</v>
      </c>
      <c r="C7" s="45" t="s">
        <v>66</v>
      </c>
      <c r="D7" s="45"/>
    </row>
    <row r="8" customFormat="false" ht="15" hidden="false" customHeight="false" outlineLevel="0" collapsed="false">
      <c r="A8" s="47" t="s">
        <v>1157</v>
      </c>
      <c r="B8" s="53" t="n">
        <f aca="false">FALSE()</f>
        <v>0</v>
      </c>
      <c r="C8" s="47" t="s">
        <v>66</v>
      </c>
      <c r="D8" s="47"/>
    </row>
    <row r="9" customFormat="false" ht="15" hidden="false" customHeight="false" outlineLevel="0" collapsed="false">
      <c r="A9" s="45" t="s">
        <v>1158</v>
      </c>
      <c r="B9" s="55" t="n">
        <f aca="false">FALSE()</f>
        <v>0</v>
      </c>
      <c r="C9" s="45" t="s">
        <v>66</v>
      </c>
      <c r="D9" s="45"/>
    </row>
    <row r="10" customFormat="false" ht="15" hidden="false" customHeight="false" outlineLevel="0" collapsed="false">
      <c r="A10" s="47" t="s">
        <v>1159</v>
      </c>
      <c r="B10" s="53" t="n">
        <f aca="false">FALSE()</f>
        <v>0</v>
      </c>
      <c r="C10" s="47" t="s">
        <v>66</v>
      </c>
      <c r="D10" s="47"/>
    </row>
    <row r="11" customFormat="false" ht="15" hidden="false" customHeight="false" outlineLevel="0" collapsed="false">
      <c r="A11" s="45" t="s">
        <v>1160</v>
      </c>
      <c r="B11" s="55" t="n">
        <f aca="false">FALSE()</f>
        <v>0</v>
      </c>
      <c r="C11" s="45" t="s">
        <v>66</v>
      </c>
      <c r="D11" s="45"/>
    </row>
    <row r="12" customFormat="false" ht="15" hidden="false" customHeight="false" outlineLevel="0" collapsed="false">
      <c r="A12" s="47" t="s">
        <v>1161</v>
      </c>
      <c r="B12" s="53" t="n">
        <f aca="false">FALSE()</f>
        <v>0</v>
      </c>
      <c r="C12" s="47" t="s">
        <v>66</v>
      </c>
      <c r="D12" s="47"/>
    </row>
    <row r="13" customFormat="false" ht="15" hidden="false" customHeight="false" outlineLevel="0" collapsed="false">
      <c r="B13" s="70"/>
    </row>
    <row r="14" customFormat="false" ht="15" hidden="false" customHeight="false" outlineLevel="0" collapsed="false">
      <c r="A14" s="6" t="s">
        <v>1162</v>
      </c>
      <c r="B14" s="6"/>
      <c r="C14" s="6"/>
      <c r="D14" s="6"/>
    </row>
    <row r="15" customFormat="false" ht="19.5" hidden="false" customHeight="true" outlineLevel="0" collapsed="false">
      <c r="A15" s="41" t="s">
        <v>1151</v>
      </c>
      <c r="B15" s="41" t="s">
        <v>1152</v>
      </c>
      <c r="C15" s="41" t="s">
        <v>122</v>
      </c>
      <c r="D15" s="41" t="s">
        <v>1153</v>
      </c>
    </row>
    <row r="16" customFormat="false" ht="15" hidden="false" customHeight="false" outlineLevel="0" collapsed="false">
      <c r="A16" s="45" t="s">
        <v>1163</v>
      </c>
      <c r="B16" s="69" t="b">
        <f aca="false">FALSE()</f>
        <v>0</v>
      </c>
      <c r="C16" s="45" t="s">
        <v>66</v>
      </c>
      <c r="D16" s="45"/>
    </row>
    <row r="17" customFormat="false" ht="15" hidden="false" customHeight="false" outlineLevel="0" collapsed="false">
      <c r="A17" s="47" t="s">
        <v>1156</v>
      </c>
      <c r="B17" s="53" t="n">
        <f aca="false">FALSE()</f>
        <v>0</v>
      </c>
      <c r="C17" s="47" t="s">
        <v>66</v>
      </c>
      <c r="D17" s="47"/>
    </row>
    <row r="18" customFormat="false" ht="15" hidden="false" customHeight="false" outlineLevel="0" collapsed="false">
      <c r="A18" s="45" t="s">
        <v>1164</v>
      </c>
      <c r="B18" s="55" t="n">
        <f aca="false">FALSE()</f>
        <v>0</v>
      </c>
      <c r="C18" s="45" t="s">
        <v>66</v>
      </c>
      <c r="D18" s="45"/>
    </row>
    <row r="19" customFormat="false" ht="15" hidden="false" customHeight="false" outlineLevel="0" collapsed="false">
      <c r="A19" s="47" t="s">
        <v>1165</v>
      </c>
      <c r="B19" s="53" t="n">
        <f aca="false">FALSE()</f>
        <v>0</v>
      </c>
      <c r="C19" s="47" t="s">
        <v>66</v>
      </c>
      <c r="D19" s="47"/>
    </row>
    <row r="20" customFormat="false" ht="15" hidden="false" customHeight="false" outlineLevel="0" collapsed="false">
      <c r="A20" s="45" t="s">
        <v>1166</v>
      </c>
      <c r="B20" s="55" t="n">
        <f aca="false">FALSE()</f>
        <v>0</v>
      </c>
      <c r="C20" s="45" t="s">
        <v>66</v>
      </c>
      <c r="D20" s="45"/>
    </row>
    <row r="21" customFormat="false" ht="15" hidden="false" customHeight="false" outlineLevel="0" collapsed="false">
      <c r="A21" s="47" t="s">
        <v>1167</v>
      </c>
      <c r="B21" s="53" t="n">
        <f aca="false">FALSE()</f>
        <v>0</v>
      </c>
      <c r="C21" s="47" t="s">
        <v>66</v>
      </c>
      <c r="D21" s="47"/>
    </row>
    <row r="22" customFormat="false" ht="15" hidden="false" customHeight="false" outlineLevel="0" collapsed="false">
      <c r="A22" s="45" t="s">
        <v>1168</v>
      </c>
      <c r="B22" s="55" t="n">
        <f aca="false">FALSE()</f>
        <v>0</v>
      </c>
      <c r="C22" s="45" t="s">
        <v>66</v>
      </c>
      <c r="D22" s="45"/>
    </row>
    <row r="23" customFormat="false" ht="15" hidden="false" customHeight="false" outlineLevel="0" collapsed="false">
      <c r="B23" s="70"/>
    </row>
    <row r="24" customFormat="false" ht="15" hidden="false" customHeight="false" outlineLevel="0" collapsed="false">
      <c r="A24" s="63" t="s">
        <v>1127</v>
      </c>
      <c r="B24" s="63"/>
      <c r="C24" s="63"/>
      <c r="D24" s="63"/>
    </row>
    <row r="25" customFormat="false" ht="19.5" hidden="false" customHeight="true" outlineLevel="0" collapsed="false">
      <c r="A25" s="64" t="s">
        <v>1151</v>
      </c>
      <c r="B25" s="64" t="s">
        <v>1152</v>
      </c>
      <c r="C25" s="64" t="s">
        <v>122</v>
      </c>
      <c r="D25" s="64" t="s">
        <v>1153</v>
      </c>
    </row>
    <row r="26" customFormat="false" ht="15" hidden="false" customHeight="false" outlineLevel="0" collapsed="false">
      <c r="A26" s="45" t="s">
        <v>1169</v>
      </c>
      <c r="B26" s="69" t="b">
        <f aca="false">FALSE()</f>
        <v>0</v>
      </c>
      <c r="C26" s="45" t="s">
        <v>66</v>
      </c>
      <c r="D26" s="45"/>
    </row>
    <row r="27" customFormat="false" ht="15" hidden="false" customHeight="false" outlineLevel="0" collapsed="false">
      <c r="A27" s="47" t="s">
        <v>1170</v>
      </c>
      <c r="B27" s="53" t="n">
        <f aca="false">FALSE()</f>
        <v>0</v>
      </c>
      <c r="C27" s="47" t="s">
        <v>66</v>
      </c>
      <c r="D27" s="47"/>
    </row>
    <row r="28" customFormat="false" ht="15" hidden="false" customHeight="false" outlineLevel="0" collapsed="false">
      <c r="A28" s="45" t="s">
        <v>1171</v>
      </c>
      <c r="B28" s="55" t="n">
        <f aca="false">FALSE()</f>
        <v>0</v>
      </c>
      <c r="C28" s="45" t="s">
        <v>66</v>
      </c>
      <c r="D28" s="45"/>
    </row>
    <row r="29" customFormat="false" ht="15" hidden="false" customHeight="false" outlineLevel="0" collapsed="false">
      <c r="A29" s="47" t="s">
        <v>1172</v>
      </c>
      <c r="B29" s="53" t="n">
        <f aca="false">FALSE()</f>
        <v>0</v>
      </c>
      <c r="C29" s="47" t="s">
        <v>66</v>
      </c>
      <c r="D29" s="47"/>
    </row>
    <row r="30" customFormat="false" ht="15" hidden="false" customHeight="false" outlineLevel="0" collapsed="false">
      <c r="A30" s="45" t="s">
        <v>1173</v>
      </c>
      <c r="B30" s="55" t="n">
        <f aca="false">FALSE()</f>
        <v>0</v>
      </c>
      <c r="C30" s="45" t="s">
        <v>66</v>
      </c>
      <c r="D30" s="45"/>
    </row>
    <row r="31" customFormat="false" ht="15" hidden="false" customHeight="false" outlineLevel="0" collapsed="false">
      <c r="B31" s="70"/>
    </row>
    <row r="32" customFormat="false" ht="15" hidden="false" customHeight="false" outlineLevel="0" collapsed="false">
      <c r="A32" s="28" t="s">
        <v>1174</v>
      </c>
      <c r="B32" s="28"/>
      <c r="C32" s="28"/>
      <c r="D32" s="28"/>
    </row>
    <row r="33" customFormat="false" ht="19.5" hidden="false" customHeight="true" outlineLevel="0" collapsed="false">
      <c r="A33" s="44" t="s">
        <v>1151</v>
      </c>
      <c r="B33" s="44" t="s">
        <v>1152</v>
      </c>
      <c r="C33" s="44" t="s">
        <v>122</v>
      </c>
      <c r="D33" s="44" t="s">
        <v>1153</v>
      </c>
    </row>
    <row r="34" customFormat="false" ht="15" hidden="false" customHeight="false" outlineLevel="0" collapsed="false">
      <c r="A34" s="45" t="s">
        <v>1175</v>
      </c>
      <c r="B34" s="69" t="b">
        <f aca="false">FALSE()</f>
        <v>0</v>
      </c>
      <c r="C34" s="45" t="s">
        <v>66</v>
      </c>
      <c r="D34" s="45"/>
    </row>
    <row r="35" customFormat="false" ht="15" hidden="false" customHeight="false" outlineLevel="0" collapsed="false">
      <c r="A35" s="47" t="s">
        <v>1176</v>
      </c>
      <c r="B35" s="53" t="n">
        <f aca="false">FALSE()</f>
        <v>0</v>
      </c>
      <c r="C35" s="47" t="s">
        <v>66</v>
      </c>
      <c r="D35" s="47"/>
    </row>
    <row r="36" customFormat="false" ht="15" hidden="false" customHeight="false" outlineLevel="0" collapsed="false">
      <c r="A36" s="45" t="s">
        <v>1177</v>
      </c>
      <c r="B36" s="55" t="n">
        <f aca="false">FALSE()</f>
        <v>0</v>
      </c>
      <c r="C36" s="45" t="s">
        <v>66</v>
      </c>
      <c r="D36" s="45"/>
    </row>
    <row r="37" customFormat="false" ht="15" hidden="false" customHeight="false" outlineLevel="0" collapsed="false">
      <c r="A37" s="47" t="s">
        <v>1178</v>
      </c>
      <c r="B37" s="53" t="n">
        <f aca="false">FALSE()</f>
        <v>0</v>
      </c>
      <c r="C37" s="47" t="s">
        <v>66</v>
      </c>
      <c r="D37" s="47"/>
    </row>
    <row r="38" customFormat="false" ht="15" hidden="false" customHeight="false" outlineLevel="0" collapsed="false">
      <c r="A38" s="45" t="s">
        <v>1179</v>
      </c>
      <c r="B38" s="55" t="n">
        <f aca="false">FALSE()</f>
        <v>0</v>
      </c>
      <c r="C38" s="45" t="s">
        <v>66</v>
      </c>
      <c r="D38" s="45"/>
    </row>
    <row r="39" customFormat="false" ht="15" hidden="false" customHeight="false" outlineLevel="0" collapsed="false">
      <c r="A39" s="47" t="s">
        <v>1180</v>
      </c>
      <c r="B39" s="53" t="n">
        <f aca="false">FALSE()</f>
        <v>0</v>
      </c>
      <c r="C39" s="47" t="s">
        <v>66</v>
      </c>
      <c r="D39" s="47"/>
    </row>
    <row r="40" customFormat="false" ht="15" hidden="false" customHeight="false" outlineLevel="0" collapsed="false">
      <c r="B40" s="70"/>
    </row>
    <row r="41" customFormat="false" ht="15" hidden="false" customHeight="false" outlineLevel="0" collapsed="false">
      <c r="A41" s="67" t="s">
        <v>1181</v>
      </c>
      <c r="B41" s="67"/>
      <c r="C41" s="67"/>
      <c r="D41" s="67"/>
    </row>
    <row r="42" customFormat="false" ht="19.5" hidden="false" customHeight="true" outlineLevel="0" collapsed="false">
      <c r="A42" s="61" t="s">
        <v>1151</v>
      </c>
      <c r="B42" s="61" t="s">
        <v>1152</v>
      </c>
      <c r="C42" s="61" t="s">
        <v>122</v>
      </c>
      <c r="D42" s="61" t="s">
        <v>1153</v>
      </c>
    </row>
    <row r="43" customFormat="false" ht="15" hidden="false" customHeight="false" outlineLevel="0" collapsed="false">
      <c r="A43" s="45" t="s">
        <v>1182</v>
      </c>
      <c r="B43" s="69" t="b">
        <f aca="false">FALSE()</f>
        <v>0</v>
      </c>
      <c r="C43" s="45" t="s">
        <v>66</v>
      </c>
      <c r="D43" s="45"/>
    </row>
    <row r="44" customFormat="false" ht="15" hidden="false" customHeight="false" outlineLevel="0" collapsed="false">
      <c r="A44" s="47" t="s">
        <v>1183</v>
      </c>
      <c r="B44" s="53" t="n">
        <f aca="false">FALSE()</f>
        <v>0</v>
      </c>
      <c r="C44" s="47" t="s">
        <v>66</v>
      </c>
      <c r="D44" s="47"/>
    </row>
    <row r="45" customFormat="false" ht="15" hidden="false" customHeight="false" outlineLevel="0" collapsed="false">
      <c r="A45" s="45" t="s">
        <v>1184</v>
      </c>
      <c r="B45" s="55" t="n">
        <f aca="false">FALSE()</f>
        <v>0</v>
      </c>
      <c r="C45" s="45" t="s">
        <v>66</v>
      </c>
      <c r="D45" s="45"/>
    </row>
    <row r="46" customFormat="false" ht="15" hidden="false" customHeight="false" outlineLevel="0" collapsed="false">
      <c r="A46" s="47" t="s">
        <v>1185</v>
      </c>
      <c r="B46" s="53" t="n">
        <f aca="false">FALSE()</f>
        <v>0</v>
      </c>
      <c r="C46" s="47" t="s">
        <v>66</v>
      </c>
      <c r="D46" s="47"/>
    </row>
    <row r="47" customFormat="false" ht="15" hidden="false" customHeight="false" outlineLevel="0" collapsed="false">
      <c r="A47" s="45" t="s">
        <v>1186</v>
      </c>
      <c r="B47" s="55" t="n">
        <f aca="false">FALSE()</f>
        <v>0</v>
      </c>
      <c r="C47" s="45" t="s">
        <v>66</v>
      </c>
      <c r="D47" s="45"/>
    </row>
    <row r="48" customFormat="false" ht="15" hidden="false" customHeight="false" outlineLevel="0" collapsed="false">
      <c r="A48" s="47" t="s">
        <v>1187</v>
      </c>
      <c r="B48" s="53" t="n">
        <f aca="false">FALSE()</f>
        <v>0</v>
      </c>
      <c r="C48" s="47" t="s">
        <v>66</v>
      </c>
      <c r="D48" s="47"/>
    </row>
    <row r="49" customFormat="false" ht="15" hidden="false" customHeight="false" outlineLevel="0" collapsed="false">
      <c r="A49" s="45" t="s">
        <v>1188</v>
      </c>
      <c r="B49" s="55" t="n">
        <f aca="false">FALSE()</f>
        <v>0</v>
      </c>
      <c r="C49" s="45" t="s">
        <v>66</v>
      </c>
      <c r="D49" s="45"/>
    </row>
    <row r="50" customFormat="false" ht="15" hidden="false" customHeight="false" outlineLevel="0" collapsed="false">
      <c r="A50" s="47" t="s">
        <v>1189</v>
      </c>
      <c r="B50" s="53" t="n">
        <f aca="false">FALSE()</f>
        <v>0</v>
      </c>
      <c r="C50" s="47" t="s">
        <v>66</v>
      </c>
      <c r="D50" s="47"/>
    </row>
    <row r="51" customFormat="false" ht="15" hidden="false" customHeight="false" outlineLevel="0" collapsed="false">
      <c r="A51" s="45" t="s">
        <v>1190</v>
      </c>
      <c r="B51" s="55" t="n">
        <f aca="false">FALSE()</f>
        <v>0</v>
      </c>
      <c r="C51" s="45" t="s">
        <v>66</v>
      </c>
      <c r="D51" s="45"/>
    </row>
    <row r="52" customFormat="false" ht="15" hidden="false" customHeight="false" outlineLevel="0" collapsed="false">
      <c r="A52" s="47" t="s">
        <v>1191</v>
      </c>
      <c r="B52" s="53" t="n">
        <f aca="false">FALSE()</f>
        <v>0</v>
      </c>
      <c r="C52" s="47" t="s">
        <v>66</v>
      </c>
      <c r="D52" s="47"/>
    </row>
    <row r="53" customFormat="false" ht="15" hidden="false" customHeight="false" outlineLevel="0" collapsed="false">
      <c r="B53" s="70"/>
    </row>
    <row r="54" customFormat="false" ht="15" hidden="false" customHeight="false" outlineLevel="0" collapsed="false">
      <c r="A54" s="52" t="s">
        <v>1192</v>
      </c>
      <c r="B54" s="52"/>
      <c r="C54" s="52"/>
      <c r="D54" s="52"/>
    </row>
    <row r="55" customFormat="false" ht="19.5" hidden="false" customHeight="true" outlineLevel="0" collapsed="false">
      <c r="A55" s="51" t="s">
        <v>1151</v>
      </c>
      <c r="B55" s="51" t="s">
        <v>1152</v>
      </c>
      <c r="C55" s="51" t="s">
        <v>122</v>
      </c>
      <c r="D55" s="51" t="s">
        <v>1153</v>
      </c>
    </row>
    <row r="56" customFormat="false" ht="15" hidden="false" customHeight="false" outlineLevel="0" collapsed="false">
      <c r="A56" s="45" t="s">
        <v>1193</v>
      </c>
      <c r="B56" s="69" t="b">
        <f aca="false">FALSE()</f>
        <v>0</v>
      </c>
      <c r="C56" s="45" t="s">
        <v>66</v>
      </c>
      <c r="D56" s="45"/>
    </row>
    <row r="57" customFormat="false" ht="15" hidden="false" customHeight="false" outlineLevel="0" collapsed="false">
      <c r="A57" s="47" t="s">
        <v>1194</v>
      </c>
      <c r="B57" s="53" t="n">
        <f aca="false">FALSE()</f>
        <v>0</v>
      </c>
      <c r="C57" s="47" t="s">
        <v>66</v>
      </c>
      <c r="D57" s="47"/>
    </row>
    <row r="58" customFormat="false" ht="15" hidden="false" customHeight="false" outlineLevel="0" collapsed="false">
      <c r="A58" s="45" t="s">
        <v>1195</v>
      </c>
      <c r="B58" s="55" t="n">
        <f aca="false">FALSE()</f>
        <v>0</v>
      </c>
      <c r="C58" s="45" t="s">
        <v>66</v>
      </c>
      <c r="D58" s="45"/>
    </row>
    <row r="59" customFormat="false" ht="15" hidden="false" customHeight="false" outlineLevel="0" collapsed="false">
      <c r="A59" s="47" t="s">
        <v>1196</v>
      </c>
      <c r="B59" s="53" t="n">
        <f aca="false">FALSE()</f>
        <v>0</v>
      </c>
      <c r="C59" s="47" t="s">
        <v>66</v>
      </c>
      <c r="D59" s="47"/>
    </row>
    <row r="60" customFormat="false" ht="15" hidden="false" customHeight="false" outlineLevel="0" collapsed="false">
      <c r="A60" s="45" t="s">
        <v>1197</v>
      </c>
      <c r="B60" s="55" t="n">
        <f aca="false">FALSE()</f>
        <v>0</v>
      </c>
      <c r="C60" s="45" t="s">
        <v>66</v>
      </c>
      <c r="D60" s="45"/>
    </row>
    <row r="61" customFormat="false" ht="15" hidden="false" customHeight="false" outlineLevel="0" collapsed="false">
      <c r="A61" s="47" t="s">
        <v>1198</v>
      </c>
      <c r="B61" s="53" t="n">
        <f aca="false">FALSE()</f>
        <v>0</v>
      </c>
      <c r="C61" s="47" t="s">
        <v>66</v>
      </c>
      <c r="D61" s="47"/>
    </row>
    <row r="62" customFormat="false" ht="15" hidden="false" customHeight="false" outlineLevel="0" collapsed="false">
      <c r="A62" s="45" t="s">
        <v>1199</v>
      </c>
      <c r="B62" s="55" t="n">
        <f aca="false">FALSE()</f>
        <v>0</v>
      </c>
      <c r="C62" s="45" t="s">
        <v>66</v>
      </c>
      <c r="D62" s="45"/>
    </row>
    <row r="63" customFormat="false" ht="15" hidden="false" customHeight="false" outlineLevel="0" collapsed="false">
      <c r="B63" s="70"/>
    </row>
  </sheetData>
  <mergeCells count="7">
    <mergeCell ref="A1:D1"/>
    <mergeCell ref="A3:D3"/>
    <mergeCell ref="A14:D14"/>
    <mergeCell ref="A24:D24"/>
    <mergeCell ref="A32:D32"/>
    <mergeCell ref="A41:D41"/>
    <mergeCell ref="A54:D54"/>
  </mergeCells>
  <conditionalFormatting sqref="B6:B12">
    <cfRule type="expression" priority="2" aboveAverage="0" equalAverage="0" bottom="0" percent="0" rank="0" text="" dxfId="4">
      <formula>B6=1</formula>
    </cfRule>
  </conditionalFormatting>
  <conditionalFormatting sqref="B17:B22">
    <cfRule type="expression" priority="3" aboveAverage="0" equalAverage="0" bottom="0" percent="0" rank="0" text="" dxfId="4">
      <formula>B17=1</formula>
    </cfRule>
  </conditionalFormatting>
  <conditionalFormatting sqref="B27:B30">
    <cfRule type="expression" priority="4" aboveAverage="0" equalAverage="0" bottom="0" percent="0" rank="0" text="" dxfId="4">
      <formula>B27=1</formula>
    </cfRule>
  </conditionalFormatting>
  <conditionalFormatting sqref="B35:B39">
    <cfRule type="expression" priority="5" aboveAverage="0" equalAverage="0" bottom="0" percent="0" rank="0" text="" dxfId="4">
      <formula>B35=1</formula>
    </cfRule>
  </conditionalFormatting>
  <conditionalFormatting sqref="B44:B52">
    <cfRule type="expression" priority="6" aboveAverage="0" equalAverage="0" bottom="0" percent="0" rank="0" text="" dxfId="4">
      <formula>B44=1</formula>
    </cfRule>
  </conditionalFormatting>
  <conditionalFormatting sqref="B57:B62">
    <cfRule type="expression" priority="7" aboveAverage="0" equalAverage="0" bottom="0" percent="0" rank="0" text="" dxfId="4">
      <formula>B57=1</formula>
    </cfRule>
  </conditionalFormatting>
  <dataValidations count="12">
    <dataValidation allowBlank="true" errorStyle="stop" operator="between" showDropDown="false" showErrorMessage="false" showInputMessage="false" sqref="B6:B12" type="list">
      <formula1>TrueFalse</formula1>
      <formula2>0</formula2>
    </dataValidation>
    <dataValidation allowBlank="true" errorStyle="stop" operator="between" showDropDown="false" showErrorMessage="false" showInputMessage="false" sqref="C6:C12" type="list">
      <formula1>AssignedTo</formula1>
      <formula2>0</formula2>
    </dataValidation>
    <dataValidation allowBlank="true" errorStyle="stop" operator="between" showDropDown="false" showErrorMessage="false" showInputMessage="false" sqref="B17:B22" type="list">
      <formula1>TrueFalse</formula1>
      <formula2>0</formula2>
    </dataValidation>
    <dataValidation allowBlank="true" errorStyle="stop" operator="between" showDropDown="false" showErrorMessage="false" showInputMessage="false" sqref="C17:C22" type="list">
      <formula1>AssignedTo</formula1>
      <formula2>0</formula2>
    </dataValidation>
    <dataValidation allowBlank="true" errorStyle="stop" operator="between" showDropDown="false" showErrorMessage="false" showInputMessage="false" sqref="B27:B30" type="list">
      <formula1>TrueFalse</formula1>
      <formula2>0</formula2>
    </dataValidation>
    <dataValidation allowBlank="true" errorStyle="stop" operator="between" showDropDown="false" showErrorMessage="false" showInputMessage="false" sqref="C27:C30" type="list">
      <formula1>AssignedTo</formula1>
      <formula2>0</formula2>
    </dataValidation>
    <dataValidation allowBlank="true" errorStyle="stop" operator="between" showDropDown="false" showErrorMessage="false" showInputMessage="false" sqref="B35:B39" type="list">
      <formula1>TrueFalse</formula1>
      <formula2>0</formula2>
    </dataValidation>
    <dataValidation allowBlank="true" errorStyle="stop" operator="between" showDropDown="false" showErrorMessage="false" showInputMessage="false" sqref="C35:C39" type="list">
      <formula1>AssignedTo</formula1>
      <formula2>0</formula2>
    </dataValidation>
    <dataValidation allowBlank="true" errorStyle="stop" operator="between" showDropDown="false" showErrorMessage="false" showInputMessage="false" sqref="B44:B52" type="list">
      <formula1>TrueFalse</formula1>
      <formula2>0</formula2>
    </dataValidation>
    <dataValidation allowBlank="true" errorStyle="stop" operator="between" showDropDown="false" showErrorMessage="false" showInputMessage="false" sqref="C44:C52" type="list">
      <formula1>AssignedTo</formula1>
      <formula2>0</formula2>
    </dataValidation>
    <dataValidation allowBlank="true" errorStyle="stop" operator="between" showDropDown="false" showErrorMessage="false" showInputMessage="false" sqref="B57:B62" type="list">
      <formula1>TrueFalse</formula1>
      <formula2>0</formula2>
    </dataValidation>
    <dataValidation allowBlank="true" errorStyle="stop" operator="between" showDropDown="false" showErrorMessage="false" showInputMessage="false" sqref="C57:C62" type="list">
      <formula1>AssignedTo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3F0"/>
    <pageSetUpPr fitToPage="false"/>
  </sheetPr>
  <dimension ref="A1:K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  <col collapsed="false" customWidth="true" hidden="false" outlineLevel="0" max="7" min="7" style="0" width="24"/>
    <col collapsed="false" customWidth="true" hidden="false" outlineLevel="0" max="14" min="8" style="0" width="13"/>
  </cols>
  <sheetData>
    <row r="1" customFormat="false" ht="27.75" hidden="false" customHeight="true" outlineLevel="0" collapsed="false">
      <c r="A1" s="49" t="s">
        <v>60</v>
      </c>
      <c r="B1" s="49"/>
      <c r="C1" s="49"/>
      <c r="D1" s="49"/>
      <c r="E1" s="49"/>
      <c r="F1" s="49"/>
      <c r="G1" s="49"/>
      <c r="H1" s="49"/>
      <c r="I1" s="49"/>
      <c r="J1" s="49"/>
    </row>
    <row r="3" customFormat="false" ht="15" hidden="false" customHeight="false" outlineLevel="0" collapsed="false">
      <c r="A3" s="18" t="s">
        <v>1200</v>
      </c>
      <c r="B3" s="18"/>
      <c r="C3" s="18" t="s">
        <v>1201</v>
      </c>
      <c r="D3" s="18"/>
      <c r="E3" s="18" t="s">
        <v>61</v>
      </c>
      <c r="F3" s="18"/>
      <c r="G3" s="18" t="s">
        <v>62</v>
      </c>
      <c r="H3" s="18"/>
      <c r="I3" s="18" t="s">
        <v>63</v>
      </c>
      <c r="J3" s="18"/>
    </row>
    <row r="4" customFormat="false" ht="16.15" hidden="false" customHeight="false" outlineLevel="0" collapsed="false">
      <c r="A4" s="23" t="n">
        <f aca="false">B13</f>
        <v>21000</v>
      </c>
      <c r="B4" s="23"/>
      <c r="C4" s="23" t="n">
        <f aca="false">B13-C32</f>
        <v>1400</v>
      </c>
      <c r="D4" s="23"/>
      <c r="E4" s="23" t="n">
        <f aca="false">D32</f>
        <v>17900</v>
      </c>
      <c r="F4" s="23"/>
      <c r="G4" s="23" t="n">
        <f aca="false">B13-D32</f>
        <v>3100</v>
      </c>
      <c r="H4" s="23"/>
      <c r="I4" s="23" t="n">
        <f aca="false">SUMPRODUCT((A36:A75&lt;&gt;"")*(F36:F75&lt;&gt;"Paid")*D36:D75)</f>
        <v>1600</v>
      </c>
      <c r="J4" s="23"/>
    </row>
    <row r="6" customFormat="false" ht="15" hidden="false" customHeight="false" outlineLevel="0" collapsed="false">
      <c r="A6" s="59" t="s">
        <v>1202</v>
      </c>
      <c r="B6" s="59"/>
    </row>
    <row r="7" customFormat="false" ht="19.5" hidden="false" customHeight="true" outlineLevel="0" collapsed="false">
      <c r="A7" s="66" t="s">
        <v>1203</v>
      </c>
      <c r="B7" s="66" t="s">
        <v>1204</v>
      </c>
    </row>
    <row r="8" customFormat="false" ht="15" hidden="false" customHeight="false" outlineLevel="0" collapsed="false">
      <c r="A8" s="57" t="s">
        <v>1205</v>
      </c>
      <c r="B8" s="71" t="n">
        <v>12000</v>
      </c>
    </row>
    <row r="9" customFormat="false" ht="15" hidden="false" customHeight="false" outlineLevel="0" collapsed="false">
      <c r="A9" s="57" t="s">
        <v>1206</v>
      </c>
      <c r="B9" s="71" t="n">
        <v>5000</v>
      </c>
    </row>
    <row r="10" customFormat="false" ht="15" hidden="false" customHeight="false" outlineLevel="0" collapsed="false">
      <c r="A10" s="57" t="s">
        <v>1207</v>
      </c>
      <c r="B10" s="71" t="n">
        <v>4000</v>
      </c>
    </row>
    <row r="11" customFormat="false" ht="15" hidden="false" customHeight="false" outlineLevel="0" collapsed="false">
      <c r="A11" s="57" t="s">
        <v>1208</v>
      </c>
      <c r="B11" s="71" t="n">
        <v>0</v>
      </c>
    </row>
    <row r="12" customFormat="false" ht="15" hidden="false" customHeight="false" outlineLevel="0" collapsed="false">
      <c r="A12" s="57" t="s">
        <v>168</v>
      </c>
      <c r="B12" s="71" t="n">
        <v>0</v>
      </c>
    </row>
    <row r="13" customFormat="false" ht="15" hidden="false" customHeight="false" outlineLevel="0" collapsed="false">
      <c r="A13" s="72" t="s">
        <v>1209</v>
      </c>
      <c r="B13" s="73" t="n">
        <f aca="false">SUM(B8:B12)</f>
        <v>21000</v>
      </c>
    </row>
    <row r="15" customFormat="false" ht="15" hidden="false" customHeight="false" outlineLevel="0" collapsed="false">
      <c r="A15" s="63" t="s">
        <v>1210</v>
      </c>
      <c r="B15" s="63"/>
      <c r="C15" s="63"/>
      <c r="D15" s="63"/>
      <c r="E15" s="63"/>
    </row>
    <row r="16" customFormat="false" ht="19.5" hidden="false" customHeight="true" outlineLevel="0" collapsed="false">
      <c r="A16" s="64" t="s">
        <v>1211</v>
      </c>
      <c r="B16" s="64" t="s">
        <v>1212</v>
      </c>
      <c r="C16" s="64" t="s">
        <v>95</v>
      </c>
      <c r="D16" s="64" t="s">
        <v>1213</v>
      </c>
      <c r="E16" s="64" t="s">
        <v>1214</v>
      </c>
    </row>
    <row r="17" customFormat="false" ht="15" hidden="false" customHeight="false" outlineLevel="0" collapsed="false">
      <c r="A17" s="45" t="s">
        <v>1215</v>
      </c>
      <c r="B17" s="45" t="str">
        <f aca="false">IFERROR(INDEX('Vendor Selection'!$C$7:$C$96,MATCH(1,('Vendor Selection'!$B$7:$B$96=$A17)*('Vendor Selection'!$A$7:$A$96="Yes"),0)),"")</f>
        <v>Willow Creek Barn</v>
      </c>
      <c r="C17" s="74" t="n">
        <v>6000</v>
      </c>
      <c r="D17" s="74" t="n">
        <f aca="false">IFERROR(SUMIFS('Vendor Selection'!$G$7:$G$96,'Vendor Selection'!$B$7:$B$96,$A17,'Vendor Selection'!$A$7:$A$96,"Yes"),0)</f>
        <v>8500</v>
      </c>
      <c r="E17" s="74" t="n">
        <f aca="false">C17-D17</f>
        <v>-2500</v>
      </c>
    </row>
    <row r="18" customFormat="false" ht="15" hidden="false" customHeight="false" outlineLevel="0" collapsed="false">
      <c r="A18" s="47" t="s">
        <v>1216</v>
      </c>
      <c r="B18" s="47" t="str">
        <f aca="false">IFERROR(INDEX('Vendor Selection'!$C$7:$C$96,MATCH(1,('Vendor Selection'!$B$7:$B$96=$A18)*('Vendor Selection'!$A$7:$A$96="Yes"),0)),"")</f>
        <v>Copper Table Catering</v>
      </c>
      <c r="C18" s="75" t="n">
        <v>4200</v>
      </c>
      <c r="D18" s="75" t="n">
        <f aca="false">IFERROR(SUMIFS('Vendor Selection'!$G$7:$G$96,'Vendor Selection'!$B$7:$B$96,$A18,'Vendor Selection'!$A$7:$A$96,"Yes"),0)</f>
        <v>6200</v>
      </c>
      <c r="E18" s="75" t="n">
        <f aca="false">C18-D18</f>
        <v>-2000</v>
      </c>
    </row>
    <row r="19" customFormat="false" ht="15" hidden="false" customHeight="false" outlineLevel="0" collapsed="false">
      <c r="A19" s="45" t="s">
        <v>1217</v>
      </c>
      <c r="B19" s="45" t="str">
        <f aca="false">IFERROR(INDEX('Vendor Selection'!$C$7:$C$96,MATCH(1,('Vendor Selection'!$B$7:$B$96=$A19)*('Vendor Selection'!$A$7:$A$96="Yes"),0)),"")</f>
        <v>Golden Hour Studio</v>
      </c>
      <c r="C19" s="74" t="n">
        <v>3200</v>
      </c>
      <c r="D19" s="74" t="n">
        <f aca="false">IFERROR(SUMIFS('Vendor Selection'!$G$7:$G$96,'Vendor Selection'!$B$7:$B$96,$A19,'Vendor Selection'!$A$7:$A$96,"Yes"),0)</f>
        <v>3200</v>
      </c>
      <c r="E19" s="74" t="n">
        <f aca="false">C19-D19</f>
        <v>0</v>
      </c>
    </row>
    <row r="20" customFormat="false" ht="15" hidden="false" customHeight="false" outlineLevel="0" collapsed="false">
      <c r="A20" s="47" t="s">
        <v>1218</v>
      </c>
      <c r="B20" s="47" t="str">
        <f aca="false">IFERROR(INDEX('Vendor Selection'!$C$7:$C$96,MATCH(1,('Vendor Selection'!$B$7:$B$96=$A20)*('Vendor Selection'!$A$7:$A$96="Yes"),0)),"")</f>
        <v/>
      </c>
      <c r="C20" s="75" t="n">
        <v>1500</v>
      </c>
      <c r="D20" s="75" t="n">
        <f aca="false">IFERROR(SUMIFS('Vendor Selection'!$G$7:$G$96,'Vendor Selection'!$B$7:$B$96,$A20,'Vendor Selection'!$A$7:$A$96,"Yes"),0)</f>
        <v>0</v>
      </c>
      <c r="E20" s="75" t="n">
        <f aca="false">C20-D20</f>
        <v>1500</v>
      </c>
    </row>
    <row r="21" customFormat="false" ht="15" hidden="false" customHeight="false" outlineLevel="0" collapsed="false">
      <c r="A21" s="45" t="s">
        <v>1219</v>
      </c>
      <c r="B21" s="45" t="str">
        <f aca="false">IFERROR(INDEX('Vendor Selection'!$C$7:$C$96,MATCH(1,('Vendor Selection'!$B$7:$B$96=$A21)*('Vendor Selection'!$A$7:$A$96="Yes"),0)),"")</f>
        <v/>
      </c>
      <c r="C21" s="74" t="n">
        <v>900</v>
      </c>
      <c r="D21" s="74" t="n">
        <f aca="false">IFERROR(SUMIFS('Vendor Selection'!$G$7:$G$96,'Vendor Selection'!$B$7:$B$96,$A21,'Vendor Selection'!$A$7:$A$96,"Yes"),0)</f>
        <v>0</v>
      </c>
      <c r="E21" s="74" t="n">
        <f aca="false">C21-D21</f>
        <v>900</v>
      </c>
    </row>
    <row r="22" customFormat="false" ht="15" hidden="false" customHeight="false" outlineLevel="0" collapsed="false">
      <c r="A22" s="47" t="s">
        <v>1220</v>
      </c>
      <c r="B22" s="47" t="str">
        <f aca="false">IFERROR(INDEX('Vendor Selection'!$C$7:$C$96,MATCH(1,('Vendor Selection'!$B$7:$B$96=$A22)*('Vendor Selection'!$A$7:$A$96="Yes"),0)),"")</f>
        <v/>
      </c>
      <c r="C22" s="75" t="n">
        <v>800</v>
      </c>
      <c r="D22" s="75" t="n">
        <f aca="false">IFERROR(SUMIFS('Vendor Selection'!$G$7:$G$96,'Vendor Selection'!$B$7:$B$96,$A22,'Vendor Selection'!$A$7:$A$96,"Yes"),0)</f>
        <v>0</v>
      </c>
      <c r="E22" s="75" t="n">
        <f aca="false">C22-D22</f>
        <v>800</v>
      </c>
    </row>
    <row r="23" customFormat="false" ht="15" hidden="false" customHeight="false" outlineLevel="0" collapsed="false">
      <c r="A23" s="45" t="s">
        <v>1023</v>
      </c>
      <c r="B23" s="45" t="str">
        <f aca="false">IFERROR(INDEX('Vendor Selection'!$C$7:$C$96,MATCH(1,('Vendor Selection'!$B$7:$B$96=$A23)*('Vendor Selection'!$A$7:$A$96="Yes"),0)),"")</f>
        <v/>
      </c>
      <c r="C23" s="74" t="n">
        <v>400</v>
      </c>
      <c r="D23" s="74" t="n">
        <f aca="false">IFERROR(SUMIFS('Vendor Selection'!$G$7:$G$96,'Vendor Selection'!$B$7:$B$96,$A23,'Vendor Selection'!$A$7:$A$96,"Yes"),0)</f>
        <v>0</v>
      </c>
      <c r="E23" s="74" t="n">
        <f aca="false">C23-D23</f>
        <v>400</v>
      </c>
    </row>
    <row r="24" customFormat="false" ht="15" hidden="false" customHeight="false" outlineLevel="0" collapsed="false">
      <c r="A24" s="47" t="s">
        <v>1221</v>
      </c>
      <c r="B24" s="47" t="str">
        <f aca="false">IFERROR(INDEX('Vendor Selection'!$C$7:$C$96,MATCH(1,('Vendor Selection'!$B$7:$B$96=$A24)*('Vendor Selection'!$A$7:$A$96="Yes"),0)),"")</f>
        <v/>
      </c>
      <c r="C24" s="75" t="n">
        <v>500</v>
      </c>
      <c r="D24" s="75" t="n">
        <f aca="false">IFERROR(SUMIFS('Vendor Selection'!$G$7:$G$96,'Vendor Selection'!$B$7:$B$96,$A24,'Vendor Selection'!$A$7:$A$96,"Yes"),0)</f>
        <v>0</v>
      </c>
      <c r="E24" s="75" t="n">
        <f aca="false">C24-D24</f>
        <v>500</v>
      </c>
    </row>
    <row r="25" customFormat="false" ht="15" hidden="false" customHeight="false" outlineLevel="0" collapsed="false">
      <c r="A25" s="45" t="s">
        <v>1222</v>
      </c>
      <c r="B25" s="45" t="str">
        <f aca="false">IFERROR(INDEX('Vendor Selection'!$C$7:$C$96,MATCH(1,('Vendor Selection'!$B$7:$B$96=$A25)*('Vendor Selection'!$A$7:$A$96="Yes"),0)),"")</f>
        <v/>
      </c>
      <c r="C25" s="74" t="n">
        <v>400</v>
      </c>
      <c r="D25" s="74" t="n">
        <f aca="false">IFERROR(SUMIFS('Vendor Selection'!$G$7:$G$96,'Vendor Selection'!$B$7:$B$96,$A25,'Vendor Selection'!$A$7:$A$96,"Yes"),0)</f>
        <v>0</v>
      </c>
      <c r="E25" s="74" t="n">
        <f aca="false">C25-D25</f>
        <v>400</v>
      </c>
    </row>
    <row r="26" customFormat="false" ht="15" hidden="false" customHeight="false" outlineLevel="0" collapsed="false">
      <c r="A26" s="47" t="s">
        <v>1223</v>
      </c>
      <c r="B26" s="47" t="str">
        <f aca="false">IFERROR(INDEX('Vendor Selection'!$C$7:$C$96,MATCH(1,('Vendor Selection'!$B$7:$B$96=$A26)*('Vendor Selection'!$A$7:$A$96="Yes"),0)),"")</f>
        <v/>
      </c>
      <c r="C26" s="75" t="n">
        <v>350</v>
      </c>
      <c r="D26" s="75" t="n">
        <f aca="false">IFERROR(SUMIFS('Vendor Selection'!$G$7:$G$96,'Vendor Selection'!$B$7:$B$96,$A26,'Vendor Selection'!$A$7:$A$96,"Yes"),0)</f>
        <v>0</v>
      </c>
      <c r="E26" s="75" t="n">
        <f aca="false">C26-D26</f>
        <v>350</v>
      </c>
    </row>
    <row r="27" customFormat="false" ht="15" hidden="false" customHeight="false" outlineLevel="0" collapsed="false">
      <c r="A27" s="45" t="s">
        <v>1224</v>
      </c>
      <c r="B27" s="45" t="str">
        <f aca="false">IFERROR(INDEX('Vendor Selection'!$C$7:$C$96,MATCH(1,('Vendor Selection'!$B$7:$B$96=$A27)*('Vendor Selection'!$A$7:$A$96="Yes"),0)),"")</f>
        <v/>
      </c>
      <c r="C27" s="74" t="n">
        <v>250</v>
      </c>
      <c r="D27" s="74" t="n">
        <f aca="false">IFERROR(SUMIFS('Vendor Selection'!$G$7:$G$96,'Vendor Selection'!$B$7:$B$96,$A27,'Vendor Selection'!$A$7:$A$96,"Yes"),0)</f>
        <v>0</v>
      </c>
      <c r="E27" s="74" t="n">
        <f aca="false">C27-D27</f>
        <v>250</v>
      </c>
    </row>
    <row r="28" customFormat="false" ht="15" hidden="false" customHeight="false" outlineLevel="0" collapsed="false">
      <c r="A28" s="47" t="s">
        <v>1225</v>
      </c>
      <c r="B28" s="47" t="str">
        <f aca="false">IFERROR(INDEX('Vendor Selection'!$C$7:$C$96,MATCH(1,('Vendor Selection'!$B$7:$B$96=$A28)*('Vendor Selection'!$A$7:$A$96="Yes"),0)),"")</f>
        <v/>
      </c>
      <c r="C28" s="75" t="n">
        <v>350</v>
      </c>
      <c r="D28" s="75" t="n">
        <f aca="false">IFERROR(SUMIFS('Vendor Selection'!$G$7:$G$96,'Vendor Selection'!$B$7:$B$96,$A28,'Vendor Selection'!$A$7:$A$96,"Yes"),0)</f>
        <v>0</v>
      </c>
      <c r="E28" s="75" t="n">
        <f aca="false">C28-D28</f>
        <v>350</v>
      </c>
    </row>
    <row r="29" customFormat="false" ht="15" hidden="false" customHeight="false" outlineLevel="0" collapsed="false">
      <c r="A29" s="45" t="s">
        <v>97</v>
      </c>
      <c r="B29" s="45" t="str">
        <f aca="false">IFERROR(INDEX('Vendor Selection'!$C$7:$C$96,MATCH(1,('Vendor Selection'!$B$7:$B$96=$A29)*('Vendor Selection'!$A$7:$A$96="Yes"),0)),"")</f>
        <v/>
      </c>
      <c r="C29" s="74" t="n">
        <v>250</v>
      </c>
      <c r="D29" s="74" t="n">
        <f aca="false">IFERROR(SUMIFS('Vendor Selection'!$G$7:$G$96,'Vendor Selection'!$B$7:$B$96,$A29,'Vendor Selection'!$A$7:$A$96,"Yes"),0)</f>
        <v>0</v>
      </c>
      <c r="E29" s="74" t="n">
        <f aca="false">C29-D29</f>
        <v>250</v>
      </c>
    </row>
    <row r="30" customFormat="false" ht="15" hidden="false" customHeight="false" outlineLevel="0" collapsed="false">
      <c r="A30" s="47" t="s">
        <v>1226</v>
      </c>
      <c r="B30" s="47" t="str">
        <f aca="false">IFERROR(INDEX('Vendor Selection'!$C$7:$C$96,MATCH(1,('Vendor Selection'!$B$7:$B$96=$A30)*('Vendor Selection'!$A$7:$A$96="Yes"),0)),"")</f>
        <v/>
      </c>
      <c r="C30" s="75" t="n">
        <v>250</v>
      </c>
      <c r="D30" s="75" t="n">
        <f aca="false">IFERROR(SUMIFS('Vendor Selection'!$G$7:$G$96,'Vendor Selection'!$B$7:$B$96,$A30,'Vendor Selection'!$A$7:$A$96,"Yes"),0)</f>
        <v>0</v>
      </c>
      <c r="E30" s="75" t="n">
        <f aca="false">C30-D30</f>
        <v>250</v>
      </c>
    </row>
    <row r="31" customFormat="false" ht="15" hidden="false" customHeight="false" outlineLevel="0" collapsed="false">
      <c r="A31" s="45" t="s">
        <v>1227</v>
      </c>
      <c r="B31" s="45" t="str">
        <f aca="false">IFERROR(INDEX('Vendor Selection'!$C$7:$C$96,MATCH(1,('Vendor Selection'!$B$7:$B$96=$A31)*('Vendor Selection'!$A$7:$A$96="Yes"),0)),"")</f>
        <v/>
      </c>
      <c r="C31" s="74" t="n">
        <v>250</v>
      </c>
      <c r="D31" s="74" t="n">
        <f aca="false">IFERROR(SUMIFS('Vendor Selection'!$G$7:$G$96,'Vendor Selection'!$B$7:$B$96,$A31,'Vendor Selection'!$A$7:$A$96,"Yes"),0)</f>
        <v>0</v>
      </c>
      <c r="E31" s="74" t="n">
        <f aca="false">C31-D31</f>
        <v>250</v>
      </c>
    </row>
    <row r="32" customFormat="false" ht="15" hidden="false" customHeight="false" outlineLevel="0" collapsed="false">
      <c r="A32" s="72" t="s">
        <v>1228</v>
      </c>
      <c r="B32" s="76"/>
      <c r="C32" s="73" t="n">
        <f aca="false">SUM(C17:C31)</f>
        <v>19600</v>
      </c>
      <c r="D32" s="73" t="n">
        <f aca="false">SUM(D17:D31)</f>
        <v>17900</v>
      </c>
      <c r="E32" s="73" t="n">
        <f aca="false">SUM(E17:E31)</f>
        <v>1700</v>
      </c>
    </row>
    <row r="34" customFormat="false" ht="15" hidden="false" customHeight="false" outlineLevel="0" collapsed="false">
      <c r="A34" s="6" t="s">
        <v>1229</v>
      </c>
      <c r="B34" s="6"/>
      <c r="C34" s="6"/>
      <c r="D34" s="6"/>
      <c r="E34" s="6"/>
      <c r="F34" s="6"/>
      <c r="G34" s="6"/>
      <c r="I34" s="50" t="s">
        <v>1230</v>
      </c>
      <c r="J34" s="50"/>
      <c r="K34" s="50"/>
    </row>
    <row r="35" customFormat="false" ht="19.5" hidden="false" customHeight="true" outlineLevel="0" collapsed="false">
      <c r="A35" s="41" t="s">
        <v>1231</v>
      </c>
      <c r="B35" s="41" t="s">
        <v>1232</v>
      </c>
      <c r="C35" s="41" t="s">
        <v>113</v>
      </c>
      <c r="D35" s="41" t="s">
        <v>1204</v>
      </c>
      <c r="E35" s="41" t="s">
        <v>1233</v>
      </c>
      <c r="F35" s="41" t="s">
        <v>1234</v>
      </c>
      <c r="G35" s="41" t="s">
        <v>1153</v>
      </c>
      <c r="I35" s="50"/>
      <c r="J35" s="50"/>
      <c r="K35" s="50"/>
    </row>
    <row r="36" customFormat="false" ht="15" hidden="false" customHeight="false" outlineLevel="0" collapsed="false">
      <c r="A36" s="45" t="s">
        <v>1235</v>
      </c>
      <c r="B36" s="45" t="s">
        <v>1236</v>
      </c>
      <c r="C36" s="46" t="n">
        <f aca="false">'Get Started'!$C$4+(-270)</f>
        <v>46282</v>
      </c>
      <c r="D36" s="74" t="n">
        <v>4250</v>
      </c>
      <c r="E36" s="46" t="n">
        <f aca="false">'Get Started'!$C$4+(-260)</f>
        <v>46292</v>
      </c>
      <c r="F36" s="45" t="str">
        <f aca="true">IF(E36&lt;&gt;"","Paid",IF(C36&lt;TODAY(),"Overdue",IF(C36&lt;=TODAY()+14,"Due Soon","Not Due")))</f>
        <v>Paid</v>
      </c>
      <c r="G36" s="45"/>
    </row>
    <row r="37" customFormat="false" ht="15" hidden="false" customHeight="false" outlineLevel="0" collapsed="false">
      <c r="A37" s="47" t="s">
        <v>1235</v>
      </c>
      <c r="B37" s="47" t="s">
        <v>1237</v>
      </c>
      <c r="C37" s="48" t="n">
        <f aca="false">'Get Started'!$C$4+(-240)</f>
        <v>46312</v>
      </c>
      <c r="D37" s="75" t="n">
        <v>3100</v>
      </c>
      <c r="E37" s="48" t="n">
        <f aca="false">'Get Started'!$C$4+(-230)</f>
        <v>46322</v>
      </c>
      <c r="F37" s="47" t="str">
        <f aca="true">IF(E37&lt;&gt;"","Paid",IF(C37&lt;TODAY(),"Overdue",IF(C37&lt;=TODAY()+14,"Due Soon","Not Due")))</f>
        <v>Paid</v>
      </c>
      <c r="G37" s="47"/>
    </row>
    <row r="38" customFormat="false" ht="15" hidden="false" customHeight="false" outlineLevel="0" collapsed="false">
      <c r="A38" s="45" t="s">
        <v>1238</v>
      </c>
      <c r="B38" s="45" t="s">
        <v>1239</v>
      </c>
      <c r="C38" s="46" t="n">
        <f aca="false">'Get Started'!$C$4+(-120)</f>
        <v>46432</v>
      </c>
      <c r="D38" s="74" t="n">
        <v>1600</v>
      </c>
      <c r="E38" s="46"/>
      <c r="F38" s="45" t="str">
        <f aca="true">IF(E38&lt;&gt;"","Paid",IF(C38&lt;TODAY(),"Overdue",IF(C38&lt;=TODAY()+14,"Due Soon","Not Due")))</f>
        <v>Not Due</v>
      </c>
      <c r="G38" s="45"/>
    </row>
    <row r="39" customFormat="false" ht="15" hidden="false" customHeight="false" outlineLevel="0" collapsed="false">
      <c r="A39" s="47"/>
      <c r="B39" s="47"/>
      <c r="C39" s="48"/>
      <c r="D39" s="75"/>
      <c r="E39" s="48"/>
      <c r="F39" s="47" t="str">
        <f aca="true">IF(E39&lt;&gt;"","Paid",IF(AND(C39&lt;&gt;"",C39&lt;TODAY()),"Overdue",IF(AND(C39&lt;&gt;"",C39&lt;=TODAY()+14),"Due Soon",IF(C39&lt;&gt;"","Not Due",""))))</f>
        <v/>
      </c>
      <c r="G39" s="47"/>
    </row>
    <row r="40" customFormat="false" ht="15" hidden="false" customHeight="false" outlineLevel="0" collapsed="false">
      <c r="A40" s="45"/>
      <c r="B40" s="45"/>
      <c r="C40" s="46"/>
      <c r="D40" s="74"/>
      <c r="E40" s="46"/>
      <c r="F40" s="45" t="str">
        <f aca="true">IF(E40&lt;&gt;"","Paid",IF(AND(C40&lt;&gt;"",C40&lt;TODAY()),"Overdue",IF(AND(C40&lt;&gt;"",C40&lt;=TODAY()+14),"Due Soon",IF(C40&lt;&gt;"","Not Due",""))))</f>
        <v/>
      </c>
      <c r="G40" s="45"/>
    </row>
    <row r="41" customFormat="false" ht="15" hidden="false" customHeight="false" outlineLevel="0" collapsed="false">
      <c r="A41" s="47"/>
      <c r="B41" s="47"/>
      <c r="C41" s="48"/>
      <c r="D41" s="75"/>
      <c r="E41" s="48"/>
      <c r="F41" s="47" t="str">
        <f aca="true">IF(E41&lt;&gt;"","Paid",IF(AND(C41&lt;&gt;"",C41&lt;TODAY()),"Overdue",IF(AND(C41&lt;&gt;"",C41&lt;=TODAY()+14),"Due Soon",IF(C41&lt;&gt;"","Not Due",""))))</f>
        <v/>
      </c>
      <c r="G41" s="47"/>
    </row>
    <row r="42" customFormat="false" ht="15" hidden="false" customHeight="false" outlineLevel="0" collapsed="false">
      <c r="A42" s="45"/>
      <c r="B42" s="45"/>
      <c r="C42" s="46"/>
      <c r="D42" s="74"/>
      <c r="E42" s="46"/>
      <c r="F42" s="45" t="str">
        <f aca="true">IF(E42&lt;&gt;"","Paid",IF(AND(C42&lt;&gt;"",C42&lt;TODAY()),"Overdue",IF(AND(C42&lt;&gt;"",C42&lt;=TODAY()+14),"Due Soon",IF(C42&lt;&gt;"","Not Due",""))))</f>
        <v/>
      </c>
      <c r="G42" s="45"/>
    </row>
    <row r="43" customFormat="false" ht="15" hidden="false" customHeight="false" outlineLevel="0" collapsed="false">
      <c r="A43" s="47"/>
      <c r="B43" s="47"/>
      <c r="C43" s="48"/>
      <c r="D43" s="75"/>
      <c r="E43" s="48"/>
      <c r="F43" s="47" t="str">
        <f aca="true">IF(E43&lt;&gt;"","Paid",IF(AND(C43&lt;&gt;"",C43&lt;TODAY()),"Overdue",IF(AND(C43&lt;&gt;"",C43&lt;=TODAY()+14),"Due Soon",IF(C43&lt;&gt;"","Not Due",""))))</f>
        <v/>
      </c>
      <c r="G43" s="47"/>
    </row>
    <row r="44" customFormat="false" ht="15" hidden="false" customHeight="false" outlineLevel="0" collapsed="false">
      <c r="A44" s="45"/>
      <c r="B44" s="45"/>
      <c r="C44" s="46"/>
      <c r="D44" s="74"/>
      <c r="E44" s="46"/>
      <c r="F44" s="45" t="str">
        <f aca="true">IF(E44&lt;&gt;"","Paid",IF(AND(C44&lt;&gt;"",C44&lt;TODAY()),"Overdue",IF(AND(C44&lt;&gt;"",C44&lt;=TODAY()+14),"Due Soon",IF(C44&lt;&gt;"","Not Due",""))))</f>
        <v/>
      </c>
      <c r="G44" s="45"/>
    </row>
    <row r="45" customFormat="false" ht="15" hidden="false" customHeight="false" outlineLevel="0" collapsed="false">
      <c r="A45" s="47"/>
      <c r="B45" s="47"/>
      <c r="C45" s="48"/>
      <c r="D45" s="75"/>
      <c r="E45" s="48"/>
      <c r="F45" s="47" t="str">
        <f aca="true">IF(E45&lt;&gt;"","Paid",IF(AND(C45&lt;&gt;"",C45&lt;TODAY()),"Overdue",IF(AND(C45&lt;&gt;"",C45&lt;=TODAY()+14),"Due Soon",IF(C45&lt;&gt;"","Not Due",""))))</f>
        <v/>
      </c>
      <c r="G45" s="47"/>
    </row>
    <row r="46" customFormat="false" ht="15" hidden="false" customHeight="false" outlineLevel="0" collapsed="false">
      <c r="A46" s="45"/>
      <c r="B46" s="45"/>
      <c r="C46" s="46"/>
      <c r="D46" s="74"/>
      <c r="E46" s="46"/>
      <c r="F46" s="45" t="str">
        <f aca="true">IF(E46&lt;&gt;"","Paid",IF(AND(C46&lt;&gt;"",C46&lt;TODAY()),"Overdue",IF(AND(C46&lt;&gt;"",C46&lt;=TODAY()+14),"Due Soon",IF(C46&lt;&gt;"","Not Due",""))))</f>
        <v/>
      </c>
      <c r="G46" s="45"/>
    </row>
    <row r="47" customFormat="false" ht="15" hidden="false" customHeight="false" outlineLevel="0" collapsed="false">
      <c r="A47" s="47"/>
      <c r="B47" s="47"/>
      <c r="C47" s="48"/>
      <c r="D47" s="75"/>
      <c r="E47" s="48"/>
      <c r="F47" s="47" t="str">
        <f aca="true">IF(E47&lt;&gt;"","Paid",IF(AND(C47&lt;&gt;"",C47&lt;TODAY()),"Overdue",IF(AND(C47&lt;&gt;"",C47&lt;=TODAY()+14),"Due Soon",IF(C47&lt;&gt;"","Not Due",""))))</f>
        <v/>
      </c>
      <c r="G47" s="47"/>
    </row>
    <row r="48" customFormat="false" ht="15" hidden="false" customHeight="false" outlineLevel="0" collapsed="false">
      <c r="A48" s="45"/>
      <c r="B48" s="45"/>
      <c r="C48" s="46"/>
      <c r="D48" s="74"/>
      <c r="E48" s="46"/>
      <c r="F48" s="45" t="str">
        <f aca="true">IF(E48&lt;&gt;"","Paid",IF(AND(C48&lt;&gt;"",C48&lt;TODAY()),"Overdue",IF(AND(C48&lt;&gt;"",C48&lt;=TODAY()+14),"Due Soon",IF(C48&lt;&gt;"","Not Due",""))))</f>
        <v/>
      </c>
      <c r="G48" s="45"/>
    </row>
    <row r="49" customFormat="false" ht="15" hidden="false" customHeight="false" outlineLevel="0" collapsed="false">
      <c r="A49" s="47"/>
      <c r="B49" s="47"/>
      <c r="C49" s="48"/>
      <c r="D49" s="75"/>
      <c r="E49" s="48"/>
      <c r="F49" s="47" t="str">
        <f aca="true">IF(E49&lt;&gt;"","Paid",IF(AND(C49&lt;&gt;"",C49&lt;TODAY()),"Overdue",IF(AND(C49&lt;&gt;"",C49&lt;=TODAY()+14),"Due Soon",IF(C49&lt;&gt;"","Not Due",""))))</f>
        <v/>
      </c>
      <c r="G49" s="47"/>
    </row>
    <row r="50" customFormat="false" ht="15" hidden="false" customHeight="false" outlineLevel="0" collapsed="false">
      <c r="A50" s="45"/>
      <c r="B50" s="45"/>
      <c r="C50" s="46"/>
      <c r="D50" s="74"/>
      <c r="E50" s="46"/>
      <c r="F50" s="45" t="str">
        <f aca="true">IF(E50&lt;&gt;"","Paid",IF(AND(C50&lt;&gt;"",C50&lt;TODAY()),"Overdue",IF(AND(C50&lt;&gt;"",C50&lt;=TODAY()+14),"Due Soon",IF(C50&lt;&gt;"","Not Due",""))))</f>
        <v/>
      </c>
      <c r="G50" s="45"/>
    </row>
    <row r="51" customFormat="false" ht="15" hidden="false" customHeight="false" outlineLevel="0" collapsed="false">
      <c r="A51" s="47"/>
      <c r="B51" s="47"/>
      <c r="C51" s="48"/>
      <c r="D51" s="75"/>
      <c r="E51" s="48"/>
      <c r="F51" s="47" t="str">
        <f aca="true">IF(E51&lt;&gt;"","Paid",IF(AND(C51&lt;&gt;"",C51&lt;TODAY()),"Overdue",IF(AND(C51&lt;&gt;"",C51&lt;=TODAY()+14),"Due Soon",IF(C51&lt;&gt;"","Not Due",""))))</f>
        <v/>
      </c>
      <c r="G51" s="47"/>
    </row>
    <row r="52" customFormat="false" ht="15" hidden="false" customHeight="false" outlineLevel="0" collapsed="false">
      <c r="A52" s="45"/>
      <c r="B52" s="45"/>
      <c r="C52" s="46"/>
      <c r="D52" s="74"/>
      <c r="E52" s="46"/>
      <c r="F52" s="45" t="str">
        <f aca="true">IF(E52&lt;&gt;"","Paid",IF(AND(C52&lt;&gt;"",C52&lt;TODAY()),"Overdue",IF(AND(C52&lt;&gt;"",C52&lt;=TODAY()+14),"Due Soon",IF(C52&lt;&gt;"","Not Due",""))))</f>
        <v/>
      </c>
      <c r="G52" s="45"/>
    </row>
    <row r="53" customFormat="false" ht="15" hidden="false" customHeight="false" outlineLevel="0" collapsed="false">
      <c r="A53" s="47"/>
      <c r="B53" s="47"/>
      <c r="C53" s="48"/>
      <c r="D53" s="75"/>
      <c r="E53" s="48"/>
      <c r="F53" s="47" t="str">
        <f aca="true">IF(E53&lt;&gt;"","Paid",IF(AND(C53&lt;&gt;"",C53&lt;TODAY()),"Overdue",IF(AND(C53&lt;&gt;"",C53&lt;=TODAY()+14),"Due Soon",IF(C53&lt;&gt;"","Not Due",""))))</f>
        <v/>
      </c>
      <c r="G53" s="47"/>
    </row>
    <row r="54" customFormat="false" ht="15" hidden="false" customHeight="false" outlineLevel="0" collapsed="false">
      <c r="A54" s="45"/>
      <c r="B54" s="45"/>
      <c r="C54" s="46"/>
      <c r="D54" s="74"/>
      <c r="E54" s="46"/>
      <c r="F54" s="45" t="str">
        <f aca="true">IF(E54&lt;&gt;"","Paid",IF(AND(C54&lt;&gt;"",C54&lt;TODAY()),"Overdue",IF(AND(C54&lt;&gt;"",C54&lt;=TODAY()+14),"Due Soon",IF(C54&lt;&gt;"","Not Due",""))))</f>
        <v/>
      </c>
      <c r="G54" s="45"/>
    </row>
    <row r="55" customFormat="false" ht="15" hidden="false" customHeight="false" outlineLevel="0" collapsed="false">
      <c r="A55" s="47"/>
      <c r="B55" s="47"/>
      <c r="C55" s="48"/>
      <c r="D55" s="75"/>
      <c r="E55" s="48"/>
      <c r="F55" s="47" t="str">
        <f aca="true">IF(E55&lt;&gt;"","Paid",IF(AND(C55&lt;&gt;"",C55&lt;TODAY()),"Overdue",IF(AND(C55&lt;&gt;"",C55&lt;=TODAY()+14),"Due Soon",IF(C55&lt;&gt;"","Not Due",""))))</f>
        <v/>
      </c>
      <c r="G55" s="47"/>
    </row>
    <row r="56" customFormat="false" ht="15" hidden="false" customHeight="false" outlineLevel="0" collapsed="false">
      <c r="A56" s="45"/>
      <c r="B56" s="45"/>
      <c r="C56" s="46"/>
      <c r="D56" s="74"/>
      <c r="E56" s="46"/>
      <c r="F56" s="45" t="str">
        <f aca="true">IF(E56&lt;&gt;"","Paid",IF(AND(C56&lt;&gt;"",C56&lt;TODAY()),"Overdue",IF(AND(C56&lt;&gt;"",C56&lt;=TODAY()+14),"Due Soon",IF(C56&lt;&gt;"","Not Due",""))))</f>
        <v/>
      </c>
      <c r="G56" s="45"/>
    </row>
    <row r="57" customFormat="false" ht="15" hidden="false" customHeight="false" outlineLevel="0" collapsed="false">
      <c r="A57" s="47"/>
      <c r="B57" s="47"/>
      <c r="C57" s="48"/>
      <c r="D57" s="75"/>
      <c r="E57" s="48"/>
      <c r="F57" s="47" t="str">
        <f aca="true">IF(E57&lt;&gt;"","Paid",IF(AND(C57&lt;&gt;"",C57&lt;TODAY()),"Overdue",IF(AND(C57&lt;&gt;"",C57&lt;=TODAY()+14),"Due Soon",IF(C57&lt;&gt;"","Not Due",""))))</f>
        <v/>
      </c>
      <c r="G57" s="47"/>
    </row>
    <row r="58" customFormat="false" ht="15" hidden="false" customHeight="false" outlineLevel="0" collapsed="false">
      <c r="A58" s="45"/>
      <c r="B58" s="45"/>
      <c r="C58" s="46"/>
      <c r="D58" s="74"/>
      <c r="E58" s="46"/>
      <c r="F58" s="45" t="str">
        <f aca="true">IF(E58&lt;&gt;"","Paid",IF(AND(C58&lt;&gt;"",C58&lt;TODAY()),"Overdue",IF(AND(C58&lt;&gt;"",C58&lt;=TODAY()+14),"Due Soon",IF(C58&lt;&gt;"","Not Due",""))))</f>
        <v/>
      </c>
      <c r="G58" s="45"/>
    </row>
    <row r="59" customFormat="false" ht="15" hidden="false" customHeight="false" outlineLevel="0" collapsed="false">
      <c r="A59" s="47"/>
      <c r="B59" s="47"/>
      <c r="C59" s="48"/>
      <c r="D59" s="75"/>
      <c r="E59" s="48"/>
      <c r="F59" s="47" t="str">
        <f aca="true">IF(E59&lt;&gt;"","Paid",IF(AND(C59&lt;&gt;"",C59&lt;TODAY()),"Overdue",IF(AND(C59&lt;&gt;"",C59&lt;=TODAY()+14),"Due Soon",IF(C59&lt;&gt;"","Not Due",""))))</f>
        <v/>
      </c>
      <c r="G59" s="47"/>
    </row>
    <row r="60" customFormat="false" ht="15" hidden="false" customHeight="false" outlineLevel="0" collapsed="false">
      <c r="A60" s="45"/>
      <c r="B60" s="45"/>
      <c r="C60" s="46"/>
      <c r="D60" s="74"/>
      <c r="E60" s="46"/>
      <c r="F60" s="45" t="str">
        <f aca="true">IF(E60&lt;&gt;"","Paid",IF(AND(C60&lt;&gt;"",C60&lt;TODAY()),"Overdue",IF(AND(C60&lt;&gt;"",C60&lt;=TODAY()+14),"Due Soon",IF(C60&lt;&gt;"","Not Due",""))))</f>
        <v/>
      </c>
      <c r="G60" s="45"/>
    </row>
    <row r="61" customFormat="false" ht="15" hidden="false" customHeight="false" outlineLevel="0" collapsed="false">
      <c r="A61" s="47"/>
      <c r="B61" s="47"/>
      <c r="C61" s="48"/>
      <c r="D61" s="75"/>
      <c r="E61" s="48"/>
      <c r="F61" s="47" t="str">
        <f aca="true">IF(E61&lt;&gt;"","Paid",IF(AND(C61&lt;&gt;"",C61&lt;TODAY()),"Overdue",IF(AND(C61&lt;&gt;"",C61&lt;=TODAY()+14),"Due Soon",IF(C61&lt;&gt;"","Not Due",""))))</f>
        <v/>
      </c>
      <c r="G61" s="47"/>
    </row>
    <row r="62" customFormat="false" ht="15" hidden="false" customHeight="false" outlineLevel="0" collapsed="false">
      <c r="A62" s="45"/>
      <c r="B62" s="45"/>
      <c r="C62" s="46"/>
      <c r="D62" s="74"/>
      <c r="E62" s="46"/>
      <c r="F62" s="45" t="str">
        <f aca="true">IF(E62&lt;&gt;"","Paid",IF(AND(C62&lt;&gt;"",C62&lt;TODAY()),"Overdue",IF(AND(C62&lt;&gt;"",C62&lt;=TODAY()+14),"Due Soon",IF(C62&lt;&gt;"","Not Due",""))))</f>
        <v/>
      </c>
      <c r="G62" s="45"/>
    </row>
    <row r="63" customFormat="false" ht="15" hidden="false" customHeight="false" outlineLevel="0" collapsed="false">
      <c r="A63" s="47"/>
      <c r="B63" s="47"/>
      <c r="C63" s="48"/>
      <c r="D63" s="75"/>
      <c r="E63" s="48"/>
      <c r="F63" s="47" t="str">
        <f aca="true">IF(E63&lt;&gt;"","Paid",IF(AND(C63&lt;&gt;"",C63&lt;TODAY()),"Overdue",IF(AND(C63&lt;&gt;"",C63&lt;=TODAY()+14),"Due Soon",IF(C63&lt;&gt;"","Not Due",""))))</f>
        <v/>
      </c>
      <c r="G63" s="47"/>
    </row>
    <row r="64" customFormat="false" ht="15" hidden="false" customHeight="false" outlineLevel="0" collapsed="false">
      <c r="A64" s="45"/>
      <c r="B64" s="45"/>
      <c r="C64" s="46"/>
      <c r="D64" s="74"/>
      <c r="E64" s="46"/>
      <c r="F64" s="45" t="str">
        <f aca="true">IF(E64&lt;&gt;"","Paid",IF(AND(C64&lt;&gt;"",C64&lt;TODAY()),"Overdue",IF(AND(C64&lt;&gt;"",C64&lt;=TODAY()+14),"Due Soon",IF(C64&lt;&gt;"","Not Due",""))))</f>
        <v/>
      </c>
      <c r="G64" s="45"/>
    </row>
    <row r="65" customFormat="false" ht="15" hidden="false" customHeight="false" outlineLevel="0" collapsed="false">
      <c r="A65" s="47"/>
      <c r="B65" s="47"/>
      <c r="C65" s="48"/>
      <c r="D65" s="75"/>
      <c r="E65" s="48"/>
      <c r="F65" s="47" t="str">
        <f aca="true">IF(E65&lt;&gt;"","Paid",IF(AND(C65&lt;&gt;"",C65&lt;TODAY()),"Overdue",IF(AND(C65&lt;&gt;"",C65&lt;=TODAY()+14),"Due Soon",IF(C65&lt;&gt;"","Not Due",""))))</f>
        <v/>
      </c>
      <c r="G65" s="47"/>
    </row>
    <row r="66" customFormat="false" ht="15" hidden="false" customHeight="false" outlineLevel="0" collapsed="false">
      <c r="A66" s="45"/>
      <c r="B66" s="45"/>
      <c r="C66" s="46"/>
      <c r="D66" s="74"/>
      <c r="E66" s="46"/>
      <c r="F66" s="45" t="str">
        <f aca="true">IF(E66&lt;&gt;"","Paid",IF(AND(C66&lt;&gt;"",C66&lt;TODAY()),"Overdue",IF(AND(C66&lt;&gt;"",C66&lt;=TODAY()+14),"Due Soon",IF(C66&lt;&gt;"","Not Due",""))))</f>
        <v/>
      </c>
      <c r="G66" s="45"/>
    </row>
    <row r="67" customFormat="false" ht="15" hidden="false" customHeight="false" outlineLevel="0" collapsed="false">
      <c r="A67" s="47"/>
      <c r="B67" s="47"/>
      <c r="C67" s="48"/>
      <c r="D67" s="75"/>
      <c r="E67" s="48"/>
      <c r="F67" s="47" t="str">
        <f aca="true">IF(E67&lt;&gt;"","Paid",IF(AND(C67&lt;&gt;"",C67&lt;TODAY()),"Overdue",IF(AND(C67&lt;&gt;"",C67&lt;=TODAY()+14),"Due Soon",IF(C67&lt;&gt;"","Not Due",""))))</f>
        <v/>
      </c>
      <c r="G67" s="47"/>
    </row>
    <row r="68" customFormat="false" ht="15" hidden="false" customHeight="false" outlineLevel="0" collapsed="false">
      <c r="A68" s="45"/>
      <c r="B68" s="45"/>
      <c r="C68" s="46"/>
      <c r="D68" s="74"/>
      <c r="E68" s="46"/>
      <c r="F68" s="45" t="str">
        <f aca="true">IF(E68&lt;&gt;"","Paid",IF(AND(C68&lt;&gt;"",C68&lt;TODAY()),"Overdue",IF(AND(C68&lt;&gt;"",C68&lt;=TODAY()+14),"Due Soon",IF(C68&lt;&gt;"","Not Due",""))))</f>
        <v/>
      </c>
      <c r="G68" s="45"/>
    </row>
    <row r="69" customFormat="false" ht="15" hidden="false" customHeight="false" outlineLevel="0" collapsed="false">
      <c r="A69" s="47"/>
      <c r="B69" s="47"/>
      <c r="C69" s="48"/>
      <c r="D69" s="75"/>
      <c r="E69" s="48"/>
      <c r="F69" s="47" t="str">
        <f aca="true">IF(E69&lt;&gt;"","Paid",IF(AND(C69&lt;&gt;"",C69&lt;TODAY()),"Overdue",IF(AND(C69&lt;&gt;"",C69&lt;=TODAY()+14),"Due Soon",IF(C69&lt;&gt;"","Not Due",""))))</f>
        <v/>
      </c>
      <c r="G69" s="47"/>
    </row>
    <row r="70" customFormat="false" ht="15" hidden="false" customHeight="false" outlineLevel="0" collapsed="false">
      <c r="A70" s="45"/>
      <c r="B70" s="45"/>
      <c r="C70" s="46"/>
      <c r="D70" s="74"/>
      <c r="E70" s="46"/>
      <c r="F70" s="45" t="str">
        <f aca="true">IF(E70&lt;&gt;"","Paid",IF(AND(C70&lt;&gt;"",C70&lt;TODAY()),"Overdue",IF(AND(C70&lt;&gt;"",C70&lt;=TODAY()+14),"Due Soon",IF(C70&lt;&gt;"","Not Due",""))))</f>
        <v/>
      </c>
      <c r="G70" s="45"/>
    </row>
    <row r="71" customFormat="false" ht="15" hidden="false" customHeight="false" outlineLevel="0" collapsed="false">
      <c r="A71" s="47"/>
      <c r="B71" s="47"/>
      <c r="C71" s="48"/>
      <c r="D71" s="75"/>
      <c r="E71" s="48"/>
      <c r="F71" s="47" t="str">
        <f aca="true">IF(E71&lt;&gt;"","Paid",IF(AND(C71&lt;&gt;"",C71&lt;TODAY()),"Overdue",IF(AND(C71&lt;&gt;"",C71&lt;=TODAY()+14),"Due Soon",IF(C71&lt;&gt;"","Not Due",""))))</f>
        <v/>
      </c>
      <c r="G71" s="47"/>
    </row>
    <row r="72" customFormat="false" ht="15" hidden="false" customHeight="false" outlineLevel="0" collapsed="false">
      <c r="A72" s="45"/>
      <c r="B72" s="45"/>
      <c r="C72" s="46"/>
      <c r="D72" s="74"/>
      <c r="E72" s="46"/>
      <c r="F72" s="45" t="str">
        <f aca="true">IF(E72&lt;&gt;"","Paid",IF(AND(C72&lt;&gt;"",C72&lt;TODAY()),"Overdue",IF(AND(C72&lt;&gt;"",C72&lt;=TODAY()+14),"Due Soon",IF(C72&lt;&gt;"","Not Due",""))))</f>
        <v/>
      </c>
      <c r="G72" s="45"/>
    </row>
    <row r="73" customFormat="false" ht="15" hidden="false" customHeight="false" outlineLevel="0" collapsed="false">
      <c r="A73" s="47"/>
      <c r="B73" s="47"/>
      <c r="C73" s="48"/>
      <c r="D73" s="75"/>
      <c r="E73" s="48"/>
      <c r="F73" s="47" t="str">
        <f aca="true">IF(E73&lt;&gt;"","Paid",IF(AND(C73&lt;&gt;"",C73&lt;TODAY()),"Overdue",IF(AND(C73&lt;&gt;"",C73&lt;=TODAY()+14),"Due Soon",IF(C73&lt;&gt;"","Not Due",""))))</f>
        <v/>
      </c>
      <c r="G73" s="47"/>
    </row>
    <row r="74" customFormat="false" ht="15" hidden="false" customHeight="false" outlineLevel="0" collapsed="false">
      <c r="A74" s="45"/>
      <c r="B74" s="45"/>
      <c r="C74" s="46"/>
      <c r="D74" s="74"/>
      <c r="E74" s="46"/>
      <c r="F74" s="45" t="str">
        <f aca="true">IF(E74&lt;&gt;"","Paid",IF(AND(C74&lt;&gt;"",C74&lt;TODAY()),"Overdue",IF(AND(C74&lt;&gt;"",C74&lt;=TODAY()+14),"Due Soon",IF(C74&lt;&gt;"","Not Due",""))))</f>
        <v/>
      </c>
      <c r="G74" s="45"/>
    </row>
    <row r="75" customFormat="false" ht="15" hidden="false" customHeight="false" outlineLevel="0" collapsed="false">
      <c r="A75" s="47"/>
      <c r="B75" s="47"/>
      <c r="C75" s="48"/>
      <c r="D75" s="75"/>
      <c r="E75" s="48"/>
      <c r="F75" s="47" t="str">
        <f aca="true">IF(E75&lt;&gt;"","Paid",IF(AND(C75&lt;&gt;"",C75&lt;TODAY()),"Overdue",IF(AND(C75&lt;&gt;"",C75&lt;=TODAY()+14),"Due Soon",IF(C75&lt;&gt;"","Not Due",""))))</f>
        <v/>
      </c>
      <c r="G75" s="47"/>
    </row>
  </sheetData>
  <mergeCells count="15">
    <mergeCell ref="A1:J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6:B6"/>
    <mergeCell ref="A15:E15"/>
    <mergeCell ref="A34:G34"/>
    <mergeCell ref="I34:K35"/>
  </mergeCells>
  <conditionalFormatting sqref="E17:E31">
    <cfRule type="cellIs" priority="2" operator="lessThan" aboveAverage="0" equalAverage="0" bottom="0" percent="0" rank="0" text="" dxfId="1">
      <formula>0</formula>
    </cfRule>
  </conditionalFormatting>
  <conditionalFormatting sqref="F36:F75">
    <cfRule type="expression" priority="3" aboveAverage="0" equalAverage="0" bottom="0" percent="0" rank="0" text="" dxfId="1">
      <formula>EXACT(F36,"Overdue")</formula>
    </cfRule>
    <cfRule type="expression" priority="4" aboveAverage="0" equalAverage="0" bottom="0" percent="0" rank="0" text="" dxfId="4">
      <formula>EXACT(F36,"Paid")</formula>
    </cfRule>
    <cfRule type="expression" priority="5" aboveAverage="0" equalAverage="0" bottom="0" percent="0" rank="0" text="" dxfId="0">
      <formula>EXACT(F36,"Due Soon")</formula>
    </cfRule>
  </conditionalFormatting>
  <dataValidations count="1">
    <dataValidation allowBlank="true" errorStyle="stop" operator="between" showDropDown="false" showErrorMessage="false" showInputMessage="false" sqref="A36:A75" type="list">
      <formula1>PaymentType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DFD0"/>
    <pageSetUpPr fitToPage="false"/>
  </sheetPr>
  <dimension ref="A1:M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27.75" hidden="false" customHeight="true" outlineLevel="0" collapsed="false">
      <c r="A1" s="60" t="s">
        <v>1240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3" customFormat="false" ht="15" hidden="false" customHeight="false" outlineLevel="0" collapsed="false">
      <c r="A3" s="21" t="s">
        <v>1241</v>
      </c>
      <c r="B3" s="21"/>
      <c r="C3" s="21" t="s">
        <v>1242</v>
      </c>
      <c r="D3" s="21"/>
      <c r="E3" s="21" t="s">
        <v>1243</v>
      </c>
      <c r="F3" s="21"/>
      <c r="L3" s="16" t="s">
        <v>1211</v>
      </c>
      <c r="M3" s="16" t="s">
        <v>1244</v>
      </c>
    </row>
    <row r="4" customFormat="false" ht="22.05" hidden="false" customHeight="false" outlineLevel="0" collapsed="false">
      <c r="A4" s="77" t="n">
        <f aca="false">COUNTIFS(A7:A96,"Yes")/COUNTIF(B7:B96,"&lt;&gt;")</f>
        <v>0.6</v>
      </c>
      <c r="B4" s="77"/>
      <c r="C4" s="78" t="n">
        <f aca="false">SUMIFS(G7:G96,A7:A96,"Yes")</f>
        <v>17900</v>
      </c>
      <c r="D4" s="78"/>
      <c r="E4" s="79" t="n">
        <f aca="false">COUNTIFS(A7:A96,"Yes")</f>
        <v>3</v>
      </c>
      <c r="F4" s="79"/>
      <c r="L4" s="17" t="s">
        <v>1215</v>
      </c>
      <c r="M4" s="80" t="n">
        <f aca="false">SUMIFS($G$7:$G$96,$B$7:$B$96,L4,$A$7:$A$96,"Yes")</f>
        <v>8500</v>
      </c>
    </row>
    <row r="5" customFormat="false" ht="15" hidden="false" customHeight="false" outlineLevel="0" collapsed="false">
      <c r="L5" s="0" t="s">
        <v>1216</v>
      </c>
      <c r="M5" s="80" t="n">
        <f aca="false">SUMIFS($G$7:$G$96,$B$7:$B$96,L5,$A$7:$A$96,"Yes")</f>
        <v>6200</v>
      </c>
    </row>
    <row r="6" customFormat="false" ht="19.5" hidden="false" customHeight="true" outlineLevel="0" collapsed="false">
      <c r="A6" s="61" t="s">
        <v>1245</v>
      </c>
      <c r="B6" s="61" t="s">
        <v>1211</v>
      </c>
      <c r="C6" s="61" t="s">
        <v>1246</v>
      </c>
      <c r="D6" s="61" t="s">
        <v>1247</v>
      </c>
      <c r="E6" s="61" t="s">
        <v>1248</v>
      </c>
      <c r="F6" s="61" t="s">
        <v>1249</v>
      </c>
      <c r="G6" s="61" t="s">
        <v>1204</v>
      </c>
      <c r="H6" s="61" t="s">
        <v>1250</v>
      </c>
      <c r="I6" s="61" t="s">
        <v>1251</v>
      </c>
      <c r="J6" s="61" t="s">
        <v>1153</v>
      </c>
      <c r="L6" s="17" t="s">
        <v>1217</v>
      </c>
      <c r="M6" s="80" t="n">
        <f aca="false">SUMIFS($G$7:$G$96,$B$7:$B$96,L6,$A$7:$A$96,"Yes")</f>
        <v>3200</v>
      </c>
    </row>
    <row r="7" customFormat="false" ht="15" hidden="false" customHeight="false" outlineLevel="0" collapsed="false">
      <c r="A7" s="45" t="s">
        <v>1252</v>
      </c>
      <c r="B7" s="45" t="s">
        <v>1215</v>
      </c>
      <c r="C7" s="45" t="s">
        <v>1236</v>
      </c>
      <c r="D7" s="45" t="s">
        <v>1253</v>
      </c>
      <c r="E7" s="45" t="s">
        <v>1254</v>
      </c>
      <c r="F7" s="45" t="s">
        <v>1255</v>
      </c>
      <c r="G7" s="74" t="n">
        <v>8500</v>
      </c>
      <c r="H7" s="45" t="s">
        <v>1256</v>
      </c>
      <c r="I7" s="45" t="n">
        <v>5</v>
      </c>
      <c r="J7" s="45" t="s">
        <v>1257</v>
      </c>
      <c r="L7" s="17" t="s">
        <v>1218</v>
      </c>
      <c r="M7" s="80" t="n">
        <f aca="false">SUMIFS($G$7:$G$96,$B$7:$B$96,L7,$A$7:$A$96,"Yes")</f>
        <v>0</v>
      </c>
    </row>
    <row r="8" customFormat="false" ht="15" hidden="false" customHeight="false" outlineLevel="0" collapsed="false">
      <c r="A8" s="47" t="s">
        <v>1252</v>
      </c>
      <c r="B8" s="47" t="s">
        <v>1216</v>
      </c>
      <c r="C8" s="47" t="s">
        <v>1237</v>
      </c>
      <c r="D8" s="47" t="s">
        <v>1258</v>
      </c>
      <c r="E8" s="47" t="s">
        <v>1259</v>
      </c>
      <c r="F8" s="47" t="s">
        <v>1260</v>
      </c>
      <c r="G8" s="75" t="n">
        <v>6200</v>
      </c>
      <c r="H8" s="47" t="s">
        <v>1256</v>
      </c>
      <c r="I8" s="47" t="n">
        <v>5</v>
      </c>
      <c r="J8" s="47" t="s">
        <v>1261</v>
      </c>
      <c r="L8" s="17" t="s">
        <v>1219</v>
      </c>
      <c r="M8" s="80" t="n">
        <f aca="false">SUMIFS($G$7:$G$96,$B$7:$B$96,L8,$A$7:$A$96,"Yes")</f>
        <v>0</v>
      </c>
    </row>
    <row r="9" customFormat="false" ht="15" hidden="false" customHeight="false" outlineLevel="0" collapsed="false">
      <c r="A9" s="45" t="s">
        <v>1252</v>
      </c>
      <c r="B9" s="45" t="s">
        <v>1217</v>
      </c>
      <c r="C9" s="45" t="s">
        <v>1239</v>
      </c>
      <c r="D9" s="45" t="s">
        <v>1262</v>
      </c>
      <c r="E9" s="45" t="s">
        <v>1263</v>
      </c>
      <c r="F9" s="45" t="s">
        <v>1264</v>
      </c>
      <c r="G9" s="74" t="n">
        <v>3200</v>
      </c>
      <c r="H9" s="45" t="s">
        <v>1256</v>
      </c>
      <c r="I9" s="45" t="n">
        <v>5</v>
      </c>
      <c r="J9" s="45" t="s">
        <v>1265</v>
      </c>
      <c r="L9" s="17" t="s">
        <v>1220</v>
      </c>
      <c r="M9" s="80" t="n">
        <f aca="false">SUMIFS($G$7:$G$96,$B$7:$B$96,L9,$A$7:$A$96,"Yes")</f>
        <v>0</v>
      </c>
    </row>
    <row r="10" customFormat="false" ht="15" hidden="false" customHeight="false" outlineLevel="0" collapsed="false">
      <c r="A10" s="47" t="s">
        <v>1266</v>
      </c>
      <c r="B10" s="47" t="s">
        <v>1218</v>
      </c>
      <c r="C10" s="47" t="s">
        <v>1267</v>
      </c>
      <c r="D10" s="47" t="s">
        <v>1268</v>
      </c>
      <c r="E10" s="47" t="s">
        <v>1269</v>
      </c>
      <c r="F10" s="47" t="s">
        <v>1270</v>
      </c>
      <c r="G10" s="75" t="n">
        <v>2400</v>
      </c>
      <c r="H10" s="47" t="s">
        <v>1271</v>
      </c>
      <c r="I10" s="47" t="n">
        <v>4</v>
      </c>
      <c r="J10" s="47" t="s">
        <v>1272</v>
      </c>
      <c r="L10" s="17" t="s">
        <v>1023</v>
      </c>
      <c r="M10" s="80" t="n">
        <f aca="false">SUMIFS($G$7:$G$96,$B$7:$B$96,L10,$A$7:$A$96,"Yes")</f>
        <v>0</v>
      </c>
    </row>
    <row r="11" customFormat="false" ht="15" hidden="false" customHeight="false" outlineLevel="0" collapsed="false">
      <c r="A11" s="45" t="s">
        <v>1266</v>
      </c>
      <c r="B11" s="45" t="s">
        <v>1219</v>
      </c>
      <c r="C11" s="45" t="s">
        <v>1273</v>
      </c>
      <c r="D11" s="45" t="s">
        <v>1274</v>
      </c>
      <c r="E11" s="45" t="s">
        <v>1275</v>
      </c>
      <c r="F11" s="45" t="s">
        <v>1276</v>
      </c>
      <c r="G11" s="74" t="n">
        <v>2100</v>
      </c>
      <c r="H11" s="45" t="s">
        <v>1271</v>
      </c>
      <c r="I11" s="45" t="n">
        <v>4</v>
      </c>
      <c r="J11" s="45"/>
      <c r="L11" s="17" t="s">
        <v>1221</v>
      </c>
      <c r="M11" s="80" t="n">
        <f aca="false">SUMIFS($G$7:$G$96,$B$7:$B$96,L11,$A$7:$A$96,"Yes")</f>
        <v>0</v>
      </c>
    </row>
    <row r="12" customFormat="false" ht="15" hidden="false" customHeight="false" outlineLevel="0" collapsed="false">
      <c r="A12" s="47" t="s">
        <v>1266</v>
      </c>
      <c r="B12" s="47"/>
      <c r="C12" s="47"/>
      <c r="D12" s="47"/>
      <c r="E12" s="47"/>
      <c r="F12" s="47"/>
      <c r="G12" s="75"/>
      <c r="H12" s="47"/>
      <c r="I12" s="47"/>
      <c r="J12" s="47"/>
      <c r="L12" s="17" t="s">
        <v>1222</v>
      </c>
      <c r="M12" s="80" t="n">
        <f aca="false">SUMIFS($G$7:$G$96,$B$7:$B$96,L12,$A$7:$A$96,"Yes")</f>
        <v>0</v>
      </c>
    </row>
    <row r="13" customFormat="false" ht="15" hidden="false" customHeight="false" outlineLevel="0" collapsed="false">
      <c r="A13" s="45" t="s">
        <v>1266</v>
      </c>
      <c r="B13" s="45"/>
      <c r="C13" s="45"/>
      <c r="D13" s="45"/>
      <c r="E13" s="45"/>
      <c r="F13" s="45"/>
      <c r="G13" s="74"/>
      <c r="H13" s="45"/>
      <c r="I13" s="45"/>
      <c r="J13" s="45"/>
      <c r="L13" s="17" t="s">
        <v>1223</v>
      </c>
      <c r="M13" s="80" t="n">
        <f aca="false">SUMIFS($G$7:$G$96,$B$7:$B$96,L13,$A$7:$A$96,"Yes")</f>
        <v>0</v>
      </c>
    </row>
    <row r="14" customFormat="false" ht="15" hidden="false" customHeight="false" outlineLevel="0" collapsed="false">
      <c r="A14" s="47" t="s">
        <v>1266</v>
      </c>
      <c r="B14" s="47"/>
      <c r="C14" s="47"/>
      <c r="D14" s="47"/>
      <c r="E14" s="47"/>
      <c r="F14" s="47"/>
      <c r="G14" s="75"/>
      <c r="H14" s="47"/>
      <c r="I14" s="47"/>
      <c r="J14" s="47"/>
      <c r="L14" s="17" t="s">
        <v>1224</v>
      </c>
      <c r="M14" s="80" t="n">
        <f aca="false">SUMIFS($G$7:$G$96,$B$7:$B$96,L14,$A$7:$A$96,"Yes")</f>
        <v>0</v>
      </c>
    </row>
    <row r="15" customFormat="false" ht="15" hidden="false" customHeight="false" outlineLevel="0" collapsed="false">
      <c r="A15" s="45" t="s">
        <v>1266</v>
      </c>
      <c r="B15" s="45"/>
      <c r="C15" s="45"/>
      <c r="D15" s="45"/>
      <c r="E15" s="45"/>
      <c r="F15" s="45"/>
      <c r="G15" s="74"/>
      <c r="H15" s="45"/>
      <c r="I15" s="45"/>
      <c r="J15" s="45"/>
      <c r="L15" s="17" t="s">
        <v>1225</v>
      </c>
      <c r="M15" s="80" t="n">
        <f aca="false">SUMIFS($G$7:$G$96,$B$7:$B$96,L15,$A$7:$A$96,"Yes")</f>
        <v>0</v>
      </c>
    </row>
    <row r="16" customFormat="false" ht="15" hidden="false" customHeight="false" outlineLevel="0" collapsed="false">
      <c r="A16" s="47" t="s">
        <v>1266</v>
      </c>
      <c r="B16" s="47"/>
      <c r="C16" s="47"/>
      <c r="D16" s="47"/>
      <c r="E16" s="47"/>
      <c r="F16" s="47"/>
      <c r="G16" s="75"/>
      <c r="H16" s="47"/>
      <c r="I16" s="47"/>
      <c r="J16" s="47"/>
      <c r="L16" s="17" t="s">
        <v>97</v>
      </c>
      <c r="M16" s="80" t="n">
        <f aca="false">SUMIFS($G$7:$G$96,$B$7:$B$96,L16,$A$7:$A$96,"Yes")</f>
        <v>0</v>
      </c>
    </row>
    <row r="17" customFormat="false" ht="15" hidden="false" customHeight="false" outlineLevel="0" collapsed="false">
      <c r="A17" s="45" t="s">
        <v>1266</v>
      </c>
      <c r="B17" s="45"/>
      <c r="C17" s="45"/>
      <c r="D17" s="45"/>
      <c r="E17" s="45"/>
      <c r="F17" s="45"/>
      <c r="G17" s="74"/>
      <c r="H17" s="45"/>
      <c r="I17" s="45"/>
      <c r="J17" s="45"/>
      <c r="L17" s="17" t="s">
        <v>1226</v>
      </c>
      <c r="M17" s="80" t="n">
        <f aca="false">SUMIFS($G$7:$G$96,$B$7:$B$96,L17,$A$7:$A$96,"Yes")</f>
        <v>0</v>
      </c>
    </row>
    <row r="18" customFormat="false" ht="15" hidden="false" customHeight="false" outlineLevel="0" collapsed="false">
      <c r="A18" s="47" t="s">
        <v>1266</v>
      </c>
      <c r="B18" s="47"/>
      <c r="C18" s="47"/>
      <c r="D18" s="47"/>
      <c r="E18" s="47"/>
      <c r="F18" s="47"/>
      <c r="G18" s="75"/>
      <c r="H18" s="47"/>
      <c r="I18" s="47"/>
      <c r="J18" s="47"/>
      <c r="L18" s="17" t="s">
        <v>1227</v>
      </c>
      <c r="M18" s="80" t="n">
        <f aca="false">SUMIFS($G$7:$G$96,$B$7:$B$96,L18,$A$7:$A$96,"Yes")</f>
        <v>0</v>
      </c>
    </row>
    <row r="19" customFormat="false" ht="15" hidden="false" customHeight="false" outlineLevel="0" collapsed="false">
      <c r="A19" s="45" t="s">
        <v>1266</v>
      </c>
      <c r="B19" s="45"/>
      <c r="C19" s="45"/>
      <c r="D19" s="45"/>
      <c r="E19" s="45"/>
      <c r="F19" s="45"/>
      <c r="G19" s="74"/>
      <c r="H19" s="45"/>
      <c r="I19" s="45"/>
      <c r="J19" s="45"/>
    </row>
    <row r="20" customFormat="false" ht="15" hidden="false" customHeight="false" outlineLevel="0" collapsed="false">
      <c r="A20" s="47" t="s">
        <v>1266</v>
      </c>
      <c r="B20" s="47"/>
      <c r="C20" s="47"/>
      <c r="D20" s="47"/>
      <c r="E20" s="47"/>
      <c r="F20" s="47"/>
      <c r="G20" s="75"/>
      <c r="H20" s="47"/>
      <c r="I20" s="47"/>
      <c r="J20" s="47"/>
    </row>
    <row r="21" customFormat="false" ht="15" hidden="false" customHeight="false" outlineLevel="0" collapsed="false">
      <c r="A21" s="45" t="s">
        <v>1266</v>
      </c>
      <c r="B21" s="45"/>
      <c r="C21" s="45"/>
      <c r="D21" s="45"/>
      <c r="E21" s="45"/>
      <c r="F21" s="45"/>
      <c r="G21" s="74"/>
      <c r="H21" s="45"/>
      <c r="I21" s="45"/>
      <c r="J21" s="45"/>
    </row>
    <row r="22" customFormat="false" ht="15" hidden="false" customHeight="false" outlineLevel="0" collapsed="false">
      <c r="A22" s="47" t="s">
        <v>1266</v>
      </c>
      <c r="B22" s="47"/>
      <c r="C22" s="47"/>
      <c r="D22" s="47"/>
      <c r="E22" s="47"/>
      <c r="F22" s="47"/>
      <c r="G22" s="75"/>
      <c r="H22" s="47"/>
      <c r="I22" s="47"/>
      <c r="J22" s="47"/>
    </row>
    <row r="23" customFormat="false" ht="15" hidden="false" customHeight="false" outlineLevel="0" collapsed="false">
      <c r="A23" s="45" t="s">
        <v>1266</v>
      </c>
      <c r="B23" s="45"/>
      <c r="C23" s="45"/>
      <c r="D23" s="45"/>
      <c r="E23" s="45"/>
      <c r="F23" s="45"/>
      <c r="G23" s="74"/>
      <c r="H23" s="45"/>
      <c r="I23" s="45"/>
      <c r="J23" s="45"/>
    </row>
    <row r="24" customFormat="false" ht="15" hidden="false" customHeight="false" outlineLevel="0" collapsed="false">
      <c r="A24" s="47" t="s">
        <v>1266</v>
      </c>
      <c r="B24" s="47"/>
      <c r="C24" s="47"/>
      <c r="D24" s="47"/>
      <c r="E24" s="47"/>
      <c r="F24" s="47"/>
      <c r="G24" s="75"/>
      <c r="H24" s="47"/>
      <c r="I24" s="47"/>
      <c r="J24" s="47"/>
    </row>
    <row r="25" customFormat="false" ht="15" hidden="false" customHeight="false" outlineLevel="0" collapsed="false">
      <c r="A25" s="45" t="s">
        <v>1266</v>
      </c>
      <c r="B25" s="45"/>
      <c r="C25" s="45"/>
      <c r="D25" s="45"/>
      <c r="E25" s="45"/>
      <c r="F25" s="45"/>
      <c r="G25" s="74"/>
      <c r="H25" s="45"/>
      <c r="I25" s="45"/>
      <c r="J25" s="45"/>
    </row>
    <row r="26" customFormat="false" ht="15" hidden="false" customHeight="false" outlineLevel="0" collapsed="false">
      <c r="A26" s="47" t="s">
        <v>1266</v>
      </c>
      <c r="B26" s="47"/>
      <c r="C26" s="47"/>
      <c r="D26" s="47"/>
      <c r="E26" s="47"/>
      <c r="F26" s="47"/>
      <c r="G26" s="75"/>
      <c r="H26" s="47"/>
      <c r="I26" s="47"/>
      <c r="J26" s="47"/>
    </row>
    <row r="27" customFormat="false" ht="15" hidden="false" customHeight="false" outlineLevel="0" collapsed="false">
      <c r="A27" s="45" t="s">
        <v>1266</v>
      </c>
      <c r="B27" s="45"/>
      <c r="C27" s="45"/>
      <c r="D27" s="45"/>
      <c r="E27" s="45"/>
      <c r="F27" s="45"/>
      <c r="G27" s="74"/>
      <c r="H27" s="45"/>
      <c r="I27" s="45"/>
      <c r="J27" s="45"/>
    </row>
    <row r="28" customFormat="false" ht="15" hidden="false" customHeight="false" outlineLevel="0" collapsed="false">
      <c r="A28" s="47" t="s">
        <v>1266</v>
      </c>
      <c r="B28" s="47"/>
      <c r="C28" s="47"/>
      <c r="D28" s="47"/>
      <c r="E28" s="47"/>
      <c r="F28" s="47"/>
      <c r="G28" s="75"/>
      <c r="H28" s="47"/>
      <c r="I28" s="47"/>
      <c r="J28" s="47"/>
    </row>
    <row r="29" customFormat="false" ht="15" hidden="false" customHeight="false" outlineLevel="0" collapsed="false">
      <c r="A29" s="45" t="s">
        <v>1266</v>
      </c>
      <c r="B29" s="45"/>
      <c r="C29" s="45"/>
      <c r="D29" s="45"/>
      <c r="E29" s="45"/>
      <c r="F29" s="45"/>
      <c r="G29" s="74"/>
      <c r="H29" s="45"/>
      <c r="I29" s="45"/>
      <c r="J29" s="45"/>
    </row>
    <row r="30" customFormat="false" ht="15" hidden="false" customHeight="false" outlineLevel="0" collapsed="false">
      <c r="A30" s="47" t="s">
        <v>1266</v>
      </c>
      <c r="B30" s="47"/>
      <c r="C30" s="47"/>
      <c r="D30" s="47"/>
      <c r="E30" s="47"/>
      <c r="F30" s="47"/>
      <c r="G30" s="75"/>
      <c r="H30" s="47"/>
      <c r="I30" s="47"/>
      <c r="J30" s="47"/>
    </row>
    <row r="31" customFormat="false" ht="15" hidden="false" customHeight="false" outlineLevel="0" collapsed="false">
      <c r="A31" s="45" t="s">
        <v>1266</v>
      </c>
      <c r="B31" s="45"/>
      <c r="C31" s="45"/>
      <c r="D31" s="45"/>
      <c r="E31" s="45"/>
      <c r="F31" s="45"/>
      <c r="G31" s="74"/>
      <c r="H31" s="45"/>
      <c r="I31" s="45"/>
      <c r="J31" s="45"/>
    </row>
    <row r="32" customFormat="false" ht="15" hidden="false" customHeight="false" outlineLevel="0" collapsed="false">
      <c r="A32" s="47" t="s">
        <v>1266</v>
      </c>
      <c r="B32" s="47"/>
      <c r="C32" s="47"/>
      <c r="D32" s="47"/>
      <c r="E32" s="47"/>
      <c r="F32" s="47"/>
      <c r="G32" s="75"/>
      <c r="H32" s="47"/>
      <c r="I32" s="47"/>
      <c r="J32" s="47"/>
    </row>
    <row r="33" customFormat="false" ht="15" hidden="false" customHeight="false" outlineLevel="0" collapsed="false">
      <c r="A33" s="45" t="s">
        <v>1266</v>
      </c>
      <c r="B33" s="45"/>
      <c r="C33" s="45"/>
      <c r="D33" s="45"/>
      <c r="E33" s="45"/>
      <c r="F33" s="45"/>
      <c r="G33" s="74"/>
      <c r="H33" s="45"/>
      <c r="I33" s="45"/>
      <c r="J33" s="45"/>
    </row>
    <row r="34" customFormat="false" ht="15" hidden="false" customHeight="false" outlineLevel="0" collapsed="false">
      <c r="A34" s="47" t="s">
        <v>1266</v>
      </c>
      <c r="B34" s="47"/>
      <c r="C34" s="47"/>
      <c r="D34" s="47"/>
      <c r="E34" s="47"/>
      <c r="F34" s="47"/>
      <c r="G34" s="75"/>
      <c r="H34" s="47"/>
      <c r="I34" s="47"/>
      <c r="J34" s="47"/>
    </row>
    <row r="35" customFormat="false" ht="15" hidden="false" customHeight="false" outlineLevel="0" collapsed="false">
      <c r="A35" s="45" t="s">
        <v>1266</v>
      </c>
      <c r="B35" s="45"/>
      <c r="C35" s="45"/>
      <c r="D35" s="45"/>
      <c r="E35" s="45"/>
      <c r="F35" s="45"/>
      <c r="G35" s="74"/>
      <c r="H35" s="45"/>
      <c r="I35" s="45"/>
      <c r="J35" s="45"/>
    </row>
    <row r="36" customFormat="false" ht="15" hidden="false" customHeight="false" outlineLevel="0" collapsed="false">
      <c r="A36" s="47" t="s">
        <v>1266</v>
      </c>
      <c r="B36" s="47"/>
      <c r="C36" s="47"/>
      <c r="D36" s="47"/>
      <c r="E36" s="47"/>
      <c r="F36" s="47"/>
      <c r="G36" s="75"/>
      <c r="H36" s="47"/>
      <c r="I36" s="47"/>
      <c r="J36" s="47"/>
    </row>
    <row r="37" customFormat="false" ht="15" hidden="false" customHeight="false" outlineLevel="0" collapsed="false">
      <c r="A37" s="45" t="s">
        <v>1266</v>
      </c>
      <c r="B37" s="45"/>
      <c r="C37" s="45"/>
      <c r="D37" s="45"/>
      <c r="E37" s="45"/>
      <c r="F37" s="45"/>
      <c r="G37" s="74"/>
      <c r="H37" s="45"/>
      <c r="I37" s="45"/>
      <c r="J37" s="45"/>
    </row>
    <row r="38" customFormat="false" ht="15" hidden="false" customHeight="false" outlineLevel="0" collapsed="false">
      <c r="A38" s="47" t="s">
        <v>1266</v>
      </c>
      <c r="B38" s="47"/>
      <c r="C38" s="47"/>
      <c r="D38" s="47"/>
      <c r="E38" s="47"/>
      <c r="F38" s="47"/>
      <c r="G38" s="75"/>
      <c r="H38" s="47"/>
      <c r="I38" s="47"/>
      <c r="J38" s="47"/>
    </row>
    <row r="39" customFormat="false" ht="15" hidden="false" customHeight="false" outlineLevel="0" collapsed="false">
      <c r="A39" s="45" t="s">
        <v>1266</v>
      </c>
      <c r="B39" s="45"/>
      <c r="C39" s="45"/>
      <c r="D39" s="45"/>
      <c r="E39" s="45"/>
      <c r="F39" s="45"/>
      <c r="G39" s="74"/>
      <c r="H39" s="45"/>
      <c r="I39" s="45"/>
      <c r="J39" s="45"/>
    </row>
    <row r="40" customFormat="false" ht="15" hidden="false" customHeight="false" outlineLevel="0" collapsed="false">
      <c r="A40" s="47" t="s">
        <v>1266</v>
      </c>
      <c r="B40" s="47"/>
      <c r="C40" s="47"/>
      <c r="D40" s="47"/>
      <c r="E40" s="47"/>
      <c r="F40" s="47"/>
      <c r="G40" s="75"/>
      <c r="H40" s="47"/>
      <c r="I40" s="47"/>
      <c r="J40" s="47"/>
    </row>
    <row r="41" customFormat="false" ht="15" hidden="false" customHeight="false" outlineLevel="0" collapsed="false">
      <c r="A41" s="45" t="s">
        <v>1266</v>
      </c>
      <c r="B41" s="45"/>
      <c r="C41" s="45"/>
      <c r="D41" s="45"/>
      <c r="E41" s="45"/>
      <c r="F41" s="45"/>
      <c r="G41" s="74"/>
      <c r="H41" s="45"/>
      <c r="I41" s="45"/>
      <c r="J41" s="45"/>
    </row>
    <row r="42" customFormat="false" ht="15" hidden="false" customHeight="false" outlineLevel="0" collapsed="false">
      <c r="A42" s="47" t="s">
        <v>1266</v>
      </c>
      <c r="B42" s="47"/>
      <c r="C42" s="47"/>
      <c r="D42" s="47"/>
      <c r="E42" s="47"/>
      <c r="F42" s="47"/>
      <c r="G42" s="75"/>
      <c r="H42" s="47"/>
      <c r="I42" s="47"/>
      <c r="J42" s="47"/>
    </row>
    <row r="43" customFormat="false" ht="15" hidden="false" customHeight="false" outlineLevel="0" collapsed="false">
      <c r="A43" s="45" t="s">
        <v>1266</v>
      </c>
      <c r="B43" s="45"/>
      <c r="C43" s="45"/>
      <c r="D43" s="45"/>
      <c r="E43" s="45"/>
      <c r="F43" s="45"/>
      <c r="G43" s="74"/>
      <c r="H43" s="45"/>
      <c r="I43" s="45"/>
      <c r="J43" s="45"/>
    </row>
    <row r="44" customFormat="false" ht="15" hidden="false" customHeight="false" outlineLevel="0" collapsed="false">
      <c r="A44" s="47" t="s">
        <v>1266</v>
      </c>
      <c r="B44" s="47"/>
      <c r="C44" s="47"/>
      <c r="D44" s="47"/>
      <c r="E44" s="47"/>
      <c r="F44" s="47"/>
      <c r="G44" s="75"/>
      <c r="H44" s="47"/>
      <c r="I44" s="47"/>
      <c r="J44" s="47"/>
    </row>
    <row r="45" customFormat="false" ht="15" hidden="false" customHeight="false" outlineLevel="0" collapsed="false">
      <c r="A45" s="45" t="s">
        <v>1266</v>
      </c>
      <c r="B45" s="45"/>
      <c r="C45" s="45"/>
      <c r="D45" s="45"/>
      <c r="E45" s="45"/>
      <c r="F45" s="45"/>
      <c r="G45" s="74"/>
      <c r="H45" s="45"/>
      <c r="I45" s="45"/>
      <c r="J45" s="45"/>
    </row>
    <row r="46" customFormat="false" ht="15" hidden="false" customHeight="false" outlineLevel="0" collapsed="false">
      <c r="A46" s="47" t="s">
        <v>1266</v>
      </c>
      <c r="B46" s="47"/>
      <c r="C46" s="47"/>
      <c r="D46" s="47"/>
      <c r="E46" s="47"/>
      <c r="F46" s="47"/>
      <c r="G46" s="75"/>
      <c r="H46" s="47"/>
      <c r="I46" s="47"/>
      <c r="J46" s="47"/>
    </row>
    <row r="47" customFormat="false" ht="15" hidden="false" customHeight="false" outlineLevel="0" collapsed="false">
      <c r="A47" s="45" t="s">
        <v>1266</v>
      </c>
      <c r="B47" s="45"/>
      <c r="C47" s="45"/>
      <c r="D47" s="45"/>
      <c r="E47" s="45"/>
      <c r="F47" s="45"/>
      <c r="G47" s="74"/>
      <c r="H47" s="45"/>
      <c r="I47" s="45"/>
      <c r="J47" s="45"/>
    </row>
    <row r="48" customFormat="false" ht="15" hidden="false" customHeight="false" outlineLevel="0" collapsed="false">
      <c r="A48" s="47" t="s">
        <v>1266</v>
      </c>
      <c r="B48" s="47"/>
      <c r="C48" s="47"/>
      <c r="D48" s="47"/>
      <c r="E48" s="47"/>
      <c r="F48" s="47"/>
      <c r="G48" s="75"/>
      <c r="H48" s="47"/>
      <c r="I48" s="47"/>
      <c r="J48" s="47"/>
    </row>
    <row r="49" customFormat="false" ht="15" hidden="false" customHeight="false" outlineLevel="0" collapsed="false">
      <c r="A49" s="45" t="s">
        <v>1266</v>
      </c>
      <c r="B49" s="45"/>
      <c r="C49" s="45"/>
      <c r="D49" s="45"/>
      <c r="E49" s="45"/>
      <c r="F49" s="45"/>
      <c r="G49" s="74"/>
      <c r="H49" s="45"/>
      <c r="I49" s="45"/>
      <c r="J49" s="45"/>
    </row>
    <row r="50" customFormat="false" ht="15" hidden="false" customHeight="false" outlineLevel="0" collapsed="false">
      <c r="A50" s="47" t="s">
        <v>1266</v>
      </c>
      <c r="B50" s="47"/>
      <c r="C50" s="47"/>
      <c r="D50" s="47"/>
      <c r="E50" s="47"/>
      <c r="F50" s="47"/>
      <c r="G50" s="75"/>
      <c r="H50" s="47"/>
      <c r="I50" s="47"/>
      <c r="J50" s="47"/>
    </row>
    <row r="51" customFormat="false" ht="15" hidden="false" customHeight="false" outlineLevel="0" collapsed="false">
      <c r="A51" s="45" t="s">
        <v>1266</v>
      </c>
      <c r="B51" s="45"/>
      <c r="C51" s="45"/>
      <c r="D51" s="45"/>
      <c r="E51" s="45"/>
      <c r="F51" s="45"/>
      <c r="G51" s="74"/>
      <c r="H51" s="45"/>
      <c r="I51" s="45"/>
      <c r="J51" s="45"/>
    </row>
    <row r="52" customFormat="false" ht="15" hidden="false" customHeight="false" outlineLevel="0" collapsed="false">
      <c r="A52" s="47" t="s">
        <v>1266</v>
      </c>
      <c r="B52" s="47"/>
      <c r="C52" s="47"/>
      <c r="D52" s="47"/>
      <c r="E52" s="47"/>
      <c r="F52" s="47"/>
      <c r="G52" s="75"/>
      <c r="H52" s="47"/>
      <c r="I52" s="47"/>
      <c r="J52" s="47"/>
    </row>
    <row r="53" customFormat="false" ht="15" hidden="false" customHeight="false" outlineLevel="0" collapsed="false">
      <c r="A53" s="45" t="s">
        <v>1266</v>
      </c>
      <c r="B53" s="45"/>
      <c r="C53" s="45"/>
      <c r="D53" s="45"/>
      <c r="E53" s="45"/>
      <c r="F53" s="45"/>
      <c r="G53" s="74"/>
      <c r="H53" s="45"/>
      <c r="I53" s="45"/>
      <c r="J53" s="45"/>
    </row>
    <row r="54" customFormat="false" ht="15" hidden="false" customHeight="false" outlineLevel="0" collapsed="false">
      <c r="A54" s="47" t="s">
        <v>1266</v>
      </c>
      <c r="B54" s="47"/>
      <c r="C54" s="47"/>
      <c r="D54" s="47"/>
      <c r="E54" s="47"/>
      <c r="F54" s="47"/>
      <c r="G54" s="75"/>
      <c r="H54" s="47"/>
      <c r="I54" s="47"/>
      <c r="J54" s="47"/>
    </row>
    <row r="55" customFormat="false" ht="15" hidden="false" customHeight="false" outlineLevel="0" collapsed="false">
      <c r="A55" s="45" t="s">
        <v>1266</v>
      </c>
      <c r="B55" s="45"/>
      <c r="C55" s="45"/>
      <c r="D55" s="45"/>
      <c r="E55" s="45"/>
      <c r="F55" s="45"/>
      <c r="G55" s="74"/>
      <c r="H55" s="45"/>
      <c r="I55" s="45"/>
      <c r="J55" s="45"/>
    </row>
    <row r="56" customFormat="false" ht="15" hidden="false" customHeight="false" outlineLevel="0" collapsed="false">
      <c r="A56" s="47" t="s">
        <v>1266</v>
      </c>
      <c r="B56" s="47"/>
      <c r="C56" s="47"/>
      <c r="D56" s="47"/>
      <c r="E56" s="47"/>
      <c r="F56" s="47"/>
      <c r="G56" s="75"/>
      <c r="H56" s="47"/>
      <c r="I56" s="47"/>
      <c r="J56" s="47"/>
    </row>
    <row r="57" customFormat="false" ht="15" hidden="false" customHeight="false" outlineLevel="0" collapsed="false">
      <c r="A57" s="45" t="s">
        <v>1266</v>
      </c>
      <c r="B57" s="45"/>
      <c r="C57" s="45"/>
      <c r="D57" s="45"/>
      <c r="E57" s="45"/>
      <c r="F57" s="45"/>
      <c r="G57" s="74"/>
      <c r="H57" s="45"/>
      <c r="I57" s="45"/>
      <c r="J57" s="45"/>
    </row>
    <row r="58" customFormat="false" ht="15" hidden="false" customHeight="false" outlineLevel="0" collapsed="false">
      <c r="A58" s="47" t="s">
        <v>1266</v>
      </c>
      <c r="B58" s="47"/>
      <c r="C58" s="47"/>
      <c r="D58" s="47"/>
      <c r="E58" s="47"/>
      <c r="F58" s="47"/>
      <c r="G58" s="75"/>
      <c r="H58" s="47"/>
      <c r="I58" s="47"/>
      <c r="J58" s="47"/>
    </row>
    <row r="59" customFormat="false" ht="15" hidden="false" customHeight="false" outlineLevel="0" collapsed="false">
      <c r="A59" s="45" t="s">
        <v>1266</v>
      </c>
      <c r="B59" s="45"/>
      <c r="C59" s="45"/>
      <c r="D59" s="45"/>
      <c r="E59" s="45"/>
      <c r="F59" s="45"/>
      <c r="G59" s="74"/>
      <c r="H59" s="45"/>
      <c r="I59" s="45"/>
      <c r="J59" s="45"/>
    </row>
    <row r="60" customFormat="false" ht="15" hidden="false" customHeight="false" outlineLevel="0" collapsed="false">
      <c r="A60" s="47" t="s">
        <v>1266</v>
      </c>
      <c r="B60" s="47"/>
      <c r="C60" s="47"/>
      <c r="D60" s="47"/>
      <c r="E60" s="47"/>
      <c r="F60" s="47"/>
      <c r="G60" s="75"/>
      <c r="H60" s="47"/>
      <c r="I60" s="47"/>
      <c r="J60" s="47"/>
    </row>
    <row r="61" customFormat="false" ht="15" hidden="false" customHeight="false" outlineLevel="0" collapsed="false">
      <c r="A61" s="45" t="s">
        <v>1266</v>
      </c>
      <c r="B61" s="45"/>
      <c r="C61" s="45"/>
      <c r="D61" s="45"/>
      <c r="E61" s="45"/>
      <c r="F61" s="45"/>
      <c r="G61" s="74"/>
      <c r="H61" s="45"/>
      <c r="I61" s="45"/>
      <c r="J61" s="45"/>
    </row>
    <row r="62" customFormat="false" ht="15" hidden="false" customHeight="false" outlineLevel="0" collapsed="false">
      <c r="A62" s="47" t="s">
        <v>1266</v>
      </c>
      <c r="B62" s="47"/>
      <c r="C62" s="47"/>
      <c r="D62" s="47"/>
      <c r="E62" s="47"/>
      <c r="F62" s="47"/>
      <c r="G62" s="75"/>
      <c r="H62" s="47"/>
      <c r="I62" s="47"/>
      <c r="J62" s="47"/>
    </row>
    <row r="63" customFormat="false" ht="15" hidden="false" customHeight="false" outlineLevel="0" collapsed="false">
      <c r="A63" s="45" t="s">
        <v>1266</v>
      </c>
      <c r="B63" s="45"/>
      <c r="C63" s="45"/>
      <c r="D63" s="45"/>
      <c r="E63" s="45"/>
      <c r="F63" s="45"/>
      <c r="G63" s="74"/>
      <c r="H63" s="45"/>
      <c r="I63" s="45"/>
      <c r="J63" s="45"/>
    </row>
    <row r="64" customFormat="false" ht="15" hidden="false" customHeight="false" outlineLevel="0" collapsed="false">
      <c r="A64" s="47" t="s">
        <v>1266</v>
      </c>
      <c r="B64" s="47"/>
      <c r="C64" s="47"/>
      <c r="D64" s="47"/>
      <c r="E64" s="47"/>
      <c r="F64" s="47"/>
      <c r="G64" s="75"/>
      <c r="H64" s="47"/>
      <c r="I64" s="47"/>
      <c r="J64" s="47"/>
    </row>
    <row r="65" customFormat="false" ht="15" hidden="false" customHeight="false" outlineLevel="0" collapsed="false">
      <c r="A65" s="45" t="s">
        <v>1266</v>
      </c>
      <c r="B65" s="45"/>
      <c r="C65" s="45"/>
      <c r="D65" s="45"/>
      <c r="E65" s="45"/>
      <c r="F65" s="45"/>
      <c r="G65" s="74"/>
      <c r="H65" s="45"/>
      <c r="I65" s="45"/>
      <c r="J65" s="45"/>
    </row>
    <row r="66" customFormat="false" ht="15" hidden="false" customHeight="false" outlineLevel="0" collapsed="false">
      <c r="A66" s="47" t="s">
        <v>1266</v>
      </c>
      <c r="B66" s="47"/>
      <c r="C66" s="47"/>
      <c r="D66" s="47"/>
      <c r="E66" s="47"/>
      <c r="F66" s="47"/>
      <c r="G66" s="75"/>
      <c r="H66" s="47"/>
      <c r="I66" s="47"/>
      <c r="J66" s="47"/>
    </row>
    <row r="67" customFormat="false" ht="15" hidden="false" customHeight="false" outlineLevel="0" collapsed="false">
      <c r="A67" s="45" t="s">
        <v>1266</v>
      </c>
      <c r="B67" s="45"/>
      <c r="C67" s="45"/>
      <c r="D67" s="45"/>
      <c r="E67" s="45"/>
      <c r="F67" s="45"/>
      <c r="G67" s="74"/>
      <c r="H67" s="45"/>
      <c r="I67" s="45"/>
      <c r="J67" s="45"/>
    </row>
    <row r="68" customFormat="false" ht="15" hidden="false" customHeight="false" outlineLevel="0" collapsed="false">
      <c r="A68" s="47" t="s">
        <v>1266</v>
      </c>
      <c r="B68" s="47"/>
      <c r="C68" s="47"/>
      <c r="D68" s="47"/>
      <c r="E68" s="47"/>
      <c r="F68" s="47"/>
      <c r="G68" s="75"/>
      <c r="H68" s="47"/>
      <c r="I68" s="47"/>
      <c r="J68" s="47"/>
    </row>
    <row r="69" customFormat="false" ht="15" hidden="false" customHeight="false" outlineLevel="0" collapsed="false">
      <c r="A69" s="45" t="s">
        <v>1266</v>
      </c>
      <c r="B69" s="45"/>
      <c r="C69" s="45"/>
      <c r="D69" s="45"/>
      <c r="E69" s="45"/>
      <c r="F69" s="45"/>
      <c r="G69" s="74"/>
      <c r="H69" s="45"/>
      <c r="I69" s="45"/>
      <c r="J69" s="45"/>
    </row>
    <row r="70" customFormat="false" ht="15" hidden="false" customHeight="false" outlineLevel="0" collapsed="false">
      <c r="A70" s="47" t="s">
        <v>1266</v>
      </c>
      <c r="B70" s="47"/>
      <c r="C70" s="47"/>
      <c r="D70" s="47"/>
      <c r="E70" s="47"/>
      <c r="F70" s="47"/>
      <c r="G70" s="75"/>
      <c r="H70" s="47"/>
      <c r="I70" s="47"/>
      <c r="J70" s="47"/>
    </row>
    <row r="71" customFormat="false" ht="15" hidden="false" customHeight="false" outlineLevel="0" collapsed="false">
      <c r="A71" s="45" t="s">
        <v>1266</v>
      </c>
      <c r="B71" s="45"/>
      <c r="C71" s="45"/>
      <c r="D71" s="45"/>
      <c r="E71" s="45"/>
      <c r="F71" s="45"/>
      <c r="G71" s="74"/>
      <c r="H71" s="45"/>
      <c r="I71" s="45"/>
      <c r="J71" s="45"/>
    </row>
    <row r="72" customFormat="false" ht="15" hidden="false" customHeight="false" outlineLevel="0" collapsed="false">
      <c r="A72" s="47" t="s">
        <v>1266</v>
      </c>
      <c r="B72" s="47"/>
      <c r="C72" s="47"/>
      <c r="D72" s="47"/>
      <c r="E72" s="47"/>
      <c r="F72" s="47"/>
      <c r="G72" s="75"/>
      <c r="H72" s="47"/>
      <c r="I72" s="47"/>
      <c r="J72" s="47"/>
    </row>
    <row r="73" customFormat="false" ht="15" hidden="false" customHeight="false" outlineLevel="0" collapsed="false">
      <c r="A73" s="45" t="s">
        <v>1266</v>
      </c>
      <c r="B73" s="45"/>
      <c r="C73" s="45"/>
      <c r="D73" s="45"/>
      <c r="E73" s="45"/>
      <c r="F73" s="45"/>
      <c r="G73" s="74"/>
      <c r="H73" s="45"/>
      <c r="I73" s="45"/>
      <c r="J73" s="45"/>
    </row>
    <row r="74" customFormat="false" ht="15" hidden="false" customHeight="false" outlineLevel="0" collapsed="false">
      <c r="A74" s="47" t="s">
        <v>1266</v>
      </c>
      <c r="B74" s="47"/>
      <c r="C74" s="47"/>
      <c r="D74" s="47"/>
      <c r="E74" s="47"/>
      <c r="F74" s="47"/>
      <c r="G74" s="75"/>
      <c r="H74" s="47"/>
      <c r="I74" s="47"/>
      <c r="J74" s="47"/>
    </row>
    <row r="75" customFormat="false" ht="15" hidden="false" customHeight="false" outlineLevel="0" collapsed="false">
      <c r="A75" s="45" t="s">
        <v>1266</v>
      </c>
      <c r="B75" s="45"/>
      <c r="C75" s="45"/>
      <c r="D75" s="45"/>
      <c r="E75" s="45"/>
      <c r="F75" s="45"/>
      <c r="G75" s="74"/>
      <c r="H75" s="45"/>
      <c r="I75" s="45"/>
      <c r="J75" s="45"/>
    </row>
    <row r="76" customFormat="false" ht="15" hidden="false" customHeight="false" outlineLevel="0" collapsed="false">
      <c r="A76" s="47" t="s">
        <v>1266</v>
      </c>
      <c r="B76" s="47"/>
      <c r="C76" s="47"/>
      <c r="D76" s="47"/>
      <c r="E76" s="47"/>
      <c r="F76" s="47"/>
      <c r="G76" s="75"/>
      <c r="H76" s="47"/>
      <c r="I76" s="47"/>
      <c r="J76" s="47"/>
    </row>
    <row r="77" customFormat="false" ht="15" hidden="false" customHeight="false" outlineLevel="0" collapsed="false">
      <c r="A77" s="45" t="s">
        <v>1266</v>
      </c>
      <c r="B77" s="45"/>
      <c r="C77" s="45"/>
      <c r="D77" s="45"/>
      <c r="E77" s="45"/>
      <c r="F77" s="45"/>
      <c r="G77" s="74"/>
      <c r="H77" s="45"/>
      <c r="I77" s="45"/>
      <c r="J77" s="45"/>
    </row>
    <row r="78" customFormat="false" ht="15" hidden="false" customHeight="false" outlineLevel="0" collapsed="false">
      <c r="A78" s="47" t="s">
        <v>1266</v>
      </c>
      <c r="B78" s="47"/>
      <c r="C78" s="47"/>
      <c r="D78" s="47"/>
      <c r="E78" s="47"/>
      <c r="F78" s="47"/>
      <c r="G78" s="75"/>
      <c r="H78" s="47"/>
      <c r="I78" s="47"/>
      <c r="J78" s="47"/>
    </row>
    <row r="79" customFormat="false" ht="15" hidden="false" customHeight="false" outlineLevel="0" collapsed="false">
      <c r="A79" s="45" t="s">
        <v>1266</v>
      </c>
      <c r="B79" s="45"/>
      <c r="C79" s="45"/>
      <c r="D79" s="45"/>
      <c r="E79" s="45"/>
      <c r="F79" s="45"/>
      <c r="G79" s="74"/>
      <c r="H79" s="45"/>
      <c r="I79" s="45"/>
      <c r="J79" s="45"/>
    </row>
    <row r="80" customFormat="false" ht="15" hidden="false" customHeight="false" outlineLevel="0" collapsed="false">
      <c r="A80" s="47" t="s">
        <v>1266</v>
      </c>
      <c r="B80" s="47"/>
      <c r="C80" s="47"/>
      <c r="D80" s="47"/>
      <c r="E80" s="47"/>
      <c r="F80" s="47"/>
      <c r="G80" s="75"/>
      <c r="H80" s="47"/>
      <c r="I80" s="47"/>
      <c r="J80" s="47"/>
    </row>
    <row r="81" customFormat="false" ht="15" hidden="false" customHeight="false" outlineLevel="0" collapsed="false">
      <c r="A81" s="45" t="s">
        <v>1266</v>
      </c>
      <c r="B81" s="45"/>
      <c r="C81" s="45"/>
      <c r="D81" s="45"/>
      <c r="E81" s="45"/>
      <c r="F81" s="45"/>
      <c r="G81" s="74"/>
      <c r="H81" s="45"/>
      <c r="I81" s="45"/>
      <c r="J81" s="45"/>
    </row>
    <row r="82" customFormat="false" ht="15" hidden="false" customHeight="false" outlineLevel="0" collapsed="false">
      <c r="A82" s="47" t="s">
        <v>1266</v>
      </c>
      <c r="B82" s="47"/>
      <c r="C82" s="47"/>
      <c r="D82" s="47"/>
      <c r="E82" s="47"/>
      <c r="F82" s="47"/>
      <c r="G82" s="75"/>
      <c r="H82" s="47"/>
      <c r="I82" s="47"/>
      <c r="J82" s="47"/>
    </row>
    <row r="83" customFormat="false" ht="15" hidden="false" customHeight="false" outlineLevel="0" collapsed="false">
      <c r="A83" s="45" t="s">
        <v>1266</v>
      </c>
      <c r="B83" s="45"/>
      <c r="C83" s="45"/>
      <c r="D83" s="45"/>
      <c r="E83" s="45"/>
      <c r="F83" s="45"/>
      <c r="G83" s="74"/>
      <c r="H83" s="45"/>
      <c r="I83" s="45"/>
      <c r="J83" s="45"/>
    </row>
    <row r="84" customFormat="false" ht="15" hidden="false" customHeight="false" outlineLevel="0" collapsed="false">
      <c r="A84" s="47" t="s">
        <v>1266</v>
      </c>
      <c r="B84" s="47"/>
      <c r="C84" s="47"/>
      <c r="D84" s="47"/>
      <c r="E84" s="47"/>
      <c r="F84" s="47"/>
      <c r="G84" s="75"/>
      <c r="H84" s="47"/>
      <c r="I84" s="47"/>
      <c r="J84" s="47"/>
    </row>
    <row r="85" customFormat="false" ht="15" hidden="false" customHeight="false" outlineLevel="0" collapsed="false">
      <c r="A85" s="45" t="s">
        <v>1266</v>
      </c>
      <c r="B85" s="45"/>
      <c r="C85" s="45"/>
      <c r="D85" s="45"/>
      <c r="E85" s="45"/>
      <c r="F85" s="45"/>
      <c r="G85" s="74"/>
      <c r="H85" s="45"/>
      <c r="I85" s="45"/>
      <c r="J85" s="45"/>
    </row>
    <row r="86" customFormat="false" ht="15" hidden="false" customHeight="false" outlineLevel="0" collapsed="false">
      <c r="A86" s="47" t="s">
        <v>1266</v>
      </c>
      <c r="B86" s="47"/>
      <c r="C86" s="47"/>
      <c r="D86" s="47"/>
      <c r="E86" s="47"/>
      <c r="F86" s="47"/>
      <c r="G86" s="75"/>
      <c r="H86" s="47"/>
      <c r="I86" s="47"/>
      <c r="J86" s="47"/>
    </row>
    <row r="87" customFormat="false" ht="15" hidden="false" customHeight="false" outlineLevel="0" collapsed="false">
      <c r="A87" s="45" t="s">
        <v>1266</v>
      </c>
      <c r="B87" s="45"/>
      <c r="C87" s="45"/>
      <c r="D87" s="45"/>
      <c r="E87" s="45"/>
      <c r="F87" s="45"/>
      <c r="G87" s="74"/>
      <c r="H87" s="45"/>
      <c r="I87" s="45"/>
      <c r="J87" s="45"/>
    </row>
    <row r="88" customFormat="false" ht="15" hidden="false" customHeight="false" outlineLevel="0" collapsed="false">
      <c r="A88" s="47" t="s">
        <v>1266</v>
      </c>
      <c r="B88" s="47"/>
      <c r="C88" s="47"/>
      <c r="D88" s="47"/>
      <c r="E88" s="47"/>
      <c r="F88" s="47"/>
      <c r="G88" s="75"/>
      <c r="H88" s="47"/>
      <c r="I88" s="47"/>
      <c r="J88" s="47"/>
    </row>
    <row r="89" customFormat="false" ht="15" hidden="false" customHeight="false" outlineLevel="0" collapsed="false">
      <c r="A89" s="45" t="s">
        <v>1266</v>
      </c>
      <c r="B89" s="45"/>
      <c r="C89" s="45"/>
      <c r="D89" s="45"/>
      <c r="E89" s="45"/>
      <c r="F89" s="45"/>
      <c r="G89" s="74"/>
      <c r="H89" s="45"/>
      <c r="I89" s="45"/>
      <c r="J89" s="45"/>
    </row>
    <row r="90" customFormat="false" ht="15" hidden="false" customHeight="false" outlineLevel="0" collapsed="false">
      <c r="A90" s="47" t="s">
        <v>1266</v>
      </c>
      <c r="B90" s="47"/>
      <c r="C90" s="47"/>
      <c r="D90" s="47"/>
      <c r="E90" s="47"/>
      <c r="F90" s="47"/>
      <c r="G90" s="75"/>
      <c r="H90" s="47"/>
      <c r="I90" s="47"/>
      <c r="J90" s="47"/>
    </row>
    <row r="91" customFormat="false" ht="15" hidden="false" customHeight="false" outlineLevel="0" collapsed="false">
      <c r="A91" s="45" t="s">
        <v>1266</v>
      </c>
      <c r="B91" s="45"/>
      <c r="C91" s="45"/>
      <c r="D91" s="45"/>
      <c r="E91" s="45"/>
      <c r="F91" s="45"/>
      <c r="G91" s="74"/>
      <c r="H91" s="45"/>
      <c r="I91" s="45"/>
      <c r="J91" s="45"/>
    </row>
    <row r="92" customFormat="false" ht="15" hidden="false" customHeight="false" outlineLevel="0" collapsed="false">
      <c r="A92" s="47" t="s">
        <v>1266</v>
      </c>
      <c r="B92" s="47"/>
      <c r="C92" s="47"/>
      <c r="D92" s="47"/>
      <c r="E92" s="47"/>
      <c r="F92" s="47"/>
      <c r="G92" s="75"/>
      <c r="H92" s="47"/>
      <c r="I92" s="47"/>
      <c r="J92" s="47"/>
    </row>
    <row r="93" customFormat="false" ht="15" hidden="false" customHeight="false" outlineLevel="0" collapsed="false">
      <c r="A93" s="45" t="s">
        <v>1266</v>
      </c>
      <c r="B93" s="45"/>
      <c r="C93" s="45"/>
      <c r="D93" s="45"/>
      <c r="E93" s="45"/>
      <c r="F93" s="45"/>
      <c r="G93" s="74"/>
      <c r="H93" s="45"/>
      <c r="I93" s="45"/>
      <c r="J93" s="45"/>
    </row>
    <row r="94" customFormat="false" ht="15" hidden="false" customHeight="false" outlineLevel="0" collapsed="false">
      <c r="A94" s="47" t="s">
        <v>1266</v>
      </c>
      <c r="B94" s="47"/>
      <c r="C94" s="47"/>
      <c r="D94" s="47"/>
      <c r="E94" s="47"/>
      <c r="F94" s="47"/>
      <c r="G94" s="75"/>
      <c r="H94" s="47"/>
      <c r="I94" s="47"/>
      <c r="J94" s="47"/>
    </row>
    <row r="95" customFormat="false" ht="15" hidden="false" customHeight="false" outlineLevel="0" collapsed="false">
      <c r="A95" s="45" t="s">
        <v>1266</v>
      </c>
      <c r="B95" s="45"/>
      <c r="C95" s="45"/>
      <c r="D95" s="45"/>
      <c r="E95" s="45"/>
      <c r="F95" s="45"/>
      <c r="G95" s="74"/>
      <c r="H95" s="45"/>
      <c r="I95" s="45"/>
      <c r="J95" s="45"/>
    </row>
    <row r="96" customFormat="false" ht="15" hidden="false" customHeight="false" outlineLevel="0" collapsed="false">
      <c r="A96" s="47" t="s">
        <v>1266</v>
      </c>
      <c r="B96" s="47"/>
      <c r="C96" s="47"/>
      <c r="D96" s="47"/>
      <c r="E96" s="47"/>
      <c r="F96" s="47"/>
      <c r="G96" s="75"/>
      <c r="H96" s="47"/>
      <c r="I96" s="47"/>
      <c r="J96" s="47"/>
    </row>
  </sheetData>
  <mergeCells count="7">
    <mergeCell ref="A1:K1"/>
    <mergeCell ref="A3:B3"/>
    <mergeCell ref="C3:D3"/>
    <mergeCell ref="E3:F3"/>
    <mergeCell ref="A4:B4"/>
    <mergeCell ref="C4:D4"/>
    <mergeCell ref="E4:F4"/>
  </mergeCells>
  <conditionalFormatting sqref="A7:A96">
    <cfRule type="expression" priority="2" aboveAverage="0" equalAverage="0" bottom="0" percent="0" rank="0" text="" dxfId="4">
      <formula>EXACT(A7,"Yes")</formula>
    </cfRule>
  </conditionalFormatting>
  <dataValidations count="2">
    <dataValidation allowBlank="true" errorStyle="stop" operator="between" showDropDown="false" showErrorMessage="false" showInputMessage="false" sqref="A7:A96" type="list">
      <formula1>YesNo</formula1>
      <formula2>0</formula2>
    </dataValidation>
    <dataValidation allowBlank="true" errorStyle="stop" operator="between" showDropDown="false" showErrorMessage="false" showInputMessage="false" sqref="B7:B96" type="list">
      <formula1>VendorCategory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3F0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8"/>
  </cols>
  <sheetData>
    <row r="1" customFormat="false" ht="27.75" hidden="false" customHeight="true" outlineLevel="0" collapsed="false">
      <c r="A1" s="49" t="s">
        <v>1277</v>
      </c>
      <c r="B1" s="49"/>
      <c r="C1" s="49"/>
      <c r="D1" s="49"/>
      <c r="E1" s="49"/>
      <c r="F1" s="49"/>
    </row>
    <row r="3" customFormat="false" ht="15" hidden="false" customHeight="false" outlineLevel="0" collapsed="false">
      <c r="A3" s="81" t="s">
        <v>1278</v>
      </c>
      <c r="B3" s="51" t="s">
        <v>1279</v>
      </c>
      <c r="C3" s="51" t="s">
        <v>1280</v>
      </c>
      <c r="D3" s="51" t="s">
        <v>1281</v>
      </c>
      <c r="E3" s="51" t="s">
        <v>1282</v>
      </c>
      <c r="F3" s="51" t="s">
        <v>1283</v>
      </c>
    </row>
    <row r="4" customFormat="false" ht="15" hidden="false" customHeight="false" outlineLevel="0" collapsed="false">
      <c r="A4" s="82" t="s">
        <v>1246</v>
      </c>
      <c r="B4" s="57"/>
      <c r="C4" s="57"/>
      <c r="D4" s="57"/>
      <c r="E4" s="57"/>
      <c r="F4" s="57"/>
    </row>
    <row r="5" customFormat="false" ht="15" hidden="false" customHeight="false" outlineLevel="0" collapsed="false">
      <c r="A5" s="82" t="s">
        <v>1284</v>
      </c>
      <c r="B5" s="83" t="s">
        <v>1285</v>
      </c>
      <c r="C5" s="83" t="s">
        <v>1285</v>
      </c>
      <c r="D5" s="83" t="s">
        <v>1285</v>
      </c>
      <c r="E5" s="83" t="s">
        <v>1285</v>
      </c>
      <c r="F5" s="83" t="s">
        <v>1285</v>
      </c>
    </row>
    <row r="6" customFormat="false" ht="15" hidden="false" customHeight="false" outlineLevel="0" collapsed="false">
      <c r="A6" s="82" t="s">
        <v>1286</v>
      </c>
      <c r="B6" s="57"/>
      <c r="C6" s="57"/>
      <c r="D6" s="57"/>
      <c r="E6" s="57"/>
      <c r="F6" s="57"/>
    </row>
    <row r="7" customFormat="false" ht="15" hidden="false" customHeight="false" outlineLevel="0" collapsed="false">
      <c r="A7" s="82" t="s">
        <v>1287</v>
      </c>
      <c r="B7" s="57"/>
      <c r="C7" s="57"/>
      <c r="D7" s="57"/>
      <c r="E7" s="57"/>
      <c r="F7" s="57"/>
    </row>
    <row r="8" customFormat="false" ht="15" hidden="false" customHeight="false" outlineLevel="0" collapsed="false">
      <c r="A8" s="82" t="s">
        <v>1250</v>
      </c>
      <c r="B8" s="57"/>
      <c r="C8" s="57"/>
      <c r="D8" s="57"/>
      <c r="E8" s="57"/>
      <c r="F8" s="57"/>
    </row>
    <row r="9" customFormat="false" ht="15" hidden="false" customHeight="false" outlineLevel="0" collapsed="false">
      <c r="A9" s="82" t="s">
        <v>1288</v>
      </c>
      <c r="B9" s="71"/>
      <c r="C9" s="71"/>
      <c r="D9" s="71"/>
      <c r="E9" s="71"/>
      <c r="F9" s="71"/>
    </row>
    <row r="10" customFormat="false" ht="15" hidden="false" customHeight="false" outlineLevel="0" collapsed="false">
      <c r="A10" s="82" t="s">
        <v>1289</v>
      </c>
      <c r="B10" s="71"/>
      <c r="C10" s="71"/>
      <c r="D10" s="71"/>
      <c r="E10" s="71"/>
      <c r="F10" s="71"/>
    </row>
    <row r="11" customFormat="false" ht="15" hidden="false" customHeight="false" outlineLevel="0" collapsed="false">
      <c r="A11" s="82" t="s">
        <v>1290</v>
      </c>
      <c r="B11" s="71"/>
      <c r="C11" s="71"/>
      <c r="D11" s="71"/>
      <c r="E11" s="71"/>
      <c r="F11" s="71"/>
    </row>
    <row r="12" customFormat="false" ht="15" hidden="false" customHeight="false" outlineLevel="0" collapsed="false">
      <c r="A12" s="82" t="s">
        <v>1291</v>
      </c>
      <c r="B12" s="71"/>
      <c r="C12" s="71"/>
      <c r="D12" s="71"/>
      <c r="E12" s="71"/>
      <c r="F12" s="71"/>
    </row>
    <row r="13" customFormat="false" ht="15" hidden="false" customHeight="false" outlineLevel="0" collapsed="false">
      <c r="A13" s="82" t="s">
        <v>1292</v>
      </c>
      <c r="B13" s="71"/>
      <c r="C13" s="71"/>
      <c r="D13" s="71"/>
      <c r="E13" s="71"/>
      <c r="F13" s="71"/>
    </row>
    <row r="14" customFormat="false" ht="15" hidden="false" customHeight="false" outlineLevel="0" collapsed="false">
      <c r="A14" s="82" t="s">
        <v>1293</v>
      </c>
      <c r="B14" s="71"/>
      <c r="C14" s="71"/>
      <c r="D14" s="71"/>
      <c r="E14" s="71"/>
      <c r="F14" s="71"/>
    </row>
    <row r="15" customFormat="false" ht="15" hidden="false" customHeight="false" outlineLevel="0" collapsed="false">
      <c r="A15" s="82" t="s">
        <v>1294</v>
      </c>
      <c r="B15" s="71"/>
      <c r="C15" s="71"/>
      <c r="D15" s="71"/>
      <c r="E15" s="71"/>
      <c r="F15" s="71"/>
    </row>
    <row r="16" customFormat="false" ht="15" hidden="false" customHeight="false" outlineLevel="0" collapsed="false">
      <c r="A16" s="82" t="s">
        <v>1295</v>
      </c>
      <c r="B16" s="71"/>
      <c r="C16" s="71"/>
      <c r="D16" s="71"/>
      <c r="E16" s="71"/>
      <c r="F16" s="71"/>
    </row>
    <row r="17" customFormat="false" ht="15" hidden="false" customHeight="false" outlineLevel="0" collapsed="false">
      <c r="A17" s="82" t="s">
        <v>1296</v>
      </c>
      <c r="B17" s="71"/>
      <c r="C17" s="71"/>
      <c r="D17" s="71"/>
      <c r="E17" s="71"/>
      <c r="F17" s="71"/>
    </row>
    <row r="18" customFormat="false" ht="15" hidden="false" customHeight="false" outlineLevel="0" collapsed="false">
      <c r="A18" s="82" t="s">
        <v>1228</v>
      </c>
      <c r="B18" s="84" t="n">
        <f aca="false">B9+B10+B11+B12+B13+B14+B15+B16+B17</f>
        <v>0</v>
      </c>
      <c r="C18" s="84" t="n">
        <f aca="false">C9+C10+C11+C12+C13+C14+C15+C16+C17</f>
        <v>0</v>
      </c>
      <c r="D18" s="84" t="n">
        <f aca="false">D9+D10+D11+D12+D13+D14+D15+D16+D17</f>
        <v>0</v>
      </c>
      <c r="E18" s="84" t="n">
        <f aca="false">E9+E10+E11+E12+E13+E14+E15+E16+E17</f>
        <v>0</v>
      </c>
      <c r="F18" s="84" t="n">
        <f aca="false">F9+F10+F11+F12+F13+F14+F15+F16+F17</f>
        <v>0</v>
      </c>
    </row>
    <row r="19" customFormat="false" ht="15" hidden="false" customHeight="false" outlineLevel="0" collapsed="false">
      <c r="A19" s="82" t="s">
        <v>1297</v>
      </c>
      <c r="B19" s="85" t="str">
        <f aca="false">IF(AND(B18&lt;&gt;0,B18=MIN(B18,C18,D18,E18,F18)),"Best Value","")</f>
        <v/>
      </c>
      <c r="C19" s="85" t="str">
        <f aca="false">IF(AND(C18&lt;&gt;0,C18=MIN(B18,C18,D18,E18,F18)),"Best Value","")</f>
        <v/>
      </c>
      <c r="D19" s="85" t="str">
        <f aca="false">IF(AND(D18&lt;&gt;0,D18=MIN(B18,C18,D18,E18,F18)),"Best Value","")</f>
        <v/>
      </c>
      <c r="E19" s="85" t="str">
        <f aca="false">IF(AND(E18&lt;&gt;0,E18=MIN(B18,C18,D18,E18,F18)),"Best Value","")</f>
        <v/>
      </c>
      <c r="F19" s="85" t="str">
        <f aca="false">IF(AND(F18&lt;&gt;0,F18=MIN(B18,C18,D18,E18,F18)),"Best Value","")</f>
        <v/>
      </c>
    </row>
  </sheetData>
  <mergeCells count="1">
    <mergeCell ref="A1:F1"/>
  </mergeCells>
  <conditionalFormatting sqref="B19:F19">
    <cfRule type="expression" priority="2" aboveAverage="0" equalAverage="0" bottom="0" percent="0" rank="0" text="" dxfId="4">
      <formula>B19&lt;&gt;""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DFD0"/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60" t="s">
        <v>1298</v>
      </c>
      <c r="B1" s="60"/>
      <c r="C1" s="60"/>
      <c r="D1" s="60"/>
      <c r="E1" s="60"/>
      <c r="F1" s="60"/>
    </row>
    <row r="3" customFormat="false" ht="16.15" hidden="false" customHeight="false" outlineLevel="0" collapsed="false">
      <c r="A3" s="86" t="s">
        <v>1299</v>
      </c>
      <c r="B3" s="86"/>
      <c r="C3" s="86"/>
      <c r="D3" s="86"/>
      <c r="E3" s="86"/>
      <c r="F3" s="86"/>
    </row>
    <row r="4" customFormat="false" ht="15" hidden="false" customHeight="false" outlineLevel="0" collapsed="false">
      <c r="A4" s="28" t="s">
        <v>1300</v>
      </c>
      <c r="B4" s="28"/>
      <c r="C4" s="28"/>
      <c r="D4" s="28"/>
      <c r="E4" s="28"/>
      <c r="F4" s="28"/>
      <c r="I4" s="16" t="s">
        <v>998</v>
      </c>
      <c r="J4" s="16" t="s">
        <v>1301</v>
      </c>
    </row>
    <row r="5" customFormat="false" ht="19.5" hidden="false" customHeight="true" outlineLevel="0" collapsed="false">
      <c r="A5" s="44" t="s">
        <v>1245</v>
      </c>
      <c r="B5" s="44" t="s">
        <v>1151</v>
      </c>
      <c r="C5" s="44" t="s">
        <v>1302</v>
      </c>
      <c r="D5" s="44" t="s">
        <v>1204</v>
      </c>
      <c r="E5" s="44" t="s">
        <v>1303</v>
      </c>
      <c r="F5" s="44" t="s">
        <v>1228</v>
      </c>
      <c r="I5" s="17" t="s">
        <v>1304</v>
      </c>
      <c r="J5" s="80" t="n">
        <f aca="false">B32</f>
        <v>0</v>
      </c>
    </row>
    <row r="6" customFormat="false" ht="15" hidden="false" customHeight="false" outlineLevel="0" collapsed="false">
      <c r="A6" s="55" t="n">
        <f aca="false">FALSE()</f>
        <v>0</v>
      </c>
      <c r="B6" s="45"/>
      <c r="C6" s="45"/>
      <c r="D6" s="74" t="n">
        <v>0</v>
      </c>
      <c r="E6" s="45" t="n">
        <v>1</v>
      </c>
      <c r="F6" s="74" t="n">
        <f aca="false">D6*E6</f>
        <v>0</v>
      </c>
      <c r="I6" s="17" t="s">
        <v>1305</v>
      </c>
      <c r="J6" s="80" t="n">
        <f aca="false">B64</f>
        <v>0</v>
      </c>
    </row>
    <row r="7" customFormat="false" ht="15" hidden="false" customHeight="false" outlineLevel="0" collapsed="false">
      <c r="A7" s="53" t="n">
        <f aca="false">FALSE()</f>
        <v>0</v>
      </c>
      <c r="B7" s="47"/>
      <c r="C7" s="47"/>
      <c r="D7" s="75" t="n">
        <v>0</v>
      </c>
      <c r="E7" s="47" t="n">
        <v>1</v>
      </c>
      <c r="F7" s="75" t="n">
        <f aca="false">D7*E7</f>
        <v>0</v>
      </c>
    </row>
    <row r="8" customFormat="false" ht="15" hidden="false" customHeight="false" outlineLevel="0" collapsed="false">
      <c r="A8" s="55" t="n">
        <f aca="false">FALSE()</f>
        <v>0</v>
      </c>
      <c r="B8" s="45"/>
      <c r="C8" s="45"/>
      <c r="D8" s="74" t="n">
        <v>0</v>
      </c>
      <c r="E8" s="45" t="n">
        <v>1</v>
      </c>
      <c r="F8" s="74" t="n">
        <f aca="false">D8*E8</f>
        <v>0</v>
      </c>
    </row>
    <row r="9" customFormat="false" ht="15" hidden="false" customHeight="false" outlineLevel="0" collapsed="false">
      <c r="A9" s="53" t="n">
        <f aca="false">FALSE()</f>
        <v>0</v>
      </c>
      <c r="B9" s="47"/>
      <c r="C9" s="47"/>
      <c r="D9" s="75" t="n">
        <v>0</v>
      </c>
      <c r="E9" s="47" t="n">
        <v>1</v>
      </c>
      <c r="F9" s="75" t="n">
        <f aca="false">D9*E9</f>
        <v>0</v>
      </c>
    </row>
    <row r="11" customFormat="false" ht="15" hidden="false" customHeight="false" outlineLevel="0" collapsed="false">
      <c r="A11" s="28" t="s">
        <v>1306</v>
      </c>
      <c r="B11" s="28"/>
      <c r="C11" s="28"/>
      <c r="D11" s="28"/>
      <c r="E11" s="28"/>
      <c r="F11" s="28"/>
    </row>
    <row r="12" customFormat="false" ht="19.5" hidden="false" customHeight="true" outlineLevel="0" collapsed="false">
      <c r="A12" s="44" t="s">
        <v>1245</v>
      </c>
      <c r="B12" s="44" t="s">
        <v>1151</v>
      </c>
      <c r="C12" s="44" t="s">
        <v>1302</v>
      </c>
      <c r="D12" s="44" t="s">
        <v>1204</v>
      </c>
      <c r="E12" s="44" t="s">
        <v>1303</v>
      </c>
      <c r="F12" s="44" t="s">
        <v>1228</v>
      </c>
    </row>
    <row r="13" customFormat="false" ht="15" hidden="false" customHeight="false" outlineLevel="0" collapsed="false">
      <c r="A13" s="55" t="n">
        <f aca="false">FALSE()</f>
        <v>0</v>
      </c>
      <c r="B13" s="45"/>
      <c r="C13" s="45"/>
      <c r="D13" s="74" t="n">
        <v>0</v>
      </c>
      <c r="E13" s="45" t="n">
        <v>1</v>
      </c>
      <c r="F13" s="74" t="n">
        <f aca="false">D13*E13</f>
        <v>0</v>
      </c>
    </row>
    <row r="14" customFormat="false" ht="15" hidden="false" customHeight="false" outlineLevel="0" collapsed="false">
      <c r="A14" s="53" t="n">
        <f aca="false">FALSE()</f>
        <v>0</v>
      </c>
      <c r="B14" s="47"/>
      <c r="C14" s="47"/>
      <c r="D14" s="75" t="n">
        <v>0</v>
      </c>
      <c r="E14" s="47" t="n">
        <v>1</v>
      </c>
      <c r="F14" s="75" t="n">
        <f aca="false">D14*E14</f>
        <v>0</v>
      </c>
    </row>
    <row r="15" customFormat="false" ht="15" hidden="false" customHeight="false" outlineLevel="0" collapsed="false">
      <c r="A15" s="55" t="n">
        <f aca="false">FALSE()</f>
        <v>0</v>
      </c>
      <c r="B15" s="45"/>
      <c r="C15" s="45"/>
      <c r="D15" s="74" t="n">
        <v>0</v>
      </c>
      <c r="E15" s="45" t="n">
        <v>1</v>
      </c>
      <c r="F15" s="74" t="n">
        <f aca="false">D15*E15</f>
        <v>0</v>
      </c>
    </row>
    <row r="16" customFormat="false" ht="15" hidden="false" customHeight="false" outlineLevel="0" collapsed="false">
      <c r="A16" s="53" t="n">
        <f aca="false">FALSE()</f>
        <v>0</v>
      </c>
      <c r="B16" s="47"/>
      <c r="C16" s="47"/>
      <c r="D16" s="75" t="n">
        <v>0</v>
      </c>
      <c r="E16" s="47" t="n">
        <v>1</v>
      </c>
      <c r="F16" s="75" t="n">
        <f aca="false">D16*E16</f>
        <v>0</v>
      </c>
    </row>
    <row r="18" customFormat="false" ht="15" hidden="false" customHeight="false" outlineLevel="0" collapsed="false">
      <c r="A18" s="28" t="s">
        <v>1307</v>
      </c>
      <c r="B18" s="28"/>
      <c r="C18" s="28"/>
      <c r="D18" s="28"/>
      <c r="E18" s="28"/>
      <c r="F18" s="28"/>
    </row>
    <row r="19" customFormat="false" ht="19.5" hidden="false" customHeight="true" outlineLevel="0" collapsed="false">
      <c r="A19" s="44" t="s">
        <v>1245</v>
      </c>
      <c r="B19" s="44" t="s">
        <v>1151</v>
      </c>
      <c r="C19" s="44" t="s">
        <v>1302</v>
      </c>
      <c r="D19" s="44" t="s">
        <v>1204</v>
      </c>
      <c r="E19" s="44" t="s">
        <v>1303</v>
      </c>
      <c r="F19" s="44" t="s">
        <v>1228</v>
      </c>
    </row>
    <row r="20" customFormat="false" ht="15" hidden="false" customHeight="false" outlineLevel="0" collapsed="false">
      <c r="A20" s="55" t="n">
        <f aca="false">FALSE()</f>
        <v>0</v>
      </c>
      <c r="B20" s="45"/>
      <c r="C20" s="45"/>
      <c r="D20" s="74" t="n">
        <v>0</v>
      </c>
      <c r="E20" s="45" t="n">
        <v>1</v>
      </c>
      <c r="F20" s="74" t="n">
        <f aca="false">D20*E20</f>
        <v>0</v>
      </c>
    </row>
    <row r="21" customFormat="false" ht="15" hidden="false" customHeight="false" outlineLevel="0" collapsed="false">
      <c r="A21" s="53" t="n">
        <f aca="false">FALSE()</f>
        <v>0</v>
      </c>
      <c r="B21" s="47"/>
      <c r="C21" s="47"/>
      <c r="D21" s="75" t="n">
        <v>0</v>
      </c>
      <c r="E21" s="47" t="n">
        <v>1</v>
      </c>
      <c r="F21" s="75" t="n">
        <f aca="false">D21*E21</f>
        <v>0</v>
      </c>
    </row>
    <row r="22" customFormat="false" ht="15" hidden="false" customHeight="false" outlineLevel="0" collapsed="false">
      <c r="A22" s="55" t="n">
        <f aca="false">FALSE()</f>
        <v>0</v>
      </c>
      <c r="B22" s="45"/>
      <c r="C22" s="45"/>
      <c r="D22" s="74" t="n">
        <v>0</v>
      </c>
      <c r="E22" s="45" t="n">
        <v>1</v>
      </c>
      <c r="F22" s="74" t="n">
        <f aca="false">D22*E22</f>
        <v>0</v>
      </c>
    </row>
    <row r="23" customFormat="false" ht="15" hidden="false" customHeight="false" outlineLevel="0" collapsed="false">
      <c r="A23" s="53" t="n">
        <f aca="false">FALSE()</f>
        <v>0</v>
      </c>
      <c r="B23" s="47"/>
      <c r="C23" s="47"/>
      <c r="D23" s="75" t="n">
        <v>0</v>
      </c>
      <c r="E23" s="47" t="n">
        <v>1</v>
      </c>
      <c r="F23" s="75" t="n">
        <f aca="false">D23*E23</f>
        <v>0</v>
      </c>
    </row>
    <row r="25" customFormat="false" ht="15" hidden="false" customHeight="false" outlineLevel="0" collapsed="false">
      <c r="A25" s="28" t="s">
        <v>1308</v>
      </c>
      <c r="B25" s="28"/>
      <c r="C25" s="28"/>
      <c r="D25" s="28"/>
      <c r="E25" s="28"/>
      <c r="F25" s="28"/>
    </row>
    <row r="26" customFormat="false" ht="19.5" hidden="false" customHeight="true" outlineLevel="0" collapsed="false">
      <c r="A26" s="44" t="s">
        <v>1245</v>
      </c>
      <c r="B26" s="44" t="s">
        <v>1151</v>
      </c>
      <c r="C26" s="44" t="s">
        <v>1302</v>
      </c>
      <c r="D26" s="44" t="s">
        <v>1204</v>
      </c>
      <c r="E26" s="44" t="s">
        <v>1303</v>
      </c>
      <c r="F26" s="44" t="s">
        <v>1228</v>
      </c>
    </row>
    <row r="27" customFormat="false" ht="15" hidden="false" customHeight="false" outlineLevel="0" collapsed="false">
      <c r="A27" s="55" t="n">
        <f aca="false">FALSE()</f>
        <v>0</v>
      </c>
      <c r="B27" s="45"/>
      <c r="C27" s="45"/>
      <c r="D27" s="74" t="n">
        <v>0</v>
      </c>
      <c r="E27" s="45" t="n">
        <v>1</v>
      </c>
      <c r="F27" s="74" t="n">
        <f aca="false">D27*E27</f>
        <v>0</v>
      </c>
    </row>
    <row r="28" customFormat="false" ht="15" hidden="false" customHeight="false" outlineLevel="0" collapsed="false">
      <c r="A28" s="53" t="n">
        <f aca="false">FALSE()</f>
        <v>0</v>
      </c>
      <c r="B28" s="47"/>
      <c r="C28" s="47"/>
      <c r="D28" s="75" t="n">
        <v>0</v>
      </c>
      <c r="E28" s="47" t="n">
        <v>1</v>
      </c>
      <c r="F28" s="75" t="n">
        <f aca="false">D28*E28</f>
        <v>0</v>
      </c>
    </row>
    <row r="29" customFormat="false" ht="15" hidden="false" customHeight="false" outlineLevel="0" collapsed="false">
      <c r="A29" s="55" t="n">
        <f aca="false">FALSE()</f>
        <v>0</v>
      </c>
      <c r="B29" s="45"/>
      <c r="C29" s="45"/>
      <c r="D29" s="74" t="n">
        <v>0</v>
      </c>
      <c r="E29" s="45" t="n">
        <v>1</v>
      </c>
      <c r="F29" s="74" t="n">
        <f aca="false">D29*E29</f>
        <v>0</v>
      </c>
    </row>
    <row r="30" customFormat="false" ht="15" hidden="false" customHeight="false" outlineLevel="0" collapsed="false">
      <c r="A30" s="53" t="n">
        <f aca="false">FALSE()</f>
        <v>0</v>
      </c>
      <c r="B30" s="47"/>
      <c r="C30" s="47"/>
      <c r="D30" s="75" t="n">
        <v>0</v>
      </c>
      <c r="E30" s="47" t="n">
        <v>1</v>
      </c>
      <c r="F30" s="75" t="n">
        <f aca="false">D30*E30</f>
        <v>0</v>
      </c>
    </row>
    <row r="32" customFormat="false" ht="15" hidden="false" customHeight="false" outlineLevel="0" collapsed="false">
      <c r="A32" s="16" t="s">
        <v>1309</v>
      </c>
      <c r="B32" s="87" t="n">
        <f aca="false">SUM(F6:F9)+SUM(F13:F16)+SUM(F20:F23)+SUM(F27:F30)</f>
        <v>0</v>
      </c>
    </row>
    <row r="35" customFormat="false" ht="16.15" hidden="false" customHeight="false" outlineLevel="0" collapsed="false">
      <c r="A35" s="86" t="s">
        <v>1174</v>
      </c>
      <c r="B35" s="86"/>
      <c r="C35" s="86"/>
      <c r="D35" s="86"/>
      <c r="E35" s="86"/>
      <c r="F35" s="86"/>
    </row>
    <row r="36" customFormat="false" ht="15" hidden="false" customHeight="false" outlineLevel="0" collapsed="false">
      <c r="A36" s="28" t="s">
        <v>1300</v>
      </c>
      <c r="B36" s="28"/>
      <c r="C36" s="28"/>
      <c r="D36" s="28"/>
      <c r="E36" s="28"/>
      <c r="F36" s="28"/>
    </row>
    <row r="37" customFormat="false" ht="19.5" hidden="false" customHeight="true" outlineLevel="0" collapsed="false">
      <c r="A37" s="44" t="s">
        <v>1245</v>
      </c>
      <c r="B37" s="44" t="s">
        <v>1151</v>
      </c>
      <c r="C37" s="44" t="s">
        <v>1302</v>
      </c>
      <c r="D37" s="44" t="s">
        <v>1204</v>
      </c>
      <c r="E37" s="44" t="s">
        <v>1303</v>
      </c>
      <c r="F37" s="44" t="s">
        <v>1228</v>
      </c>
    </row>
    <row r="38" customFormat="false" ht="15" hidden="false" customHeight="false" outlineLevel="0" collapsed="false">
      <c r="A38" s="55" t="n">
        <f aca="false">FALSE()</f>
        <v>0</v>
      </c>
      <c r="B38" s="45"/>
      <c r="C38" s="45"/>
      <c r="D38" s="74" t="n">
        <v>0</v>
      </c>
      <c r="E38" s="45" t="n">
        <v>1</v>
      </c>
      <c r="F38" s="74" t="n">
        <f aca="false">D38*E38</f>
        <v>0</v>
      </c>
    </row>
    <row r="39" customFormat="false" ht="15" hidden="false" customHeight="false" outlineLevel="0" collapsed="false">
      <c r="A39" s="53" t="n">
        <f aca="false">FALSE()</f>
        <v>0</v>
      </c>
      <c r="B39" s="47"/>
      <c r="C39" s="47"/>
      <c r="D39" s="75" t="n">
        <v>0</v>
      </c>
      <c r="E39" s="47" t="n">
        <v>1</v>
      </c>
      <c r="F39" s="75" t="n">
        <f aca="false">D39*E39</f>
        <v>0</v>
      </c>
    </row>
    <row r="40" customFormat="false" ht="15" hidden="false" customHeight="false" outlineLevel="0" collapsed="false">
      <c r="A40" s="55" t="n">
        <f aca="false">FALSE()</f>
        <v>0</v>
      </c>
      <c r="B40" s="45"/>
      <c r="C40" s="45"/>
      <c r="D40" s="74" t="n">
        <v>0</v>
      </c>
      <c r="E40" s="45" t="n">
        <v>1</v>
      </c>
      <c r="F40" s="74" t="n">
        <f aca="false">D40*E40</f>
        <v>0</v>
      </c>
    </row>
    <row r="41" customFormat="false" ht="15" hidden="false" customHeight="false" outlineLevel="0" collapsed="false">
      <c r="A41" s="53" t="n">
        <f aca="false">FALSE()</f>
        <v>0</v>
      </c>
      <c r="B41" s="47"/>
      <c r="C41" s="47"/>
      <c r="D41" s="75" t="n">
        <v>0</v>
      </c>
      <c r="E41" s="47" t="n">
        <v>1</v>
      </c>
      <c r="F41" s="75" t="n">
        <f aca="false">D41*E41</f>
        <v>0</v>
      </c>
    </row>
    <row r="43" customFormat="false" ht="15" hidden="false" customHeight="false" outlineLevel="0" collapsed="false">
      <c r="A43" s="28" t="s">
        <v>1306</v>
      </c>
      <c r="B43" s="28"/>
      <c r="C43" s="28"/>
      <c r="D43" s="28"/>
      <c r="E43" s="28"/>
      <c r="F43" s="28"/>
    </row>
    <row r="44" customFormat="false" ht="19.5" hidden="false" customHeight="true" outlineLevel="0" collapsed="false">
      <c r="A44" s="44" t="s">
        <v>1245</v>
      </c>
      <c r="B44" s="44" t="s">
        <v>1151</v>
      </c>
      <c r="C44" s="44" t="s">
        <v>1302</v>
      </c>
      <c r="D44" s="44" t="s">
        <v>1204</v>
      </c>
      <c r="E44" s="44" t="s">
        <v>1303</v>
      </c>
      <c r="F44" s="44" t="s">
        <v>1228</v>
      </c>
    </row>
    <row r="45" customFormat="false" ht="15" hidden="false" customHeight="false" outlineLevel="0" collapsed="false">
      <c r="A45" s="55" t="n">
        <f aca="false">FALSE()</f>
        <v>0</v>
      </c>
      <c r="B45" s="45"/>
      <c r="C45" s="45"/>
      <c r="D45" s="74" t="n">
        <v>0</v>
      </c>
      <c r="E45" s="45" t="n">
        <v>1</v>
      </c>
      <c r="F45" s="74" t="n">
        <f aca="false">D45*E45</f>
        <v>0</v>
      </c>
    </row>
    <row r="46" customFormat="false" ht="15" hidden="false" customHeight="false" outlineLevel="0" collapsed="false">
      <c r="A46" s="53" t="n">
        <f aca="false">FALSE()</f>
        <v>0</v>
      </c>
      <c r="B46" s="47"/>
      <c r="C46" s="47"/>
      <c r="D46" s="75" t="n">
        <v>0</v>
      </c>
      <c r="E46" s="47" t="n">
        <v>1</v>
      </c>
      <c r="F46" s="75" t="n">
        <f aca="false">D46*E46</f>
        <v>0</v>
      </c>
    </row>
    <row r="47" customFormat="false" ht="15" hidden="false" customHeight="false" outlineLevel="0" collapsed="false">
      <c r="A47" s="55" t="n">
        <f aca="false">FALSE()</f>
        <v>0</v>
      </c>
      <c r="B47" s="45"/>
      <c r="C47" s="45"/>
      <c r="D47" s="74" t="n">
        <v>0</v>
      </c>
      <c r="E47" s="45" t="n">
        <v>1</v>
      </c>
      <c r="F47" s="74" t="n">
        <f aca="false">D47*E47</f>
        <v>0</v>
      </c>
    </row>
    <row r="48" customFormat="false" ht="15" hidden="false" customHeight="false" outlineLevel="0" collapsed="false">
      <c r="A48" s="53" t="n">
        <f aca="false">FALSE()</f>
        <v>0</v>
      </c>
      <c r="B48" s="47"/>
      <c r="C48" s="47"/>
      <c r="D48" s="75" t="n">
        <v>0</v>
      </c>
      <c r="E48" s="47" t="n">
        <v>1</v>
      </c>
      <c r="F48" s="75" t="n">
        <f aca="false">D48*E48</f>
        <v>0</v>
      </c>
    </row>
    <row r="50" customFormat="false" ht="15" hidden="false" customHeight="false" outlineLevel="0" collapsed="false">
      <c r="A50" s="28" t="s">
        <v>1307</v>
      </c>
      <c r="B50" s="28"/>
      <c r="C50" s="28"/>
      <c r="D50" s="28"/>
      <c r="E50" s="28"/>
      <c r="F50" s="28"/>
    </row>
    <row r="51" customFormat="false" ht="19.5" hidden="false" customHeight="true" outlineLevel="0" collapsed="false">
      <c r="A51" s="44" t="s">
        <v>1245</v>
      </c>
      <c r="B51" s="44" t="s">
        <v>1151</v>
      </c>
      <c r="C51" s="44" t="s">
        <v>1302</v>
      </c>
      <c r="D51" s="44" t="s">
        <v>1204</v>
      </c>
      <c r="E51" s="44" t="s">
        <v>1303</v>
      </c>
      <c r="F51" s="44" t="s">
        <v>1228</v>
      </c>
    </row>
    <row r="52" customFormat="false" ht="15" hidden="false" customHeight="false" outlineLevel="0" collapsed="false">
      <c r="A52" s="55" t="n">
        <f aca="false">FALSE()</f>
        <v>0</v>
      </c>
      <c r="B52" s="45"/>
      <c r="C52" s="45"/>
      <c r="D52" s="74" t="n">
        <v>0</v>
      </c>
      <c r="E52" s="45" t="n">
        <v>1</v>
      </c>
      <c r="F52" s="74" t="n">
        <f aca="false">D52*E52</f>
        <v>0</v>
      </c>
    </row>
    <row r="53" customFormat="false" ht="15" hidden="false" customHeight="false" outlineLevel="0" collapsed="false">
      <c r="A53" s="53" t="n">
        <f aca="false">FALSE()</f>
        <v>0</v>
      </c>
      <c r="B53" s="47"/>
      <c r="C53" s="47"/>
      <c r="D53" s="75" t="n">
        <v>0</v>
      </c>
      <c r="E53" s="47" t="n">
        <v>1</v>
      </c>
      <c r="F53" s="75" t="n">
        <f aca="false">D53*E53</f>
        <v>0</v>
      </c>
    </row>
    <row r="54" customFormat="false" ht="15" hidden="false" customHeight="false" outlineLevel="0" collapsed="false">
      <c r="A54" s="55" t="n">
        <f aca="false">FALSE()</f>
        <v>0</v>
      </c>
      <c r="B54" s="45"/>
      <c r="C54" s="45"/>
      <c r="D54" s="74" t="n">
        <v>0</v>
      </c>
      <c r="E54" s="45" t="n">
        <v>1</v>
      </c>
      <c r="F54" s="74" t="n">
        <f aca="false">D54*E54</f>
        <v>0</v>
      </c>
    </row>
    <row r="55" customFormat="false" ht="15" hidden="false" customHeight="false" outlineLevel="0" collapsed="false">
      <c r="A55" s="53" t="n">
        <f aca="false">FALSE()</f>
        <v>0</v>
      </c>
      <c r="B55" s="47"/>
      <c r="C55" s="47"/>
      <c r="D55" s="75" t="n">
        <v>0</v>
      </c>
      <c r="E55" s="47" t="n">
        <v>1</v>
      </c>
      <c r="F55" s="75" t="n">
        <f aca="false">D55*E55</f>
        <v>0</v>
      </c>
    </row>
    <row r="57" customFormat="false" ht="15" hidden="false" customHeight="false" outlineLevel="0" collapsed="false">
      <c r="A57" s="28" t="s">
        <v>1308</v>
      </c>
      <c r="B57" s="28"/>
      <c r="C57" s="28"/>
      <c r="D57" s="28"/>
      <c r="E57" s="28"/>
      <c r="F57" s="28"/>
    </row>
    <row r="58" customFormat="false" ht="19.5" hidden="false" customHeight="true" outlineLevel="0" collapsed="false">
      <c r="A58" s="44" t="s">
        <v>1245</v>
      </c>
      <c r="B58" s="44" t="s">
        <v>1151</v>
      </c>
      <c r="C58" s="44" t="s">
        <v>1302</v>
      </c>
      <c r="D58" s="44" t="s">
        <v>1204</v>
      </c>
      <c r="E58" s="44" t="s">
        <v>1303</v>
      </c>
      <c r="F58" s="44" t="s">
        <v>1228</v>
      </c>
    </row>
    <row r="59" customFormat="false" ht="15" hidden="false" customHeight="false" outlineLevel="0" collapsed="false">
      <c r="A59" s="55" t="n">
        <f aca="false">FALSE()</f>
        <v>0</v>
      </c>
      <c r="B59" s="45"/>
      <c r="C59" s="45"/>
      <c r="D59" s="74" t="n">
        <v>0</v>
      </c>
      <c r="E59" s="45" t="n">
        <v>1</v>
      </c>
      <c r="F59" s="74" t="n">
        <f aca="false">D59*E59</f>
        <v>0</v>
      </c>
    </row>
    <row r="60" customFormat="false" ht="15" hidden="false" customHeight="false" outlineLevel="0" collapsed="false">
      <c r="A60" s="53" t="n">
        <f aca="false">FALSE()</f>
        <v>0</v>
      </c>
      <c r="B60" s="47"/>
      <c r="C60" s="47"/>
      <c r="D60" s="75" t="n">
        <v>0</v>
      </c>
      <c r="E60" s="47" t="n">
        <v>1</v>
      </c>
      <c r="F60" s="75" t="n">
        <f aca="false">D60*E60</f>
        <v>0</v>
      </c>
    </row>
    <row r="61" customFormat="false" ht="15" hidden="false" customHeight="false" outlineLevel="0" collapsed="false">
      <c r="A61" s="55" t="n">
        <f aca="false">FALSE()</f>
        <v>0</v>
      </c>
      <c r="B61" s="45"/>
      <c r="C61" s="45"/>
      <c r="D61" s="74" t="n">
        <v>0</v>
      </c>
      <c r="E61" s="45" t="n">
        <v>1</v>
      </c>
      <c r="F61" s="74" t="n">
        <f aca="false">D61*E61</f>
        <v>0</v>
      </c>
    </row>
    <row r="62" customFormat="false" ht="15" hidden="false" customHeight="false" outlineLevel="0" collapsed="false">
      <c r="A62" s="53" t="n">
        <f aca="false">FALSE()</f>
        <v>0</v>
      </c>
      <c r="B62" s="47"/>
      <c r="C62" s="47"/>
      <c r="D62" s="75" t="n">
        <v>0</v>
      </c>
      <c r="E62" s="47" t="n">
        <v>1</v>
      </c>
      <c r="F62" s="75" t="n">
        <f aca="false">D62*E62</f>
        <v>0</v>
      </c>
    </row>
    <row r="64" customFormat="false" ht="15" hidden="false" customHeight="false" outlineLevel="0" collapsed="false">
      <c r="A64" s="16" t="s">
        <v>1310</v>
      </c>
      <c r="B64" s="87" t="n">
        <f aca="false">SUM(F38:F41)+SUM(F45:F48)+SUM(F52:F55)+SUM(F59:F62)</f>
        <v>0</v>
      </c>
    </row>
  </sheetData>
  <mergeCells count="11">
    <mergeCell ref="A1:F1"/>
    <mergeCell ref="A3:F3"/>
    <mergeCell ref="A4:F4"/>
    <mergeCell ref="A11:F11"/>
    <mergeCell ref="A18:F18"/>
    <mergeCell ref="A25:F25"/>
    <mergeCell ref="A35:F35"/>
    <mergeCell ref="A36:F36"/>
    <mergeCell ref="A43:F43"/>
    <mergeCell ref="A50:F50"/>
    <mergeCell ref="A57:F57"/>
  </mergeCells>
  <dataValidations count="8">
    <dataValidation allowBlank="true" errorStyle="stop" operator="between" showDropDown="false" showErrorMessage="false" showInputMessage="false" sqref="A6:A9" type="list">
      <formula1>TrueFalse</formula1>
      <formula2>0</formula2>
    </dataValidation>
    <dataValidation allowBlank="true" errorStyle="stop" operator="between" showDropDown="false" showErrorMessage="false" showInputMessage="false" sqref="A13:A16" type="list">
      <formula1>TrueFalse</formula1>
      <formula2>0</formula2>
    </dataValidation>
    <dataValidation allowBlank="true" errorStyle="stop" operator="between" showDropDown="false" showErrorMessage="false" showInputMessage="false" sqref="A20:A23" type="list">
      <formula1>TrueFalse</formula1>
      <formula2>0</formula2>
    </dataValidation>
    <dataValidation allowBlank="true" errorStyle="stop" operator="between" showDropDown="false" showErrorMessage="false" showInputMessage="false" sqref="A27:A30" type="list">
      <formula1>TrueFalse</formula1>
      <formula2>0</formula2>
    </dataValidation>
    <dataValidation allowBlank="true" errorStyle="stop" operator="between" showDropDown="false" showErrorMessage="false" showInputMessage="false" sqref="A38:A41" type="list">
      <formula1>TrueFalse</formula1>
      <formula2>0</formula2>
    </dataValidation>
    <dataValidation allowBlank="true" errorStyle="stop" operator="between" showDropDown="false" showErrorMessage="false" showInputMessage="false" sqref="A45:A48" type="list">
      <formula1>TrueFalse</formula1>
      <formula2>0</formula2>
    </dataValidation>
    <dataValidation allowBlank="true" errorStyle="stop" operator="between" showDropDown="false" showErrorMessage="false" showInputMessage="false" sqref="A52:A55" type="list">
      <formula1>TrueFalse</formula1>
      <formula2>0</formula2>
    </dataValidation>
    <dataValidation allowBlank="true" errorStyle="stop" operator="between" showDropDown="false" showErrorMessage="false" showInputMessage="false" sqref="A59:A62" type="list">
      <formula1>TrueFalse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8D8"/>
    <pageSetUpPr fitToPage="false"/>
  </sheetPr>
  <dimension ref="A1:C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0"/>
  </cols>
  <sheetData>
    <row r="1" customFormat="false" ht="27.75" hidden="false" customHeight="true" outlineLevel="0" collapsed="false">
      <c r="A1" s="62" t="s">
        <v>1311</v>
      </c>
      <c r="B1" s="62"/>
      <c r="C1" s="62"/>
    </row>
    <row r="3" customFormat="false" ht="17.35" hidden="false" customHeight="false" outlineLevel="0" collapsed="false">
      <c r="A3" s="88" t="s">
        <v>1312</v>
      </c>
      <c r="B3" s="88"/>
      <c r="C3" s="88"/>
    </row>
    <row r="4" customFormat="false" ht="15" hidden="false" customHeight="false" outlineLevel="0" collapsed="false">
      <c r="A4" s="28" t="s">
        <v>1313</v>
      </c>
      <c r="B4" s="28"/>
      <c r="C4" s="28"/>
    </row>
    <row r="5" customFormat="false" ht="19.5" hidden="false" customHeight="true" outlineLevel="0" collapsed="false">
      <c r="A5" s="44" t="s">
        <v>1314</v>
      </c>
      <c r="B5" s="44" t="s">
        <v>1315</v>
      </c>
      <c r="C5" s="44" t="s">
        <v>1153</v>
      </c>
    </row>
    <row r="6" customFormat="false" ht="15" hidden="false" customHeight="false" outlineLevel="0" collapsed="false">
      <c r="A6" s="55" t="n">
        <f aca="false">FALSE()</f>
        <v>0</v>
      </c>
      <c r="B6" s="45" t="s">
        <v>1316</v>
      </c>
      <c r="C6" s="45"/>
    </row>
    <row r="7" customFormat="false" ht="15" hidden="false" customHeight="false" outlineLevel="0" collapsed="false">
      <c r="A7" s="53" t="n">
        <f aca="false">FALSE()</f>
        <v>0</v>
      </c>
      <c r="B7" s="47" t="s">
        <v>1317</v>
      </c>
      <c r="C7" s="47"/>
    </row>
    <row r="8" customFormat="false" ht="15" hidden="false" customHeight="false" outlineLevel="0" collapsed="false">
      <c r="A8" s="55" t="n">
        <f aca="false">FALSE()</f>
        <v>0</v>
      </c>
      <c r="B8" s="45" t="s">
        <v>1318</v>
      </c>
      <c r="C8" s="45"/>
    </row>
    <row r="9" customFormat="false" ht="15" hidden="false" customHeight="false" outlineLevel="0" collapsed="false">
      <c r="A9" s="53" t="n">
        <f aca="false">FALSE()</f>
        <v>0</v>
      </c>
      <c r="B9" s="47" t="s">
        <v>1319</v>
      </c>
      <c r="C9" s="47"/>
    </row>
    <row r="10" customFormat="false" ht="15" hidden="false" customHeight="false" outlineLevel="0" collapsed="false">
      <c r="A10" s="55" t="n">
        <f aca="false">FALSE()</f>
        <v>0</v>
      </c>
      <c r="B10" s="45" t="s">
        <v>1320</v>
      </c>
      <c r="C10" s="45"/>
    </row>
    <row r="11" customFormat="false" ht="15" hidden="false" customHeight="false" outlineLevel="0" collapsed="false">
      <c r="A11" s="53" t="n">
        <f aca="false">FALSE()</f>
        <v>0</v>
      </c>
      <c r="B11" s="47" t="s">
        <v>1321</v>
      </c>
      <c r="C11" s="47"/>
    </row>
    <row r="12" customFormat="false" ht="15" hidden="false" customHeight="false" outlineLevel="0" collapsed="false">
      <c r="A12" s="55" t="n">
        <f aca="false">FALSE()</f>
        <v>0</v>
      </c>
      <c r="B12" s="45" t="s">
        <v>1322</v>
      </c>
      <c r="C12" s="45"/>
    </row>
    <row r="13" customFormat="false" ht="15" hidden="false" customHeight="false" outlineLevel="0" collapsed="false">
      <c r="A13" s="53" t="n">
        <f aca="false">FALSE()</f>
        <v>0</v>
      </c>
      <c r="B13" s="47" t="s">
        <v>1323</v>
      </c>
      <c r="C13" s="47"/>
    </row>
    <row r="15" customFormat="false" ht="15" hidden="false" customHeight="false" outlineLevel="0" collapsed="false">
      <c r="A15" s="28" t="s">
        <v>1127</v>
      </c>
      <c r="B15" s="28"/>
      <c r="C15" s="28"/>
    </row>
    <row r="16" customFormat="false" ht="19.5" hidden="false" customHeight="true" outlineLevel="0" collapsed="false">
      <c r="A16" s="44" t="s">
        <v>1314</v>
      </c>
      <c r="B16" s="44" t="s">
        <v>1315</v>
      </c>
      <c r="C16" s="44" t="s">
        <v>1153</v>
      </c>
    </row>
    <row r="17" customFormat="false" ht="15" hidden="false" customHeight="false" outlineLevel="0" collapsed="false">
      <c r="A17" s="55" t="n">
        <f aca="false">FALSE()</f>
        <v>0</v>
      </c>
      <c r="B17" s="45" t="s">
        <v>1324</v>
      </c>
      <c r="C17" s="45"/>
    </row>
    <row r="18" customFormat="false" ht="15" hidden="false" customHeight="false" outlineLevel="0" collapsed="false">
      <c r="A18" s="53" t="n">
        <f aca="false">FALSE()</f>
        <v>0</v>
      </c>
      <c r="B18" s="47" t="s">
        <v>1325</v>
      </c>
      <c r="C18" s="47"/>
    </row>
    <row r="19" customFormat="false" ht="15" hidden="false" customHeight="false" outlineLevel="0" collapsed="false">
      <c r="A19" s="55" t="n">
        <f aca="false">FALSE()</f>
        <v>0</v>
      </c>
      <c r="B19" s="45" t="s">
        <v>1133</v>
      </c>
      <c r="C19" s="45"/>
    </row>
    <row r="20" customFormat="false" ht="15" hidden="false" customHeight="false" outlineLevel="0" collapsed="false">
      <c r="A20" s="53" t="n">
        <f aca="false">FALSE()</f>
        <v>0</v>
      </c>
      <c r="B20" s="47" t="s">
        <v>1326</v>
      </c>
      <c r="C20" s="47"/>
    </row>
    <row r="21" customFormat="false" ht="15" hidden="false" customHeight="false" outlineLevel="0" collapsed="false">
      <c r="A21" s="55" t="n">
        <f aca="false">FALSE()</f>
        <v>0</v>
      </c>
      <c r="B21" s="45" t="s">
        <v>1327</v>
      </c>
      <c r="C21" s="45"/>
    </row>
    <row r="22" customFormat="false" ht="15" hidden="false" customHeight="false" outlineLevel="0" collapsed="false">
      <c r="A22" s="53" t="n">
        <f aca="false">FALSE()</f>
        <v>0</v>
      </c>
      <c r="B22" s="47" t="s">
        <v>1328</v>
      </c>
      <c r="C22" s="47"/>
    </row>
    <row r="23" customFormat="false" ht="15" hidden="false" customHeight="false" outlineLevel="0" collapsed="false">
      <c r="A23" s="55" t="n">
        <f aca="false">FALSE()</f>
        <v>0</v>
      </c>
      <c r="B23" s="45" t="s">
        <v>1329</v>
      </c>
      <c r="C23" s="45"/>
    </row>
    <row r="24" customFormat="false" ht="15" hidden="false" customHeight="false" outlineLevel="0" collapsed="false">
      <c r="A24" s="53" t="n">
        <f aca="false">FALSE()</f>
        <v>0</v>
      </c>
      <c r="B24" s="47" t="s">
        <v>1134</v>
      </c>
      <c r="C24" s="47"/>
    </row>
    <row r="26" customFormat="false" ht="15" hidden="false" customHeight="false" outlineLevel="0" collapsed="false">
      <c r="A26" s="28" t="s">
        <v>1330</v>
      </c>
      <c r="B26" s="28"/>
      <c r="C26" s="28"/>
    </row>
    <row r="27" customFormat="false" ht="19.5" hidden="false" customHeight="true" outlineLevel="0" collapsed="false">
      <c r="A27" s="44" t="s">
        <v>1314</v>
      </c>
      <c r="B27" s="44" t="s">
        <v>1315</v>
      </c>
      <c r="C27" s="44" t="s">
        <v>1153</v>
      </c>
    </row>
    <row r="28" customFormat="false" ht="15" hidden="false" customHeight="false" outlineLevel="0" collapsed="false">
      <c r="A28" s="55" t="n">
        <f aca="false">FALSE()</f>
        <v>0</v>
      </c>
      <c r="B28" s="45" t="s">
        <v>1331</v>
      </c>
      <c r="C28" s="45"/>
    </row>
    <row r="29" customFormat="false" ht="15" hidden="false" customHeight="false" outlineLevel="0" collapsed="false">
      <c r="A29" s="53" t="n">
        <f aca="false">FALSE()</f>
        <v>0</v>
      </c>
      <c r="B29" s="47" t="s">
        <v>1332</v>
      </c>
      <c r="C29" s="47"/>
    </row>
    <row r="30" customFormat="false" ht="15" hidden="false" customHeight="false" outlineLevel="0" collapsed="false">
      <c r="A30" s="55" t="n">
        <f aca="false">FALSE()</f>
        <v>0</v>
      </c>
      <c r="B30" s="45" t="s">
        <v>1333</v>
      </c>
      <c r="C30" s="45"/>
    </row>
    <row r="31" customFormat="false" ht="15" hidden="false" customHeight="false" outlineLevel="0" collapsed="false">
      <c r="A31" s="53" t="n">
        <f aca="false">FALSE()</f>
        <v>0</v>
      </c>
      <c r="B31" s="47" t="s">
        <v>1334</v>
      </c>
      <c r="C31" s="47"/>
    </row>
    <row r="32" customFormat="false" ht="15" hidden="false" customHeight="false" outlineLevel="0" collapsed="false">
      <c r="A32" s="55" t="n">
        <f aca="false">FALSE()</f>
        <v>0</v>
      </c>
      <c r="B32" s="45" t="s">
        <v>1335</v>
      </c>
      <c r="C32" s="45"/>
    </row>
    <row r="33" customFormat="false" ht="15" hidden="false" customHeight="false" outlineLevel="0" collapsed="false">
      <c r="A33" s="53" t="n">
        <f aca="false">FALSE()</f>
        <v>0</v>
      </c>
      <c r="B33" s="47" t="s">
        <v>1336</v>
      </c>
      <c r="C33" s="47"/>
    </row>
    <row r="35" customFormat="false" ht="15" hidden="false" customHeight="false" outlineLevel="0" collapsed="false">
      <c r="A35" s="28" t="s">
        <v>1174</v>
      </c>
      <c r="B35" s="28"/>
      <c r="C35" s="28"/>
    </row>
    <row r="36" customFormat="false" ht="19.5" hidden="false" customHeight="true" outlineLevel="0" collapsed="false">
      <c r="A36" s="44" t="s">
        <v>1314</v>
      </c>
      <c r="B36" s="44" t="s">
        <v>1315</v>
      </c>
      <c r="C36" s="44" t="s">
        <v>1153</v>
      </c>
    </row>
    <row r="37" customFormat="false" ht="15" hidden="false" customHeight="false" outlineLevel="0" collapsed="false">
      <c r="A37" s="55" t="n">
        <f aca="false">FALSE()</f>
        <v>0</v>
      </c>
      <c r="B37" s="45" t="s">
        <v>1337</v>
      </c>
      <c r="C37" s="45"/>
    </row>
    <row r="38" customFormat="false" ht="15" hidden="false" customHeight="false" outlineLevel="0" collapsed="false">
      <c r="A38" s="53" t="n">
        <f aca="false">FALSE()</f>
        <v>0</v>
      </c>
      <c r="B38" s="47" t="s">
        <v>1338</v>
      </c>
      <c r="C38" s="47"/>
    </row>
    <row r="39" customFormat="false" ht="15" hidden="false" customHeight="false" outlineLevel="0" collapsed="false">
      <c r="A39" s="55" t="n">
        <f aca="false">FALSE()</f>
        <v>0</v>
      </c>
      <c r="B39" s="45" t="s">
        <v>1339</v>
      </c>
      <c r="C39" s="45"/>
    </row>
    <row r="40" customFormat="false" ht="15" hidden="false" customHeight="false" outlineLevel="0" collapsed="false">
      <c r="A40" s="53" t="n">
        <f aca="false">FALSE()</f>
        <v>0</v>
      </c>
      <c r="B40" s="47" t="s">
        <v>1340</v>
      </c>
      <c r="C40" s="47"/>
    </row>
    <row r="41" customFormat="false" ht="15" hidden="false" customHeight="false" outlineLevel="0" collapsed="false">
      <c r="A41" s="55" t="n">
        <f aca="false">FALSE()</f>
        <v>0</v>
      </c>
      <c r="B41" s="45" t="s">
        <v>1341</v>
      </c>
      <c r="C41" s="45"/>
    </row>
    <row r="42" customFormat="false" ht="15" hidden="false" customHeight="false" outlineLevel="0" collapsed="false">
      <c r="A42" s="53" t="n">
        <f aca="false">FALSE()</f>
        <v>0</v>
      </c>
      <c r="B42" s="47" t="s">
        <v>1342</v>
      </c>
      <c r="C42" s="47"/>
    </row>
    <row r="43" customFormat="false" ht="15" hidden="false" customHeight="false" outlineLevel="0" collapsed="false">
      <c r="A43" s="55" t="n">
        <f aca="false">FALSE()</f>
        <v>0</v>
      </c>
      <c r="B43" s="45" t="s">
        <v>1343</v>
      </c>
      <c r="C43" s="45"/>
    </row>
    <row r="44" customFormat="false" ht="15" hidden="false" customHeight="false" outlineLevel="0" collapsed="false">
      <c r="A44" s="53" t="n">
        <f aca="false">FALSE()</f>
        <v>0</v>
      </c>
      <c r="B44" s="47" t="s">
        <v>1344</v>
      </c>
      <c r="C44" s="47"/>
    </row>
    <row r="45" customFormat="false" ht="15" hidden="false" customHeight="false" outlineLevel="0" collapsed="false">
      <c r="A45" s="55" t="n">
        <f aca="false">FALSE()</f>
        <v>0</v>
      </c>
      <c r="B45" s="45" t="s">
        <v>1345</v>
      </c>
      <c r="C45" s="45"/>
    </row>
    <row r="46" customFormat="false" ht="15" hidden="false" customHeight="false" outlineLevel="0" collapsed="false">
      <c r="A46" s="53" t="n">
        <f aca="false">FALSE()</f>
        <v>0</v>
      </c>
      <c r="B46" s="47" t="s">
        <v>1346</v>
      </c>
      <c r="C46" s="47"/>
    </row>
    <row r="48" customFormat="false" ht="15" hidden="false" customHeight="false" outlineLevel="0" collapsed="false">
      <c r="A48" s="28" t="s">
        <v>1347</v>
      </c>
      <c r="B48" s="28"/>
      <c r="C48" s="28"/>
    </row>
    <row r="49" customFormat="false" ht="19.5" hidden="false" customHeight="true" outlineLevel="0" collapsed="false">
      <c r="A49" s="44" t="s">
        <v>1314</v>
      </c>
      <c r="B49" s="44" t="s">
        <v>1315</v>
      </c>
      <c r="C49" s="44" t="s">
        <v>1153</v>
      </c>
    </row>
    <row r="50" customFormat="false" ht="15" hidden="false" customHeight="false" outlineLevel="0" collapsed="false">
      <c r="A50" s="55" t="n">
        <f aca="false">FALSE()</f>
        <v>0</v>
      </c>
      <c r="B50" s="45" t="s">
        <v>1170</v>
      </c>
      <c r="C50" s="45"/>
    </row>
    <row r="51" customFormat="false" ht="15" hidden="false" customHeight="false" outlineLevel="0" collapsed="false">
      <c r="A51" s="53" t="n">
        <f aca="false">FALSE()</f>
        <v>0</v>
      </c>
      <c r="B51" s="47" t="s">
        <v>1348</v>
      </c>
      <c r="C51" s="47"/>
    </row>
    <row r="52" customFormat="false" ht="15" hidden="false" customHeight="false" outlineLevel="0" collapsed="false">
      <c r="A52" s="55" t="n">
        <f aca="false">FALSE()</f>
        <v>0</v>
      </c>
      <c r="B52" s="45" t="s">
        <v>1156</v>
      </c>
      <c r="C52" s="45"/>
    </row>
    <row r="53" customFormat="false" ht="15" hidden="false" customHeight="false" outlineLevel="0" collapsed="false">
      <c r="A53" s="53" t="n">
        <f aca="false">FALSE()</f>
        <v>0</v>
      </c>
      <c r="B53" s="47" t="s">
        <v>1349</v>
      </c>
      <c r="C53" s="47"/>
    </row>
    <row r="54" customFormat="false" ht="15" hidden="false" customHeight="false" outlineLevel="0" collapsed="false">
      <c r="A54" s="55" t="n">
        <f aca="false">FALSE()</f>
        <v>0</v>
      </c>
      <c r="B54" s="45" t="s">
        <v>1350</v>
      </c>
      <c r="C54" s="45"/>
    </row>
    <row r="55" customFormat="false" ht="15" hidden="false" customHeight="false" outlineLevel="0" collapsed="false">
      <c r="A55" s="53" t="n">
        <f aca="false">FALSE()</f>
        <v>0</v>
      </c>
      <c r="B55" s="47" t="s">
        <v>1225</v>
      </c>
      <c r="C55" s="47"/>
    </row>
    <row r="56" customFormat="false" ht="15" hidden="false" customHeight="false" outlineLevel="0" collapsed="false">
      <c r="A56" s="55" t="n">
        <f aca="false">FALSE()</f>
        <v>0</v>
      </c>
      <c r="B56" s="45" t="s">
        <v>1226</v>
      </c>
      <c r="C56" s="45"/>
    </row>
    <row r="57" customFormat="false" ht="15" hidden="false" customHeight="false" outlineLevel="0" collapsed="false">
      <c r="A57" s="53" t="n">
        <f aca="false">FALSE()</f>
        <v>0</v>
      </c>
      <c r="B57" s="47" t="s">
        <v>1351</v>
      </c>
      <c r="C57" s="47"/>
    </row>
    <row r="59" customFormat="false" ht="17.35" hidden="false" customHeight="false" outlineLevel="0" collapsed="false">
      <c r="A59" s="88" t="s">
        <v>1352</v>
      </c>
      <c r="B59" s="88"/>
      <c r="C59" s="88"/>
    </row>
    <row r="60" customFormat="false" ht="15" hidden="false" customHeight="false" outlineLevel="0" collapsed="false">
      <c r="A60" s="28" t="s">
        <v>1313</v>
      </c>
      <c r="B60" s="28"/>
      <c r="C60" s="28"/>
    </row>
    <row r="61" customFormat="false" ht="19.5" hidden="false" customHeight="true" outlineLevel="0" collapsed="false">
      <c r="A61" s="44" t="s">
        <v>1314</v>
      </c>
      <c r="B61" s="44" t="s">
        <v>1315</v>
      </c>
      <c r="C61" s="44" t="s">
        <v>1153</v>
      </c>
    </row>
    <row r="62" customFormat="false" ht="15" hidden="false" customHeight="false" outlineLevel="0" collapsed="false">
      <c r="A62" s="55" t="n">
        <f aca="false">FALSE()</f>
        <v>0</v>
      </c>
      <c r="B62" s="45" t="s">
        <v>1316</v>
      </c>
      <c r="C62" s="45"/>
    </row>
    <row r="63" customFormat="false" ht="15" hidden="false" customHeight="false" outlineLevel="0" collapsed="false">
      <c r="A63" s="53" t="n">
        <f aca="false">FALSE()</f>
        <v>0</v>
      </c>
      <c r="B63" s="47" t="s">
        <v>1317</v>
      </c>
      <c r="C63" s="47"/>
    </row>
    <row r="64" customFormat="false" ht="15" hidden="false" customHeight="false" outlineLevel="0" collapsed="false">
      <c r="A64" s="55" t="n">
        <f aca="false">FALSE()</f>
        <v>0</v>
      </c>
      <c r="B64" s="45" t="s">
        <v>1318</v>
      </c>
      <c r="C64" s="45"/>
    </row>
    <row r="65" customFormat="false" ht="15" hidden="false" customHeight="false" outlineLevel="0" collapsed="false">
      <c r="A65" s="53" t="n">
        <f aca="false">FALSE()</f>
        <v>0</v>
      </c>
      <c r="B65" s="47" t="s">
        <v>1319</v>
      </c>
      <c r="C65" s="47"/>
    </row>
    <row r="66" customFormat="false" ht="15" hidden="false" customHeight="false" outlineLevel="0" collapsed="false">
      <c r="A66" s="55" t="n">
        <f aca="false">FALSE()</f>
        <v>0</v>
      </c>
      <c r="B66" s="45" t="s">
        <v>1320</v>
      </c>
      <c r="C66" s="45"/>
    </row>
    <row r="67" customFormat="false" ht="15" hidden="false" customHeight="false" outlineLevel="0" collapsed="false">
      <c r="A67" s="53" t="n">
        <f aca="false">FALSE()</f>
        <v>0</v>
      </c>
      <c r="B67" s="47" t="s">
        <v>1321</v>
      </c>
      <c r="C67" s="47"/>
    </row>
    <row r="68" customFormat="false" ht="15" hidden="false" customHeight="false" outlineLevel="0" collapsed="false">
      <c r="A68" s="55" t="n">
        <f aca="false">FALSE()</f>
        <v>0</v>
      </c>
      <c r="B68" s="45" t="s">
        <v>1322</v>
      </c>
      <c r="C68" s="45"/>
    </row>
    <row r="69" customFormat="false" ht="15" hidden="false" customHeight="false" outlineLevel="0" collapsed="false">
      <c r="A69" s="53" t="n">
        <f aca="false">FALSE()</f>
        <v>0</v>
      </c>
      <c r="B69" s="47" t="s">
        <v>1323</v>
      </c>
      <c r="C69" s="47"/>
    </row>
    <row r="71" customFormat="false" ht="15" hidden="false" customHeight="false" outlineLevel="0" collapsed="false">
      <c r="A71" s="28" t="s">
        <v>1127</v>
      </c>
      <c r="B71" s="28"/>
      <c r="C71" s="28"/>
    </row>
    <row r="72" customFormat="false" ht="19.5" hidden="false" customHeight="true" outlineLevel="0" collapsed="false">
      <c r="A72" s="44" t="s">
        <v>1314</v>
      </c>
      <c r="B72" s="44" t="s">
        <v>1315</v>
      </c>
      <c r="C72" s="44" t="s">
        <v>1153</v>
      </c>
    </row>
    <row r="73" customFormat="false" ht="15" hidden="false" customHeight="false" outlineLevel="0" collapsed="false">
      <c r="A73" s="55" t="n">
        <f aca="false">FALSE()</f>
        <v>0</v>
      </c>
      <c r="B73" s="45" t="s">
        <v>1324</v>
      </c>
      <c r="C73" s="45"/>
    </row>
    <row r="74" customFormat="false" ht="15" hidden="false" customHeight="false" outlineLevel="0" collapsed="false">
      <c r="A74" s="53" t="n">
        <f aca="false">FALSE()</f>
        <v>0</v>
      </c>
      <c r="B74" s="47" t="s">
        <v>1325</v>
      </c>
      <c r="C74" s="47"/>
    </row>
    <row r="75" customFormat="false" ht="15" hidden="false" customHeight="false" outlineLevel="0" collapsed="false">
      <c r="A75" s="55" t="n">
        <f aca="false">FALSE()</f>
        <v>0</v>
      </c>
      <c r="B75" s="45" t="s">
        <v>1133</v>
      </c>
      <c r="C75" s="45"/>
    </row>
    <row r="76" customFormat="false" ht="15" hidden="false" customHeight="false" outlineLevel="0" collapsed="false">
      <c r="A76" s="53" t="n">
        <f aca="false">FALSE()</f>
        <v>0</v>
      </c>
      <c r="B76" s="47" t="s">
        <v>1326</v>
      </c>
      <c r="C76" s="47"/>
    </row>
    <row r="77" customFormat="false" ht="15" hidden="false" customHeight="false" outlineLevel="0" collapsed="false">
      <c r="A77" s="55" t="n">
        <f aca="false">FALSE()</f>
        <v>0</v>
      </c>
      <c r="B77" s="45" t="s">
        <v>1327</v>
      </c>
      <c r="C77" s="45"/>
    </row>
    <row r="78" customFormat="false" ht="15" hidden="false" customHeight="false" outlineLevel="0" collapsed="false">
      <c r="A78" s="53" t="n">
        <f aca="false">FALSE()</f>
        <v>0</v>
      </c>
      <c r="B78" s="47" t="s">
        <v>1328</v>
      </c>
      <c r="C78" s="47"/>
    </row>
    <row r="79" customFormat="false" ht="15" hidden="false" customHeight="false" outlineLevel="0" collapsed="false">
      <c r="A79" s="55" t="n">
        <f aca="false">FALSE()</f>
        <v>0</v>
      </c>
      <c r="B79" s="45" t="s">
        <v>1329</v>
      </c>
      <c r="C79" s="45"/>
    </row>
    <row r="80" customFormat="false" ht="15" hidden="false" customHeight="false" outlineLevel="0" collapsed="false">
      <c r="A80" s="53" t="n">
        <f aca="false">FALSE()</f>
        <v>0</v>
      </c>
      <c r="B80" s="47" t="s">
        <v>1134</v>
      </c>
      <c r="C80" s="47"/>
    </row>
    <row r="82" customFormat="false" ht="15" hidden="false" customHeight="false" outlineLevel="0" collapsed="false">
      <c r="A82" s="28" t="s">
        <v>1330</v>
      </c>
      <c r="B82" s="28"/>
      <c r="C82" s="28"/>
    </row>
    <row r="83" customFormat="false" ht="19.5" hidden="false" customHeight="true" outlineLevel="0" collapsed="false">
      <c r="A83" s="44" t="s">
        <v>1314</v>
      </c>
      <c r="B83" s="44" t="s">
        <v>1315</v>
      </c>
      <c r="C83" s="44" t="s">
        <v>1153</v>
      </c>
    </row>
    <row r="84" customFormat="false" ht="15" hidden="false" customHeight="false" outlineLevel="0" collapsed="false">
      <c r="A84" s="55" t="n">
        <f aca="false">FALSE()</f>
        <v>0</v>
      </c>
      <c r="B84" s="45" t="s">
        <v>1331</v>
      </c>
      <c r="C84" s="45"/>
    </row>
    <row r="85" customFormat="false" ht="15" hidden="false" customHeight="false" outlineLevel="0" collapsed="false">
      <c r="A85" s="53" t="n">
        <f aca="false">FALSE()</f>
        <v>0</v>
      </c>
      <c r="B85" s="47" t="s">
        <v>1332</v>
      </c>
      <c r="C85" s="47"/>
    </row>
    <row r="86" customFormat="false" ht="15" hidden="false" customHeight="false" outlineLevel="0" collapsed="false">
      <c r="A86" s="55" t="n">
        <f aca="false">FALSE()</f>
        <v>0</v>
      </c>
      <c r="B86" s="45" t="s">
        <v>1333</v>
      </c>
      <c r="C86" s="45"/>
    </row>
    <row r="87" customFormat="false" ht="15" hidden="false" customHeight="false" outlineLevel="0" collapsed="false">
      <c r="A87" s="53" t="n">
        <f aca="false">FALSE()</f>
        <v>0</v>
      </c>
      <c r="B87" s="47" t="s">
        <v>1334</v>
      </c>
      <c r="C87" s="47"/>
    </row>
    <row r="88" customFormat="false" ht="15" hidden="false" customHeight="false" outlineLevel="0" collapsed="false">
      <c r="A88" s="55" t="n">
        <f aca="false">FALSE()</f>
        <v>0</v>
      </c>
      <c r="B88" s="45" t="s">
        <v>1335</v>
      </c>
      <c r="C88" s="45"/>
    </row>
    <row r="89" customFormat="false" ht="15" hidden="false" customHeight="false" outlineLevel="0" collapsed="false">
      <c r="A89" s="53" t="n">
        <f aca="false">FALSE()</f>
        <v>0</v>
      </c>
      <c r="B89" s="47" t="s">
        <v>1336</v>
      </c>
      <c r="C89" s="47"/>
    </row>
    <row r="91" customFormat="false" ht="15" hidden="false" customHeight="false" outlineLevel="0" collapsed="false">
      <c r="A91" s="28" t="s">
        <v>1174</v>
      </c>
      <c r="B91" s="28"/>
      <c r="C91" s="28"/>
    </row>
    <row r="92" customFormat="false" ht="19.5" hidden="false" customHeight="true" outlineLevel="0" collapsed="false">
      <c r="A92" s="44" t="s">
        <v>1314</v>
      </c>
      <c r="B92" s="44" t="s">
        <v>1315</v>
      </c>
      <c r="C92" s="44" t="s">
        <v>1153</v>
      </c>
    </row>
    <row r="93" customFormat="false" ht="15" hidden="false" customHeight="false" outlineLevel="0" collapsed="false">
      <c r="A93" s="55" t="n">
        <f aca="false">FALSE()</f>
        <v>0</v>
      </c>
      <c r="B93" s="45" t="s">
        <v>1337</v>
      </c>
      <c r="C93" s="45"/>
    </row>
    <row r="94" customFormat="false" ht="15" hidden="false" customHeight="false" outlineLevel="0" collapsed="false">
      <c r="A94" s="53" t="n">
        <f aca="false">FALSE()</f>
        <v>0</v>
      </c>
      <c r="B94" s="47" t="s">
        <v>1338</v>
      </c>
      <c r="C94" s="47"/>
    </row>
    <row r="95" customFormat="false" ht="15" hidden="false" customHeight="false" outlineLevel="0" collapsed="false">
      <c r="A95" s="55" t="n">
        <f aca="false">FALSE()</f>
        <v>0</v>
      </c>
      <c r="B95" s="45" t="s">
        <v>1339</v>
      </c>
      <c r="C95" s="45"/>
    </row>
    <row r="96" customFormat="false" ht="15" hidden="false" customHeight="false" outlineLevel="0" collapsed="false">
      <c r="A96" s="53" t="n">
        <f aca="false">FALSE()</f>
        <v>0</v>
      </c>
      <c r="B96" s="47" t="s">
        <v>1340</v>
      </c>
      <c r="C96" s="47"/>
    </row>
    <row r="97" customFormat="false" ht="15" hidden="false" customHeight="false" outlineLevel="0" collapsed="false">
      <c r="A97" s="55" t="n">
        <f aca="false">FALSE()</f>
        <v>0</v>
      </c>
      <c r="B97" s="45" t="s">
        <v>1341</v>
      </c>
      <c r="C97" s="45"/>
    </row>
    <row r="98" customFormat="false" ht="15" hidden="false" customHeight="false" outlineLevel="0" collapsed="false">
      <c r="A98" s="53" t="n">
        <f aca="false">FALSE()</f>
        <v>0</v>
      </c>
      <c r="B98" s="47" t="s">
        <v>1342</v>
      </c>
      <c r="C98" s="47"/>
    </row>
    <row r="99" customFormat="false" ht="15" hidden="false" customHeight="false" outlineLevel="0" collapsed="false">
      <c r="A99" s="55" t="n">
        <f aca="false">FALSE()</f>
        <v>0</v>
      </c>
      <c r="B99" s="45" t="s">
        <v>1343</v>
      </c>
      <c r="C99" s="45"/>
    </row>
    <row r="100" customFormat="false" ht="15" hidden="false" customHeight="false" outlineLevel="0" collapsed="false">
      <c r="A100" s="53" t="n">
        <f aca="false">FALSE()</f>
        <v>0</v>
      </c>
      <c r="B100" s="47" t="s">
        <v>1344</v>
      </c>
      <c r="C100" s="47"/>
    </row>
    <row r="101" customFormat="false" ht="15" hidden="false" customHeight="false" outlineLevel="0" collapsed="false">
      <c r="A101" s="55" t="n">
        <f aca="false">FALSE()</f>
        <v>0</v>
      </c>
      <c r="B101" s="45" t="s">
        <v>1345</v>
      </c>
      <c r="C101" s="45"/>
    </row>
    <row r="102" customFormat="false" ht="15" hidden="false" customHeight="false" outlineLevel="0" collapsed="false">
      <c r="A102" s="53" t="n">
        <f aca="false">FALSE()</f>
        <v>0</v>
      </c>
      <c r="B102" s="47" t="s">
        <v>1346</v>
      </c>
      <c r="C102" s="47"/>
    </row>
    <row r="104" customFormat="false" ht="15" hidden="false" customHeight="false" outlineLevel="0" collapsed="false">
      <c r="A104" s="28" t="s">
        <v>1347</v>
      </c>
      <c r="B104" s="28"/>
      <c r="C104" s="28"/>
    </row>
    <row r="105" customFormat="false" ht="19.5" hidden="false" customHeight="true" outlineLevel="0" collapsed="false">
      <c r="A105" s="44" t="s">
        <v>1314</v>
      </c>
      <c r="B105" s="44" t="s">
        <v>1315</v>
      </c>
      <c r="C105" s="44" t="s">
        <v>1153</v>
      </c>
    </row>
    <row r="106" customFormat="false" ht="15" hidden="false" customHeight="false" outlineLevel="0" collapsed="false">
      <c r="A106" s="55" t="n">
        <f aca="false">FALSE()</f>
        <v>0</v>
      </c>
      <c r="B106" s="45" t="s">
        <v>1170</v>
      </c>
      <c r="C106" s="45"/>
    </row>
    <row r="107" customFormat="false" ht="15" hidden="false" customHeight="false" outlineLevel="0" collapsed="false">
      <c r="A107" s="53" t="n">
        <f aca="false">FALSE()</f>
        <v>0</v>
      </c>
      <c r="B107" s="47" t="s">
        <v>1348</v>
      </c>
      <c r="C107" s="47"/>
    </row>
    <row r="108" customFormat="false" ht="15" hidden="false" customHeight="false" outlineLevel="0" collapsed="false">
      <c r="A108" s="55" t="n">
        <f aca="false">FALSE()</f>
        <v>0</v>
      </c>
      <c r="B108" s="45" t="s">
        <v>1156</v>
      </c>
      <c r="C108" s="45"/>
    </row>
    <row r="109" customFormat="false" ht="15" hidden="false" customHeight="false" outlineLevel="0" collapsed="false">
      <c r="A109" s="53" t="n">
        <f aca="false">FALSE()</f>
        <v>0</v>
      </c>
      <c r="B109" s="47" t="s">
        <v>1349</v>
      </c>
      <c r="C109" s="47"/>
    </row>
    <row r="110" customFormat="false" ht="15" hidden="false" customHeight="false" outlineLevel="0" collapsed="false">
      <c r="A110" s="55" t="n">
        <f aca="false">FALSE()</f>
        <v>0</v>
      </c>
      <c r="B110" s="45" t="s">
        <v>1350</v>
      </c>
      <c r="C110" s="45"/>
    </row>
    <row r="111" customFormat="false" ht="15" hidden="false" customHeight="false" outlineLevel="0" collapsed="false">
      <c r="A111" s="53" t="n">
        <f aca="false">FALSE()</f>
        <v>0</v>
      </c>
      <c r="B111" s="47" t="s">
        <v>1225</v>
      </c>
      <c r="C111" s="47"/>
    </row>
    <row r="112" customFormat="false" ht="15" hidden="false" customHeight="false" outlineLevel="0" collapsed="false">
      <c r="A112" s="55" t="n">
        <f aca="false">FALSE()</f>
        <v>0</v>
      </c>
      <c r="B112" s="45" t="s">
        <v>1226</v>
      </c>
      <c r="C112" s="45"/>
    </row>
    <row r="113" customFormat="false" ht="15" hidden="false" customHeight="false" outlineLevel="0" collapsed="false">
      <c r="A113" s="53" t="n">
        <f aca="false">FALSE()</f>
        <v>0</v>
      </c>
      <c r="B113" s="47" t="s">
        <v>1351</v>
      </c>
      <c r="C113" s="47"/>
    </row>
  </sheetData>
  <mergeCells count="13">
    <mergeCell ref="A1:C1"/>
    <mergeCell ref="A3:C3"/>
    <mergeCell ref="A4:C4"/>
    <mergeCell ref="A15:C15"/>
    <mergeCell ref="A26:C26"/>
    <mergeCell ref="A35:C35"/>
    <mergeCell ref="A48:C48"/>
    <mergeCell ref="A59:C59"/>
    <mergeCell ref="A60:C60"/>
    <mergeCell ref="A71:C71"/>
    <mergeCell ref="A82:C82"/>
    <mergeCell ref="A91:C91"/>
    <mergeCell ref="A104:C104"/>
  </mergeCells>
  <conditionalFormatting sqref="A6:A13">
    <cfRule type="expression" priority="2" aboveAverage="0" equalAverage="0" bottom="0" percent="0" rank="0" text="" dxfId="4">
      <formula>A6=1</formula>
    </cfRule>
  </conditionalFormatting>
  <conditionalFormatting sqref="A17:A24">
    <cfRule type="expression" priority="3" aboveAverage="0" equalAverage="0" bottom="0" percent="0" rank="0" text="" dxfId="4">
      <formula>A17=1</formula>
    </cfRule>
  </conditionalFormatting>
  <conditionalFormatting sqref="A28:A33">
    <cfRule type="expression" priority="4" aboveAverage="0" equalAverage="0" bottom="0" percent="0" rank="0" text="" dxfId="4">
      <formula>A28=1</formula>
    </cfRule>
  </conditionalFormatting>
  <conditionalFormatting sqref="A37:A46">
    <cfRule type="expression" priority="5" aboveAverage="0" equalAverage="0" bottom="0" percent="0" rank="0" text="" dxfId="4">
      <formula>A37=1</formula>
    </cfRule>
  </conditionalFormatting>
  <conditionalFormatting sqref="A50:A57">
    <cfRule type="expression" priority="6" aboveAverage="0" equalAverage="0" bottom="0" percent="0" rank="0" text="" dxfId="4">
      <formula>A50=1</formula>
    </cfRule>
  </conditionalFormatting>
  <conditionalFormatting sqref="A62:A69">
    <cfRule type="expression" priority="7" aboveAverage="0" equalAverage="0" bottom="0" percent="0" rank="0" text="" dxfId="4">
      <formula>A62=1</formula>
    </cfRule>
  </conditionalFormatting>
  <conditionalFormatting sqref="A73:A80">
    <cfRule type="expression" priority="8" aboveAverage="0" equalAverage="0" bottom="0" percent="0" rank="0" text="" dxfId="4">
      <formula>A73=1</formula>
    </cfRule>
  </conditionalFormatting>
  <conditionalFormatting sqref="A84:A89">
    <cfRule type="expression" priority="9" aboveAverage="0" equalAverage="0" bottom="0" percent="0" rank="0" text="" dxfId="4">
      <formula>A84=1</formula>
    </cfRule>
  </conditionalFormatting>
  <conditionalFormatting sqref="A93:A102">
    <cfRule type="expression" priority="10" aboveAverage="0" equalAverage="0" bottom="0" percent="0" rank="0" text="" dxfId="4">
      <formula>A93=1</formula>
    </cfRule>
  </conditionalFormatting>
  <conditionalFormatting sqref="A106:A113">
    <cfRule type="expression" priority="11" aboveAverage="0" equalAverage="0" bottom="0" percent="0" rank="0" text="" dxfId="4">
      <formula>A106=1</formula>
    </cfRule>
  </conditionalFormatting>
  <dataValidations count="10">
    <dataValidation allowBlank="true" errorStyle="stop" operator="between" showDropDown="false" showErrorMessage="false" showInputMessage="false" sqref="A6:A13" type="list">
      <formula1>TrueFalse</formula1>
      <formula2>0</formula2>
    </dataValidation>
    <dataValidation allowBlank="true" errorStyle="stop" operator="between" showDropDown="false" showErrorMessage="false" showInputMessage="false" sqref="A17:A24" type="list">
      <formula1>TrueFalse</formula1>
      <formula2>0</formula2>
    </dataValidation>
    <dataValidation allowBlank="true" errorStyle="stop" operator="between" showDropDown="false" showErrorMessage="false" showInputMessage="false" sqref="A28:A33" type="list">
      <formula1>TrueFalse</formula1>
      <formula2>0</formula2>
    </dataValidation>
    <dataValidation allowBlank="true" errorStyle="stop" operator="between" showDropDown="false" showErrorMessage="false" showInputMessage="false" sqref="A37:A46" type="list">
      <formula1>TrueFalse</formula1>
      <formula2>0</formula2>
    </dataValidation>
    <dataValidation allowBlank="true" errorStyle="stop" operator="between" showDropDown="false" showErrorMessage="false" showInputMessage="false" sqref="A50:A57" type="list">
      <formula1>TrueFalse</formula1>
      <formula2>0</formula2>
    </dataValidation>
    <dataValidation allowBlank="true" errorStyle="stop" operator="between" showDropDown="false" showErrorMessage="false" showInputMessage="false" sqref="A62:A69" type="list">
      <formula1>TrueFalse</formula1>
      <formula2>0</formula2>
    </dataValidation>
    <dataValidation allowBlank="true" errorStyle="stop" operator="between" showDropDown="false" showErrorMessage="false" showInputMessage="false" sqref="A73:A80" type="list">
      <formula1>TrueFalse</formula1>
      <formula2>0</formula2>
    </dataValidation>
    <dataValidation allowBlank="true" errorStyle="stop" operator="between" showDropDown="false" showErrorMessage="false" showInputMessage="false" sqref="A84:A89" type="list">
      <formula1>TrueFalse</formula1>
      <formula2>0</formula2>
    </dataValidation>
    <dataValidation allowBlank="true" errorStyle="stop" operator="between" showDropDown="false" showErrorMessage="false" showInputMessage="false" sqref="A93:A102" type="list">
      <formula1>TrueFalse</formula1>
      <formula2>0</formula2>
    </dataValidation>
    <dataValidation allowBlank="true" errorStyle="stop" operator="between" showDropDown="false" showErrorMessage="false" showInputMessage="false" sqref="A106:A113" type="list">
      <formula1>TrueFalse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D9DE"/>
    <pageSetUpPr fitToPage="false"/>
  </sheetPr>
  <dimension ref="A1:O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27.75" hidden="false" customHeight="true" outlineLevel="0" collapsed="false">
      <c r="A1" s="89" t="s">
        <v>1353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3" customFormat="false" ht="15" hidden="false" customHeight="false" outlineLevel="0" collapsed="false">
      <c r="A3" s="19" t="s">
        <v>1354</v>
      </c>
      <c r="B3" s="19"/>
      <c r="C3" s="19" t="s">
        <v>1355</v>
      </c>
      <c r="D3" s="19"/>
      <c r="E3" s="19" t="s">
        <v>1356</v>
      </c>
      <c r="F3" s="19"/>
      <c r="G3" s="19" t="s">
        <v>1357</v>
      </c>
      <c r="H3" s="19"/>
      <c r="I3" s="19" t="s">
        <v>1358</v>
      </c>
      <c r="J3" s="19"/>
      <c r="K3" s="19" t="s">
        <v>1359</v>
      </c>
      <c r="L3" s="19"/>
      <c r="N3" s="16" t="s">
        <v>1360</v>
      </c>
      <c r="O3" s="16" t="s">
        <v>77</v>
      </c>
    </row>
    <row r="4" customFormat="false" ht="18.55" hidden="false" customHeight="false" outlineLevel="0" collapsed="false">
      <c r="A4" s="90" t="n">
        <f aca="false">COUNTA(A7:A206)</f>
        <v>6</v>
      </c>
      <c r="B4" s="90"/>
      <c r="C4" s="90" t="n">
        <f aca="false">COUNTIFS(D7:D206,TRUE())</f>
        <v>6</v>
      </c>
      <c r="D4" s="90"/>
      <c r="E4" s="90" t="n">
        <f aca="false">COUNTIFS(E7:E206,TRUE())</f>
        <v>6</v>
      </c>
      <c r="F4" s="90"/>
      <c r="G4" s="90" t="n">
        <f aca="false">COUNTIFS(F7:F206,"Yes")</f>
        <v>2</v>
      </c>
      <c r="H4" s="90"/>
      <c r="I4" s="91" t="n">
        <f aca="false">'Get Started'!$C$4-30</f>
        <v>46522</v>
      </c>
      <c r="J4" s="91"/>
      <c r="K4" s="90" t="n">
        <f aca="true">I4-TODAY()</f>
        <v>270</v>
      </c>
      <c r="L4" s="90"/>
      <c r="N4" s="17" t="s">
        <v>64</v>
      </c>
      <c r="O4" s="17" t="n">
        <f aca="false">COUNTIFS($B$7:$B$206,N4)</f>
        <v>2</v>
      </c>
    </row>
    <row r="5" customFormat="false" ht="15" hidden="false" customHeight="false" outlineLevel="0" collapsed="false">
      <c r="N5" s="0" t="s">
        <v>65</v>
      </c>
      <c r="O5" s="0" t="n">
        <f aca="false">COUNTIFS($B$7:$B$206,N5)</f>
        <v>2</v>
      </c>
    </row>
    <row r="6" customFormat="false" ht="19.5" hidden="false" customHeight="true" outlineLevel="0" collapsed="false">
      <c r="A6" s="66" t="s">
        <v>1246</v>
      </c>
      <c r="B6" s="66" t="s">
        <v>1361</v>
      </c>
      <c r="C6" s="66" t="s">
        <v>1362</v>
      </c>
      <c r="D6" s="66" t="s">
        <v>1363</v>
      </c>
      <c r="E6" s="66" t="s">
        <v>1364</v>
      </c>
      <c r="F6" s="66" t="s">
        <v>1365</v>
      </c>
      <c r="G6" s="66" t="s">
        <v>1366</v>
      </c>
      <c r="H6" s="66" t="s">
        <v>1304</v>
      </c>
      <c r="I6" s="66" t="s">
        <v>1247</v>
      </c>
      <c r="J6" s="66" t="s">
        <v>1248</v>
      </c>
      <c r="K6" s="66" t="s">
        <v>1367</v>
      </c>
      <c r="N6" s="17" t="s">
        <v>66</v>
      </c>
      <c r="O6" s="17" t="n">
        <f aca="false">COUNTIFS($B$7:$B$206,N6)</f>
        <v>2</v>
      </c>
    </row>
    <row r="7" customFormat="false" ht="15" hidden="false" customHeight="false" outlineLevel="0" collapsed="false">
      <c r="A7" s="45" t="s">
        <v>1368</v>
      </c>
      <c r="B7" s="45" t="s">
        <v>64</v>
      </c>
      <c r="C7" s="55" t="n">
        <f aca="false">FALSE()</f>
        <v>0</v>
      </c>
      <c r="D7" s="55" t="n">
        <f aca="false">TRUE()</f>
        <v>1</v>
      </c>
      <c r="E7" s="55" t="n">
        <f aca="false">TRUE()</f>
        <v>1</v>
      </c>
      <c r="F7" s="45" t="s">
        <v>1252</v>
      </c>
      <c r="G7" s="45" t="s">
        <v>1369</v>
      </c>
      <c r="H7" s="55" t="n">
        <f aca="false">FALSE()</f>
        <v>0</v>
      </c>
      <c r="I7" s="45"/>
      <c r="J7" s="45"/>
      <c r="K7" s="45"/>
    </row>
    <row r="8" customFormat="false" ht="15" hidden="false" customHeight="false" outlineLevel="0" collapsed="false">
      <c r="A8" s="47" t="s">
        <v>1370</v>
      </c>
      <c r="B8" s="47" t="s">
        <v>65</v>
      </c>
      <c r="C8" s="53" t="n">
        <f aca="false">FALSE()</f>
        <v>0</v>
      </c>
      <c r="D8" s="53" t="n">
        <f aca="false">TRUE()</f>
        <v>1</v>
      </c>
      <c r="E8" s="53" t="n">
        <f aca="false">TRUE()</f>
        <v>1</v>
      </c>
      <c r="F8" s="47" t="s">
        <v>1266</v>
      </c>
      <c r="G8" s="47" t="s">
        <v>1371</v>
      </c>
      <c r="H8" s="53" t="n">
        <f aca="false">FALSE()</f>
        <v>0</v>
      </c>
      <c r="I8" s="47"/>
      <c r="J8" s="47"/>
      <c r="K8" s="47"/>
      <c r="N8" s="16" t="s">
        <v>1372</v>
      </c>
      <c r="O8" s="16" t="s">
        <v>77</v>
      </c>
    </row>
    <row r="9" customFormat="false" ht="15" hidden="false" customHeight="false" outlineLevel="0" collapsed="false">
      <c r="A9" s="45" t="s">
        <v>1373</v>
      </c>
      <c r="B9" s="45" t="s">
        <v>66</v>
      </c>
      <c r="C9" s="55" t="n">
        <f aca="false">FALSE()</f>
        <v>0</v>
      </c>
      <c r="D9" s="55" t="n">
        <f aca="false">TRUE()</f>
        <v>1</v>
      </c>
      <c r="E9" s="55" t="n">
        <f aca="false">TRUE()</f>
        <v>1</v>
      </c>
      <c r="F9" s="45" t="s">
        <v>1374</v>
      </c>
      <c r="G9" s="45" t="s">
        <v>1375</v>
      </c>
      <c r="H9" s="55" t="n">
        <f aca="false">FALSE()</f>
        <v>0</v>
      </c>
      <c r="I9" s="45"/>
      <c r="J9" s="45"/>
      <c r="K9" s="45"/>
      <c r="N9" s="17" t="s">
        <v>1369</v>
      </c>
      <c r="O9" s="17" t="n">
        <f aca="false">COUNTIFS($G$7:$G$206,N9)</f>
        <v>1</v>
      </c>
    </row>
    <row r="10" customFormat="false" ht="15" hidden="false" customHeight="false" outlineLevel="0" collapsed="false">
      <c r="A10" s="47" t="s">
        <v>1376</v>
      </c>
      <c r="B10" s="47" t="s">
        <v>64</v>
      </c>
      <c r="C10" s="53" t="n">
        <f aca="false">FALSE()</f>
        <v>0</v>
      </c>
      <c r="D10" s="53" t="n">
        <f aca="false">TRUE()</f>
        <v>1</v>
      </c>
      <c r="E10" s="53" t="n">
        <f aca="false">TRUE()</f>
        <v>1</v>
      </c>
      <c r="F10" s="47" t="s">
        <v>1252</v>
      </c>
      <c r="G10" s="47" t="s">
        <v>1377</v>
      </c>
      <c r="H10" s="53" t="n">
        <f aca="false">FALSE()</f>
        <v>0</v>
      </c>
      <c r="I10" s="47"/>
      <c r="J10" s="47"/>
      <c r="K10" s="47"/>
      <c r="N10" s="17" t="s">
        <v>1371</v>
      </c>
      <c r="O10" s="17" t="n">
        <f aca="false">COUNTIFS($G$7:$G$206,N10)</f>
        <v>1</v>
      </c>
    </row>
    <row r="11" customFormat="false" ht="15" hidden="false" customHeight="false" outlineLevel="0" collapsed="false">
      <c r="A11" s="45" t="s">
        <v>1378</v>
      </c>
      <c r="B11" s="45" t="s">
        <v>65</v>
      </c>
      <c r="C11" s="55" t="n">
        <f aca="false">FALSE()</f>
        <v>0</v>
      </c>
      <c r="D11" s="55" t="n">
        <f aca="false">TRUE()</f>
        <v>1</v>
      </c>
      <c r="E11" s="55" t="n">
        <f aca="false">TRUE()</f>
        <v>1</v>
      </c>
      <c r="F11" s="45" t="s">
        <v>1266</v>
      </c>
      <c r="G11" s="45" t="s">
        <v>1379</v>
      </c>
      <c r="H11" s="55" t="n">
        <f aca="false">FALSE()</f>
        <v>0</v>
      </c>
      <c r="I11" s="45"/>
      <c r="J11" s="45"/>
      <c r="K11" s="45"/>
      <c r="N11" s="17" t="s">
        <v>1375</v>
      </c>
      <c r="O11" s="17" t="n">
        <f aca="false">COUNTIFS($G$7:$G$206,N11)</f>
        <v>1</v>
      </c>
    </row>
    <row r="12" customFormat="false" ht="15" hidden="false" customHeight="false" outlineLevel="0" collapsed="false">
      <c r="A12" s="47" t="s">
        <v>1380</v>
      </c>
      <c r="B12" s="47" t="s">
        <v>66</v>
      </c>
      <c r="C12" s="53" t="n">
        <f aca="false">FALSE()</f>
        <v>0</v>
      </c>
      <c r="D12" s="53" t="n">
        <f aca="false">TRUE()</f>
        <v>1</v>
      </c>
      <c r="E12" s="53" t="n">
        <f aca="false">TRUE()</f>
        <v>1</v>
      </c>
      <c r="F12" s="47" t="s">
        <v>1374</v>
      </c>
      <c r="G12" s="47" t="s">
        <v>1381</v>
      </c>
      <c r="H12" s="53" t="n">
        <f aca="false">FALSE()</f>
        <v>0</v>
      </c>
      <c r="I12" s="47"/>
      <c r="J12" s="47"/>
      <c r="K12" s="47"/>
      <c r="N12" s="17" t="s">
        <v>1377</v>
      </c>
      <c r="O12" s="17" t="n">
        <f aca="false">COUNTIFS($G$7:$G$206,N12)</f>
        <v>1</v>
      </c>
    </row>
    <row r="13" customFormat="false" ht="15" hidden="false" customHeight="false" outlineLevel="0" collapsed="false">
      <c r="A13" s="45"/>
      <c r="B13" s="45"/>
      <c r="C13" s="55" t="n">
        <f aca="false">FALSE()</f>
        <v>0</v>
      </c>
      <c r="D13" s="55" t="n">
        <f aca="false">FALSE()</f>
        <v>0</v>
      </c>
      <c r="E13" s="55" t="n">
        <f aca="false">FALSE()</f>
        <v>0</v>
      </c>
      <c r="F13" s="45"/>
      <c r="G13" s="45"/>
      <c r="H13" s="55" t="n">
        <f aca="false">FALSE()</f>
        <v>0</v>
      </c>
      <c r="I13" s="45"/>
      <c r="J13" s="45"/>
      <c r="K13" s="45"/>
      <c r="N13" s="17" t="s">
        <v>1379</v>
      </c>
      <c r="O13" s="17" t="n">
        <f aca="false">COUNTIFS($G$7:$G$206,N13)</f>
        <v>1</v>
      </c>
    </row>
    <row r="14" customFormat="false" ht="15" hidden="false" customHeight="false" outlineLevel="0" collapsed="false">
      <c r="A14" s="47"/>
      <c r="B14" s="47"/>
      <c r="C14" s="53" t="n">
        <f aca="false">FALSE()</f>
        <v>0</v>
      </c>
      <c r="D14" s="53" t="n">
        <f aca="false">FALSE()</f>
        <v>0</v>
      </c>
      <c r="E14" s="53" t="n">
        <f aca="false">FALSE()</f>
        <v>0</v>
      </c>
      <c r="F14" s="47"/>
      <c r="G14" s="47"/>
      <c r="H14" s="53" t="n">
        <f aca="false">FALSE()</f>
        <v>0</v>
      </c>
      <c r="I14" s="47"/>
      <c r="J14" s="47"/>
      <c r="K14" s="47"/>
      <c r="N14" s="17" t="s">
        <v>1381</v>
      </c>
      <c r="O14" s="17" t="n">
        <f aca="false">COUNTIFS($G$7:$G$206,N14)</f>
        <v>1</v>
      </c>
    </row>
    <row r="15" customFormat="false" ht="15" hidden="false" customHeight="false" outlineLevel="0" collapsed="false">
      <c r="A15" s="45"/>
      <c r="B15" s="45"/>
      <c r="C15" s="55" t="n">
        <f aca="false">FALSE()</f>
        <v>0</v>
      </c>
      <c r="D15" s="55" t="n">
        <f aca="false">FALSE()</f>
        <v>0</v>
      </c>
      <c r="E15" s="55" t="n">
        <f aca="false">FALSE()</f>
        <v>0</v>
      </c>
      <c r="F15" s="45"/>
      <c r="G15" s="45"/>
      <c r="H15" s="55" t="n">
        <f aca="false">FALSE()</f>
        <v>0</v>
      </c>
      <c r="I15" s="45"/>
      <c r="J15" s="45"/>
      <c r="K15" s="45"/>
      <c r="N15" s="17" t="s">
        <v>1382</v>
      </c>
      <c r="O15" s="17" t="n">
        <f aca="false">COUNTIFS($G$7:$G$206,N15)</f>
        <v>0</v>
      </c>
    </row>
    <row r="16" customFormat="false" ht="15" hidden="false" customHeight="false" outlineLevel="0" collapsed="false">
      <c r="A16" s="47"/>
      <c r="B16" s="47"/>
      <c r="C16" s="53" t="n">
        <f aca="false">FALSE()</f>
        <v>0</v>
      </c>
      <c r="D16" s="53" t="n">
        <f aca="false">FALSE()</f>
        <v>0</v>
      </c>
      <c r="E16" s="53" t="n">
        <f aca="false">FALSE()</f>
        <v>0</v>
      </c>
      <c r="F16" s="47"/>
      <c r="G16" s="47"/>
      <c r="H16" s="53" t="n">
        <f aca="false">FALSE()</f>
        <v>0</v>
      </c>
      <c r="I16" s="47"/>
      <c r="J16" s="47"/>
      <c r="K16" s="47"/>
    </row>
    <row r="17" customFormat="false" ht="15" hidden="false" customHeight="false" outlineLevel="0" collapsed="false">
      <c r="A17" s="45"/>
      <c r="B17" s="45"/>
      <c r="C17" s="55" t="n">
        <f aca="false">FALSE()</f>
        <v>0</v>
      </c>
      <c r="D17" s="55" t="n">
        <f aca="false">FALSE()</f>
        <v>0</v>
      </c>
      <c r="E17" s="55" t="n">
        <f aca="false">FALSE()</f>
        <v>0</v>
      </c>
      <c r="F17" s="45"/>
      <c r="G17" s="45"/>
      <c r="H17" s="55" t="n">
        <f aca="false">FALSE()</f>
        <v>0</v>
      </c>
      <c r="I17" s="45"/>
      <c r="J17" s="45"/>
      <c r="K17" s="45"/>
    </row>
    <row r="18" customFormat="false" ht="15" hidden="false" customHeight="false" outlineLevel="0" collapsed="false">
      <c r="A18" s="47"/>
      <c r="B18" s="47"/>
      <c r="C18" s="53" t="n">
        <f aca="false">FALSE()</f>
        <v>0</v>
      </c>
      <c r="D18" s="53" t="n">
        <f aca="false">FALSE()</f>
        <v>0</v>
      </c>
      <c r="E18" s="53" t="n">
        <f aca="false">FALSE()</f>
        <v>0</v>
      </c>
      <c r="F18" s="47"/>
      <c r="G18" s="47"/>
      <c r="H18" s="53" t="n">
        <f aca="false">FALSE()</f>
        <v>0</v>
      </c>
      <c r="I18" s="47"/>
      <c r="J18" s="47"/>
      <c r="K18" s="47"/>
    </row>
    <row r="19" customFormat="false" ht="15" hidden="false" customHeight="false" outlineLevel="0" collapsed="false">
      <c r="A19" s="45"/>
      <c r="B19" s="45"/>
      <c r="C19" s="55" t="n">
        <f aca="false">FALSE()</f>
        <v>0</v>
      </c>
      <c r="D19" s="55" t="n">
        <f aca="false">FALSE()</f>
        <v>0</v>
      </c>
      <c r="E19" s="55" t="n">
        <f aca="false">FALSE()</f>
        <v>0</v>
      </c>
      <c r="F19" s="45"/>
      <c r="G19" s="45"/>
      <c r="H19" s="55" t="n">
        <f aca="false">FALSE()</f>
        <v>0</v>
      </c>
      <c r="I19" s="45"/>
      <c r="J19" s="45"/>
      <c r="K19" s="45"/>
    </row>
    <row r="20" customFormat="false" ht="15" hidden="false" customHeight="false" outlineLevel="0" collapsed="false">
      <c r="A20" s="47"/>
      <c r="B20" s="47"/>
      <c r="C20" s="53" t="n">
        <f aca="false">FALSE()</f>
        <v>0</v>
      </c>
      <c r="D20" s="53" t="n">
        <f aca="false">FALSE()</f>
        <v>0</v>
      </c>
      <c r="E20" s="53" t="n">
        <f aca="false">FALSE()</f>
        <v>0</v>
      </c>
      <c r="F20" s="47"/>
      <c r="G20" s="47"/>
      <c r="H20" s="53" t="n">
        <f aca="false">FALSE()</f>
        <v>0</v>
      </c>
      <c r="I20" s="47"/>
      <c r="J20" s="47"/>
      <c r="K20" s="47"/>
    </row>
    <row r="21" customFormat="false" ht="15" hidden="false" customHeight="false" outlineLevel="0" collapsed="false">
      <c r="A21" s="45"/>
      <c r="B21" s="45"/>
      <c r="C21" s="55" t="n">
        <f aca="false">FALSE()</f>
        <v>0</v>
      </c>
      <c r="D21" s="55" t="n">
        <f aca="false">FALSE()</f>
        <v>0</v>
      </c>
      <c r="E21" s="55" t="n">
        <f aca="false">FALSE()</f>
        <v>0</v>
      </c>
      <c r="F21" s="45"/>
      <c r="G21" s="45"/>
      <c r="H21" s="55" t="n">
        <f aca="false">FALSE()</f>
        <v>0</v>
      </c>
      <c r="I21" s="45"/>
      <c r="J21" s="45"/>
      <c r="K21" s="45"/>
    </row>
    <row r="22" customFormat="false" ht="15" hidden="false" customHeight="false" outlineLevel="0" collapsed="false">
      <c r="A22" s="47"/>
      <c r="B22" s="47"/>
      <c r="C22" s="53" t="n">
        <f aca="false">FALSE()</f>
        <v>0</v>
      </c>
      <c r="D22" s="53" t="n">
        <f aca="false">FALSE()</f>
        <v>0</v>
      </c>
      <c r="E22" s="53" t="n">
        <f aca="false">FALSE()</f>
        <v>0</v>
      </c>
      <c r="F22" s="47"/>
      <c r="G22" s="47"/>
      <c r="H22" s="53" t="n">
        <f aca="false">FALSE()</f>
        <v>0</v>
      </c>
      <c r="I22" s="47"/>
      <c r="J22" s="47"/>
      <c r="K22" s="47"/>
    </row>
    <row r="23" customFormat="false" ht="15" hidden="false" customHeight="false" outlineLevel="0" collapsed="false">
      <c r="A23" s="45"/>
      <c r="B23" s="45"/>
      <c r="C23" s="55" t="n">
        <f aca="false">FALSE()</f>
        <v>0</v>
      </c>
      <c r="D23" s="55" t="n">
        <f aca="false">FALSE()</f>
        <v>0</v>
      </c>
      <c r="E23" s="55" t="n">
        <f aca="false">FALSE()</f>
        <v>0</v>
      </c>
      <c r="F23" s="45"/>
      <c r="G23" s="45"/>
      <c r="H23" s="55" t="n">
        <f aca="false">FALSE()</f>
        <v>0</v>
      </c>
      <c r="I23" s="45"/>
      <c r="J23" s="45"/>
      <c r="K23" s="45"/>
    </row>
    <row r="24" customFormat="false" ht="15" hidden="false" customHeight="false" outlineLevel="0" collapsed="false">
      <c r="A24" s="47"/>
      <c r="B24" s="47"/>
      <c r="C24" s="53" t="n">
        <f aca="false">FALSE()</f>
        <v>0</v>
      </c>
      <c r="D24" s="53" t="n">
        <f aca="false">FALSE()</f>
        <v>0</v>
      </c>
      <c r="E24" s="53" t="n">
        <f aca="false">FALSE()</f>
        <v>0</v>
      </c>
      <c r="F24" s="47"/>
      <c r="G24" s="47"/>
      <c r="H24" s="53" t="n">
        <f aca="false">FALSE()</f>
        <v>0</v>
      </c>
      <c r="I24" s="47"/>
      <c r="J24" s="47"/>
      <c r="K24" s="47"/>
    </row>
    <row r="25" customFormat="false" ht="15" hidden="false" customHeight="false" outlineLevel="0" collapsed="false">
      <c r="A25" s="45"/>
      <c r="B25" s="45"/>
      <c r="C25" s="55" t="n">
        <f aca="false">FALSE()</f>
        <v>0</v>
      </c>
      <c r="D25" s="55" t="n">
        <f aca="false">FALSE()</f>
        <v>0</v>
      </c>
      <c r="E25" s="55" t="n">
        <f aca="false">FALSE()</f>
        <v>0</v>
      </c>
      <c r="F25" s="45"/>
      <c r="G25" s="45"/>
      <c r="H25" s="55" t="n">
        <f aca="false">FALSE()</f>
        <v>0</v>
      </c>
      <c r="I25" s="45"/>
      <c r="J25" s="45"/>
      <c r="K25" s="45"/>
    </row>
    <row r="26" customFormat="false" ht="15" hidden="false" customHeight="false" outlineLevel="0" collapsed="false">
      <c r="A26" s="47"/>
      <c r="B26" s="47"/>
      <c r="C26" s="53" t="n">
        <f aca="false">FALSE()</f>
        <v>0</v>
      </c>
      <c r="D26" s="53" t="n">
        <f aca="false">FALSE()</f>
        <v>0</v>
      </c>
      <c r="E26" s="53" t="n">
        <f aca="false">FALSE()</f>
        <v>0</v>
      </c>
      <c r="F26" s="47"/>
      <c r="G26" s="47"/>
      <c r="H26" s="53" t="n">
        <f aca="false">FALSE()</f>
        <v>0</v>
      </c>
      <c r="I26" s="47"/>
      <c r="J26" s="47"/>
      <c r="K26" s="47"/>
    </row>
    <row r="27" customFormat="false" ht="15" hidden="false" customHeight="false" outlineLevel="0" collapsed="false">
      <c r="A27" s="45"/>
      <c r="B27" s="45"/>
      <c r="C27" s="55" t="n">
        <f aca="false">FALSE()</f>
        <v>0</v>
      </c>
      <c r="D27" s="55" t="n">
        <f aca="false">FALSE()</f>
        <v>0</v>
      </c>
      <c r="E27" s="55" t="n">
        <f aca="false">FALSE()</f>
        <v>0</v>
      </c>
      <c r="F27" s="45"/>
      <c r="G27" s="45"/>
      <c r="H27" s="55" t="n">
        <f aca="false">FALSE()</f>
        <v>0</v>
      </c>
      <c r="I27" s="45"/>
      <c r="J27" s="45"/>
      <c r="K27" s="45"/>
    </row>
    <row r="28" customFormat="false" ht="15" hidden="false" customHeight="false" outlineLevel="0" collapsed="false">
      <c r="A28" s="47"/>
      <c r="B28" s="47"/>
      <c r="C28" s="53" t="n">
        <f aca="false">FALSE()</f>
        <v>0</v>
      </c>
      <c r="D28" s="53" t="n">
        <f aca="false">FALSE()</f>
        <v>0</v>
      </c>
      <c r="E28" s="53" t="n">
        <f aca="false">FALSE()</f>
        <v>0</v>
      </c>
      <c r="F28" s="47"/>
      <c r="G28" s="47"/>
      <c r="H28" s="53" t="n">
        <f aca="false">FALSE()</f>
        <v>0</v>
      </c>
      <c r="I28" s="47"/>
      <c r="J28" s="47"/>
      <c r="K28" s="47"/>
    </row>
    <row r="29" customFormat="false" ht="15" hidden="false" customHeight="false" outlineLevel="0" collapsed="false">
      <c r="A29" s="45"/>
      <c r="B29" s="45"/>
      <c r="C29" s="55" t="n">
        <f aca="false">FALSE()</f>
        <v>0</v>
      </c>
      <c r="D29" s="55" t="n">
        <f aca="false">FALSE()</f>
        <v>0</v>
      </c>
      <c r="E29" s="55" t="n">
        <f aca="false">FALSE()</f>
        <v>0</v>
      </c>
      <c r="F29" s="45"/>
      <c r="G29" s="45"/>
      <c r="H29" s="55" t="n">
        <f aca="false">FALSE()</f>
        <v>0</v>
      </c>
      <c r="I29" s="45"/>
      <c r="J29" s="45"/>
      <c r="K29" s="45"/>
    </row>
    <row r="30" customFormat="false" ht="15" hidden="false" customHeight="false" outlineLevel="0" collapsed="false">
      <c r="A30" s="47"/>
      <c r="B30" s="47"/>
      <c r="C30" s="53" t="n">
        <f aca="false">FALSE()</f>
        <v>0</v>
      </c>
      <c r="D30" s="53" t="n">
        <f aca="false">FALSE()</f>
        <v>0</v>
      </c>
      <c r="E30" s="53" t="n">
        <f aca="false">FALSE()</f>
        <v>0</v>
      </c>
      <c r="F30" s="47"/>
      <c r="G30" s="47"/>
      <c r="H30" s="53" t="n">
        <f aca="false">FALSE()</f>
        <v>0</v>
      </c>
      <c r="I30" s="47"/>
      <c r="J30" s="47"/>
      <c r="K30" s="47"/>
    </row>
    <row r="31" customFormat="false" ht="15" hidden="false" customHeight="false" outlineLevel="0" collapsed="false">
      <c r="A31" s="45"/>
      <c r="B31" s="45"/>
      <c r="C31" s="55" t="n">
        <f aca="false">FALSE()</f>
        <v>0</v>
      </c>
      <c r="D31" s="55" t="n">
        <f aca="false">FALSE()</f>
        <v>0</v>
      </c>
      <c r="E31" s="55" t="n">
        <f aca="false">FALSE()</f>
        <v>0</v>
      </c>
      <c r="F31" s="45"/>
      <c r="G31" s="45"/>
      <c r="H31" s="55" t="n">
        <f aca="false">FALSE()</f>
        <v>0</v>
      </c>
      <c r="I31" s="45"/>
      <c r="J31" s="45"/>
      <c r="K31" s="45"/>
    </row>
    <row r="32" customFormat="false" ht="15" hidden="false" customHeight="false" outlineLevel="0" collapsed="false">
      <c r="A32" s="47"/>
      <c r="B32" s="47"/>
      <c r="C32" s="53" t="n">
        <f aca="false">FALSE()</f>
        <v>0</v>
      </c>
      <c r="D32" s="53" t="n">
        <f aca="false">FALSE()</f>
        <v>0</v>
      </c>
      <c r="E32" s="53" t="n">
        <f aca="false">FALSE()</f>
        <v>0</v>
      </c>
      <c r="F32" s="47"/>
      <c r="G32" s="47"/>
      <c r="H32" s="53" t="n">
        <f aca="false">FALSE()</f>
        <v>0</v>
      </c>
      <c r="I32" s="47"/>
      <c r="J32" s="47"/>
      <c r="K32" s="47"/>
    </row>
    <row r="33" customFormat="false" ht="15" hidden="false" customHeight="false" outlineLevel="0" collapsed="false">
      <c r="A33" s="45"/>
      <c r="B33" s="45"/>
      <c r="C33" s="55" t="n">
        <f aca="false">FALSE()</f>
        <v>0</v>
      </c>
      <c r="D33" s="55" t="n">
        <f aca="false">FALSE()</f>
        <v>0</v>
      </c>
      <c r="E33" s="55" t="n">
        <f aca="false">FALSE()</f>
        <v>0</v>
      </c>
      <c r="F33" s="45"/>
      <c r="G33" s="45"/>
      <c r="H33" s="55" t="n">
        <f aca="false">FALSE()</f>
        <v>0</v>
      </c>
      <c r="I33" s="45"/>
      <c r="J33" s="45"/>
      <c r="K33" s="45"/>
    </row>
    <row r="34" customFormat="false" ht="15" hidden="false" customHeight="false" outlineLevel="0" collapsed="false">
      <c r="A34" s="47"/>
      <c r="B34" s="47"/>
      <c r="C34" s="53" t="n">
        <f aca="false">FALSE()</f>
        <v>0</v>
      </c>
      <c r="D34" s="53" t="n">
        <f aca="false">FALSE()</f>
        <v>0</v>
      </c>
      <c r="E34" s="53" t="n">
        <f aca="false">FALSE()</f>
        <v>0</v>
      </c>
      <c r="F34" s="47"/>
      <c r="G34" s="47"/>
      <c r="H34" s="53" t="n">
        <f aca="false">FALSE()</f>
        <v>0</v>
      </c>
      <c r="I34" s="47"/>
      <c r="J34" s="47"/>
      <c r="K34" s="47"/>
    </row>
    <row r="35" customFormat="false" ht="15" hidden="false" customHeight="false" outlineLevel="0" collapsed="false">
      <c r="A35" s="45"/>
      <c r="B35" s="45"/>
      <c r="C35" s="55" t="n">
        <f aca="false">FALSE()</f>
        <v>0</v>
      </c>
      <c r="D35" s="55" t="n">
        <f aca="false">FALSE()</f>
        <v>0</v>
      </c>
      <c r="E35" s="55" t="n">
        <f aca="false">FALSE()</f>
        <v>0</v>
      </c>
      <c r="F35" s="45"/>
      <c r="G35" s="45"/>
      <c r="H35" s="55" t="n">
        <f aca="false">FALSE()</f>
        <v>0</v>
      </c>
      <c r="I35" s="45"/>
      <c r="J35" s="45"/>
      <c r="K35" s="45"/>
    </row>
    <row r="36" customFormat="false" ht="15" hidden="false" customHeight="false" outlineLevel="0" collapsed="false">
      <c r="A36" s="47"/>
      <c r="B36" s="47"/>
      <c r="C36" s="53" t="n">
        <f aca="false">FALSE()</f>
        <v>0</v>
      </c>
      <c r="D36" s="53" t="n">
        <f aca="false">FALSE()</f>
        <v>0</v>
      </c>
      <c r="E36" s="53" t="n">
        <f aca="false">FALSE()</f>
        <v>0</v>
      </c>
      <c r="F36" s="47"/>
      <c r="G36" s="47"/>
      <c r="H36" s="53" t="n">
        <f aca="false">FALSE()</f>
        <v>0</v>
      </c>
      <c r="I36" s="47"/>
      <c r="J36" s="47"/>
      <c r="K36" s="47"/>
    </row>
    <row r="37" customFormat="false" ht="15" hidden="false" customHeight="false" outlineLevel="0" collapsed="false">
      <c r="A37" s="45"/>
      <c r="B37" s="45"/>
      <c r="C37" s="55" t="n">
        <f aca="false">FALSE()</f>
        <v>0</v>
      </c>
      <c r="D37" s="55" t="n">
        <f aca="false">FALSE()</f>
        <v>0</v>
      </c>
      <c r="E37" s="55" t="n">
        <f aca="false">FALSE()</f>
        <v>0</v>
      </c>
      <c r="F37" s="45"/>
      <c r="G37" s="45"/>
      <c r="H37" s="55" t="n">
        <f aca="false">FALSE()</f>
        <v>0</v>
      </c>
      <c r="I37" s="45"/>
      <c r="J37" s="45"/>
      <c r="K37" s="45"/>
    </row>
    <row r="38" customFormat="false" ht="15" hidden="false" customHeight="false" outlineLevel="0" collapsed="false">
      <c r="A38" s="47"/>
      <c r="B38" s="47"/>
      <c r="C38" s="53" t="n">
        <f aca="false">FALSE()</f>
        <v>0</v>
      </c>
      <c r="D38" s="53" t="n">
        <f aca="false">FALSE()</f>
        <v>0</v>
      </c>
      <c r="E38" s="53" t="n">
        <f aca="false">FALSE()</f>
        <v>0</v>
      </c>
      <c r="F38" s="47"/>
      <c r="G38" s="47"/>
      <c r="H38" s="53" t="n">
        <f aca="false">FALSE()</f>
        <v>0</v>
      </c>
      <c r="I38" s="47"/>
      <c r="J38" s="47"/>
      <c r="K38" s="47"/>
    </row>
    <row r="39" customFormat="false" ht="15" hidden="false" customHeight="false" outlineLevel="0" collapsed="false">
      <c r="A39" s="45"/>
      <c r="B39" s="45"/>
      <c r="C39" s="55" t="n">
        <f aca="false">FALSE()</f>
        <v>0</v>
      </c>
      <c r="D39" s="55" t="n">
        <f aca="false">FALSE()</f>
        <v>0</v>
      </c>
      <c r="E39" s="55" t="n">
        <f aca="false">FALSE()</f>
        <v>0</v>
      </c>
      <c r="F39" s="45"/>
      <c r="G39" s="45"/>
      <c r="H39" s="55" t="n">
        <f aca="false">FALSE()</f>
        <v>0</v>
      </c>
      <c r="I39" s="45"/>
      <c r="J39" s="45"/>
      <c r="K39" s="45"/>
    </row>
    <row r="40" customFormat="false" ht="15" hidden="false" customHeight="false" outlineLevel="0" collapsed="false">
      <c r="A40" s="47"/>
      <c r="B40" s="47"/>
      <c r="C40" s="53" t="n">
        <f aca="false">FALSE()</f>
        <v>0</v>
      </c>
      <c r="D40" s="53" t="n">
        <f aca="false">FALSE()</f>
        <v>0</v>
      </c>
      <c r="E40" s="53" t="n">
        <f aca="false">FALSE()</f>
        <v>0</v>
      </c>
      <c r="F40" s="47"/>
      <c r="G40" s="47"/>
      <c r="H40" s="53" t="n">
        <f aca="false">FALSE()</f>
        <v>0</v>
      </c>
      <c r="I40" s="47"/>
      <c r="J40" s="47"/>
      <c r="K40" s="47"/>
    </row>
    <row r="41" customFormat="false" ht="15" hidden="false" customHeight="false" outlineLevel="0" collapsed="false">
      <c r="A41" s="45"/>
      <c r="B41" s="45"/>
      <c r="C41" s="55" t="n">
        <f aca="false">FALSE()</f>
        <v>0</v>
      </c>
      <c r="D41" s="55" t="n">
        <f aca="false">FALSE()</f>
        <v>0</v>
      </c>
      <c r="E41" s="55" t="n">
        <f aca="false">FALSE()</f>
        <v>0</v>
      </c>
      <c r="F41" s="45"/>
      <c r="G41" s="45"/>
      <c r="H41" s="55" t="n">
        <f aca="false">FALSE()</f>
        <v>0</v>
      </c>
      <c r="I41" s="45"/>
      <c r="J41" s="45"/>
      <c r="K41" s="45"/>
    </row>
    <row r="42" customFormat="false" ht="15" hidden="false" customHeight="false" outlineLevel="0" collapsed="false">
      <c r="A42" s="47"/>
      <c r="B42" s="47"/>
      <c r="C42" s="53" t="n">
        <f aca="false">FALSE()</f>
        <v>0</v>
      </c>
      <c r="D42" s="53" t="n">
        <f aca="false">FALSE()</f>
        <v>0</v>
      </c>
      <c r="E42" s="53" t="n">
        <f aca="false">FALSE()</f>
        <v>0</v>
      </c>
      <c r="F42" s="47"/>
      <c r="G42" s="47"/>
      <c r="H42" s="53" t="n">
        <f aca="false">FALSE()</f>
        <v>0</v>
      </c>
      <c r="I42" s="47"/>
      <c r="J42" s="47"/>
      <c r="K42" s="47"/>
    </row>
    <row r="43" customFormat="false" ht="15" hidden="false" customHeight="false" outlineLevel="0" collapsed="false">
      <c r="A43" s="45"/>
      <c r="B43" s="45"/>
      <c r="C43" s="55" t="n">
        <f aca="false">FALSE()</f>
        <v>0</v>
      </c>
      <c r="D43" s="55" t="n">
        <f aca="false">FALSE()</f>
        <v>0</v>
      </c>
      <c r="E43" s="55" t="n">
        <f aca="false">FALSE()</f>
        <v>0</v>
      </c>
      <c r="F43" s="45"/>
      <c r="G43" s="45"/>
      <c r="H43" s="55" t="n">
        <f aca="false">FALSE()</f>
        <v>0</v>
      </c>
      <c r="I43" s="45"/>
      <c r="J43" s="45"/>
      <c r="K43" s="45"/>
    </row>
    <row r="44" customFormat="false" ht="15" hidden="false" customHeight="false" outlineLevel="0" collapsed="false">
      <c r="A44" s="47"/>
      <c r="B44" s="47"/>
      <c r="C44" s="53" t="n">
        <f aca="false">FALSE()</f>
        <v>0</v>
      </c>
      <c r="D44" s="53" t="n">
        <f aca="false">FALSE()</f>
        <v>0</v>
      </c>
      <c r="E44" s="53" t="n">
        <f aca="false">FALSE()</f>
        <v>0</v>
      </c>
      <c r="F44" s="47"/>
      <c r="G44" s="47"/>
      <c r="H44" s="53" t="n">
        <f aca="false">FALSE()</f>
        <v>0</v>
      </c>
      <c r="I44" s="47"/>
      <c r="J44" s="47"/>
      <c r="K44" s="47"/>
    </row>
    <row r="45" customFormat="false" ht="15" hidden="false" customHeight="false" outlineLevel="0" collapsed="false">
      <c r="A45" s="45"/>
      <c r="B45" s="45"/>
      <c r="C45" s="55" t="n">
        <f aca="false">FALSE()</f>
        <v>0</v>
      </c>
      <c r="D45" s="55" t="n">
        <f aca="false">FALSE()</f>
        <v>0</v>
      </c>
      <c r="E45" s="55" t="n">
        <f aca="false">FALSE()</f>
        <v>0</v>
      </c>
      <c r="F45" s="45"/>
      <c r="G45" s="45"/>
      <c r="H45" s="55" t="n">
        <f aca="false">FALSE()</f>
        <v>0</v>
      </c>
      <c r="I45" s="45"/>
      <c r="J45" s="45"/>
      <c r="K45" s="45"/>
    </row>
    <row r="46" customFormat="false" ht="15" hidden="false" customHeight="false" outlineLevel="0" collapsed="false">
      <c r="A46" s="47"/>
      <c r="B46" s="47"/>
      <c r="C46" s="53" t="n">
        <f aca="false">FALSE()</f>
        <v>0</v>
      </c>
      <c r="D46" s="53" t="n">
        <f aca="false">FALSE()</f>
        <v>0</v>
      </c>
      <c r="E46" s="53" t="n">
        <f aca="false">FALSE()</f>
        <v>0</v>
      </c>
      <c r="F46" s="47"/>
      <c r="G46" s="47"/>
      <c r="H46" s="53" t="n">
        <f aca="false">FALSE()</f>
        <v>0</v>
      </c>
      <c r="I46" s="47"/>
      <c r="J46" s="47"/>
      <c r="K46" s="47"/>
    </row>
    <row r="47" customFormat="false" ht="15" hidden="false" customHeight="false" outlineLevel="0" collapsed="false">
      <c r="A47" s="45"/>
      <c r="B47" s="45"/>
      <c r="C47" s="55" t="n">
        <f aca="false">FALSE()</f>
        <v>0</v>
      </c>
      <c r="D47" s="55" t="n">
        <f aca="false">FALSE()</f>
        <v>0</v>
      </c>
      <c r="E47" s="55" t="n">
        <f aca="false">FALSE()</f>
        <v>0</v>
      </c>
      <c r="F47" s="45"/>
      <c r="G47" s="45"/>
      <c r="H47" s="55" t="n">
        <f aca="false">FALSE()</f>
        <v>0</v>
      </c>
      <c r="I47" s="45"/>
      <c r="J47" s="45"/>
      <c r="K47" s="45"/>
    </row>
    <row r="48" customFormat="false" ht="15" hidden="false" customHeight="false" outlineLevel="0" collapsed="false">
      <c r="A48" s="47"/>
      <c r="B48" s="47"/>
      <c r="C48" s="53" t="n">
        <f aca="false">FALSE()</f>
        <v>0</v>
      </c>
      <c r="D48" s="53" t="n">
        <f aca="false">FALSE()</f>
        <v>0</v>
      </c>
      <c r="E48" s="53" t="n">
        <f aca="false">FALSE()</f>
        <v>0</v>
      </c>
      <c r="F48" s="47"/>
      <c r="G48" s="47"/>
      <c r="H48" s="53" t="n">
        <f aca="false">FALSE()</f>
        <v>0</v>
      </c>
      <c r="I48" s="47"/>
      <c r="J48" s="47"/>
      <c r="K48" s="47"/>
    </row>
    <row r="49" customFormat="false" ht="15" hidden="false" customHeight="false" outlineLevel="0" collapsed="false">
      <c r="A49" s="45"/>
      <c r="B49" s="45"/>
      <c r="C49" s="55" t="n">
        <f aca="false">FALSE()</f>
        <v>0</v>
      </c>
      <c r="D49" s="55" t="n">
        <f aca="false">FALSE()</f>
        <v>0</v>
      </c>
      <c r="E49" s="55" t="n">
        <f aca="false">FALSE()</f>
        <v>0</v>
      </c>
      <c r="F49" s="45"/>
      <c r="G49" s="45"/>
      <c r="H49" s="55" t="n">
        <f aca="false">FALSE()</f>
        <v>0</v>
      </c>
      <c r="I49" s="45"/>
      <c r="J49" s="45"/>
      <c r="K49" s="45"/>
    </row>
    <row r="50" customFormat="false" ht="15" hidden="false" customHeight="false" outlineLevel="0" collapsed="false">
      <c r="A50" s="47"/>
      <c r="B50" s="47"/>
      <c r="C50" s="53" t="n">
        <f aca="false">FALSE()</f>
        <v>0</v>
      </c>
      <c r="D50" s="53" t="n">
        <f aca="false">FALSE()</f>
        <v>0</v>
      </c>
      <c r="E50" s="53" t="n">
        <f aca="false">FALSE()</f>
        <v>0</v>
      </c>
      <c r="F50" s="47"/>
      <c r="G50" s="47"/>
      <c r="H50" s="53" t="n">
        <f aca="false">FALSE()</f>
        <v>0</v>
      </c>
      <c r="I50" s="47"/>
      <c r="J50" s="47"/>
      <c r="K50" s="47"/>
    </row>
    <row r="51" customFormat="false" ht="15" hidden="false" customHeight="false" outlineLevel="0" collapsed="false">
      <c r="A51" s="45"/>
      <c r="B51" s="45"/>
      <c r="C51" s="55" t="n">
        <f aca="false">FALSE()</f>
        <v>0</v>
      </c>
      <c r="D51" s="55" t="n">
        <f aca="false">FALSE()</f>
        <v>0</v>
      </c>
      <c r="E51" s="55" t="n">
        <f aca="false">FALSE()</f>
        <v>0</v>
      </c>
      <c r="F51" s="45"/>
      <c r="G51" s="45"/>
      <c r="H51" s="55" t="n">
        <f aca="false">FALSE()</f>
        <v>0</v>
      </c>
      <c r="I51" s="45"/>
      <c r="J51" s="45"/>
      <c r="K51" s="45"/>
    </row>
    <row r="52" customFormat="false" ht="15" hidden="false" customHeight="false" outlineLevel="0" collapsed="false">
      <c r="A52" s="47"/>
      <c r="B52" s="47"/>
      <c r="C52" s="53" t="n">
        <f aca="false">FALSE()</f>
        <v>0</v>
      </c>
      <c r="D52" s="53" t="n">
        <f aca="false">FALSE()</f>
        <v>0</v>
      </c>
      <c r="E52" s="53" t="n">
        <f aca="false">FALSE()</f>
        <v>0</v>
      </c>
      <c r="F52" s="47"/>
      <c r="G52" s="47"/>
      <c r="H52" s="53" t="n">
        <f aca="false">FALSE()</f>
        <v>0</v>
      </c>
      <c r="I52" s="47"/>
      <c r="J52" s="47"/>
      <c r="K52" s="47"/>
    </row>
    <row r="53" customFormat="false" ht="15" hidden="false" customHeight="false" outlineLevel="0" collapsed="false">
      <c r="A53" s="45"/>
      <c r="B53" s="45"/>
      <c r="C53" s="55" t="n">
        <f aca="false">FALSE()</f>
        <v>0</v>
      </c>
      <c r="D53" s="55" t="n">
        <f aca="false">FALSE()</f>
        <v>0</v>
      </c>
      <c r="E53" s="55" t="n">
        <f aca="false">FALSE()</f>
        <v>0</v>
      </c>
      <c r="F53" s="45"/>
      <c r="G53" s="45"/>
      <c r="H53" s="55" t="n">
        <f aca="false">FALSE()</f>
        <v>0</v>
      </c>
      <c r="I53" s="45"/>
      <c r="J53" s="45"/>
      <c r="K53" s="45"/>
    </row>
    <row r="54" customFormat="false" ht="15" hidden="false" customHeight="false" outlineLevel="0" collapsed="false">
      <c r="A54" s="47"/>
      <c r="B54" s="47"/>
      <c r="C54" s="53" t="n">
        <f aca="false">FALSE()</f>
        <v>0</v>
      </c>
      <c r="D54" s="53" t="n">
        <f aca="false">FALSE()</f>
        <v>0</v>
      </c>
      <c r="E54" s="53" t="n">
        <f aca="false">FALSE()</f>
        <v>0</v>
      </c>
      <c r="F54" s="47"/>
      <c r="G54" s="47"/>
      <c r="H54" s="53" t="n">
        <f aca="false">FALSE()</f>
        <v>0</v>
      </c>
      <c r="I54" s="47"/>
      <c r="J54" s="47"/>
      <c r="K54" s="47"/>
    </row>
    <row r="55" customFormat="false" ht="15" hidden="false" customHeight="false" outlineLevel="0" collapsed="false">
      <c r="A55" s="45"/>
      <c r="B55" s="45"/>
      <c r="C55" s="55" t="n">
        <f aca="false">FALSE()</f>
        <v>0</v>
      </c>
      <c r="D55" s="55" t="n">
        <f aca="false">FALSE()</f>
        <v>0</v>
      </c>
      <c r="E55" s="55" t="n">
        <f aca="false">FALSE()</f>
        <v>0</v>
      </c>
      <c r="F55" s="45"/>
      <c r="G55" s="45"/>
      <c r="H55" s="55" t="n">
        <f aca="false">FALSE()</f>
        <v>0</v>
      </c>
      <c r="I55" s="45"/>
      <c r="J55" s="45"/>
      <c r="K55" s="45"/>
    </row>
    <row r="56" customFormat="false" ht="15" hidden="false" customHeight="false" outlineLevel="0" collapsed="false">
      <c r="A56" s="47"/>
      <c r="B56" s="47"/>
      <c r="C56" s="53" t="n">
        <f aca="false">FALSE()</f>
        <v>0</v>
      </c>
      <c r="D56" s="53" t="n">
        <f aca="false">FALSE()</f>
        <v>0</v>
      </c>
      <c r="E56" s="53" t="n">
        <f aca="false">FALSE()</f>
        <v>0</v>
      </c>
      <c r="F56" s="47"/>
      <c r="G56" s="47"/>
      <c r="H56" s="53" t="n">
        <f aca="false">FALSE()</f>
        <v>0</v>
      </c>
      <c r="I56" s="47"/>
      <c r="J56" s="47"/>
      <c r="K56" s="47"/>
    </row>
    <row r="57" customFormat="false" ht="15" hidden="false" customHeight="false" outlineLevel="0" collapsed="false">
      <c r="A57" s="45"/>
      <c r="B57" s="45"/>
      <c r="C57" s="55" t="n">
        <f aca="false">FALSE()</f>
        <v>0</v>
      </c>
      <c r="D57" s="55" t="n">
        <f aca="false">FALSE()</f>
        <v>0</v>
      </c>
      <c r="E57" s="55" t="n">
        <f aca="false">FALSE()</f>
        <v>0</v>
      </c>
      <c r="F57" s="45"/>
      <c r="G57" s="45"/>
      <c r="H57" s="55" t="n">
        <f aca="false">FALSE()</f>
        <v>0</v>
      </c>
      <c r="I57" s="45"/>
      <c r="J57" s="45"/>
      <c r="K57" s="45"/>
    </row>
    <row r="58" customFormat="false" ht="15" hidden="false" customHeight="false" outlineLevel="0" collapsed="false">
      <c r="A58" s="47"/>
      <c r="B58" s="47"/>
      <c r="C58" s="53" t="n">
        <f aca="false">FALSE()</f>
        <v>0</v>
      </c>
      <c r="D58" s="53" t="n">
        <f aca="false">FALSE()</f>
        <v>0</v>
      </c>
      <c r="E58" s="53" t="n">
        <f aca="false">FALSE()</f>
        <v>0</v>
      </c>
      <c r="F58" s="47"/>
      <c r="G58" s="47"/>
      <c r="H58" s="53" t="n">
        <f aca="false">FALSE()</f>
        <v>0</v>
      </c>
      <c r="I58" s="47"/>
      <c r="J58" s="47"/>
      <c r="K58" s="47"/>
    </row>
    <row r="59" customFormat="false" ht="15" hidden="false" customHeight="false" outlineLevel="0" collapsed="false">
      <c r="A59" s="45"/>
      <c r="B59" s="45"/>
      <c r="C59" s="55" t="n">
        <f aca="false">FALSE()</f>
        <v>0</v>
      </c>
      <c r="D59" s="55" t="n">
        <f aca="false">FALSE()</f>
        <v>0</v>
      </c>
      <c r="E59" s="55" t="n">
        <f aca="false">FALSE()</f>
        <v>0</v>
      </c>
      <c r="F59" s="45"/>
      <c r="G59" s="45"/>
      <c r="H59" s="55" t="n">
        <f aca="false">FALSE()</f>
        <v>0</v>
      </c>
      <c r="I59" s="45"/>
      <c r="J59" s="45"/>
      <c r="K59" s="45"/>
    </row>
    <row r="60" customFormat="false" ht="15" hidden="false" customHeight="false" outlineLevel="0" collapsed="false">
      <c r="A60" s="47"/>
      <c r="B60" s="47"/>
      <c r="C60" s="53" t="n">
        <f aca="false">FALSE()</f>
        <v>0</v>
      </c>
      <c r="D60" s="53" t="n">
        <f aca="false">FALSE()</f>
        <v>0</v>
      </c>
      <c r="E60" s="53" t="n">
        <f aca="false">FALSE()</f>
        <v>0</v>
      </c>
      <c r="F60" s="47"/>
      <c r="G60" s="47"/>
      <c r="H60" s="53" t="n">
        <f aca="false">FALSE()</f>
        <v>0</v>
      </c>
      <c r="I60" s="47"/>
      <c r="J60" s="47"/>
      <c r="K60" s="47"/>
    </row>
    <row r="61" customFormat="false" ht="15" hidden="false" customHeight="false" outlineLevel="0" collapsed="false">
      <c r="A61" s="45"/>
      <c r="B61" s="45"/>
      <c r="C61" s="55" t="n">
        <f aca="false">FALSE()</f>
        <v>0</v>
      </c>
      <c r="D61" s="55" t="n">
        <f aca="false">FALSE()</f>
        <v>0</v>
      </c>
      <c r="E61" s="55" t="n">
        <f aca="false">FALSE()</f>
        <v>0</v>
      </c>
      <c r="F61" s="45"/>
      <c r="G61" s="45"/>
      <c r="H61" s="55" t="n">
        <f aca="false">FALSE()</f>
        <v>0</v>
      </c>
      <c r="I61" s="45"/>
      <c r="J61" s="45"/>
      <c r="K61" s="45"/>
    </row>
    <row r="62" customFormat="false" ht="15" hidden="false" customHeight="false" outlineLevel="0" collapsed="false">
      <c r="A62" s="47"/>
      <c r="B62" s="47"/>
      <c r="C62" s="53" t="n">
        <f aca="false">FALSE()</f>
        <v>0</v>
      </c>
      <c r="D62" s="53" t="n">
        <f aca="false">FALSE()</f>
        <v>0</v>
      </c>
      <c r="E62" s="53" t="n">
        <f aca="false">FALSE()</f>
        <v>0</v>
      </c>
      <c r="F62" s="47"/>
      <c r="G62" s="47"/>
      <c r="H62" s="53" t="n">
        <f aca="false">FALSE()</f>
        <v>0</v>
      </c>
      <c r="I62" s="47"/>
      <c r="J62" s="47"/>
      <c r="K62" s="47"/>
    </row>
    <row r="63" customFormat="false" ht="15" hidden="false" customHeight="false" outlineLevel="0" collapsed="false">
      <c r="A63" s="45"/>
      <c r="B63" s="45"/>
      <c r="C63" s="55" t="n">
        <f aca="false">FALSE()</f>
        <v>0</v>
      </c>
      <c r="D63" s="55" t="n">
        <f aca="false">FALSE()</f>
        <v>0</v>
      </c>
      <c r="E63" s="55" t="n">
        <f aca="false">FALSE()</f>
        <v>0</v>
      </c>
      <c r="F63" s="45"/>
      <c r="G63" s="45"/>
      <c r="H63" s="55" t="n">
        <f aca="false">FALSE()</f>
        <v>0</v>
      </c>
      <c r="I63" s="45"/>
      <c r="J63" s="45"/>
      <c r="K63" s="45"/>
    </row>
    <row r="64" customFormat="false" ht="15" hidden="false" customHeight="false" outlineLevel="0" collapsed="false">
      <c r="A64" s="47"/>
      <c r="B64" s="47"/>
      <c r="C64" s="53" t="n">
        <f aca="false">FALSE()</f>
        <v>0</v>
      </c>
      <c r="D64" s="53" t="n">
        <f aca="false">FALSE()</f>
        <v>0</v>
      </c>
      <c r="E64" s="53" t="n">
        <f aca="false">FALSE()</f>
        <v>0</v>
      </c>
      <c r="F64" s="47"/>
      <c r="G64" s="47"/>
      <c r="H64" s="53" t="n">
        <f aca="false">FALSE()</f>
        <v>0</v>
      </c>
      <c r="I64" s="47"/>
      <c r="J64" s="47"/>
      <c r="K64" s="47"/>
    </row>
    <row r="65" customFormat="false" ht="15" hidden="false" customHeight="false" outlineLevel="0" collapsed="false">
      <c r="A65" s="45"/>
      <c r="B65" s="45"/>
      <c r="C65" s="55" t="n">
        <f aca="false">FALSE()</f>
        <v>0</v>
      </c>
      <c r="D65" s="55" t="n">
        <f aca="false">FALSE()</f>
        <v>0</v>
      </c>
      <c r="E65" s="55" t="n">
        <f aca="false">FALSE()</f>
        <v>0</v>
      </c>
      <c r="F65" s="45"/>
      <c r="G65" s="45"/>
      <c r="H65" s="55" t="n">
        <f aca="false">FALSE()</f>
        <v>0</v>
      </c>
      <c r="I65" s="45"/>
      <c r="J65" s="45"/>
      <c r="K65" s="45"/>
    </row>
    <row r="66" customFormat="false" ht="15" hidden="false" customHeight="false" outlineLevel="0" collapsed="false">
      <c r="A66" s="47"/>
      <c r="B66" s="47"/>
      <c r="C66" s="53" t="n">
        <f aca="false">FALSE()</f>
        <v>0</v>
      </c>
      <c r="D66" s="53" t="n">
        <f aca="false">FALSE()</f>
        <v>0</v>
      </c>
      <c r="E66" s="53" t="n">
        <f aca="false">FALSE()</f>
        <v>0</v>
      </c>
      <c r="F66" s="47"/>
      <c r="G66" s="47"/>
      <c r="H66" s="53" t="n">
        <f aca="false">FALSE()</f>
        <v>0</v>
      </c>
      <c r="I66" s="47"/>
      <c r="J66" s="47"/>
      <c r="K66" s="47"/>
    </row>
    <row r="67" customFormat="false" ht="15" hidden="false" customHeight="false" outlineLevel="0" collapsed="false">
      <c r="A67" s="45"/>
      <c r="B67" s="45"/>
      <c r="C67" s="55" t="n">
        <f aca="false">FALSE()</f>
        <v>0</v>
      </c>
      <c r="D67" s="55" t="n">
        <f aca="false">FALSE()</f>
        <v>0</v>
      </c>
      <c r="E67" s="55" t="n">
        <f aca="false">FALSE()</f>
        <v>0</v>
      </c>
      <c r="F67" s="45"/>
      <c r="G67" s="45"/>
      <c r="H67" s="55" t="n">
        <f aca="false">FALSE()</f>
        <v>0</v>
      </c>
      <c r="I67" s="45"/>
      <c r="J67" s="45"/>
      <c r="K67" s="45"/>
    </row>
    <row r="68" customFormat="false" ht="15" hidden="false" customHeight="false" outlineLevel="0" collapsed="false">
      <c r="A68" s="47"/>
      <c r="B68" s="47"/>
      <c r="C68" s="53" t="n">
        <f aca="false">FALSE()</f>
        <v>0</v>
      </c>
      <c r="D68" s="53" t="n">
        <f aca="false">FALSE()</f>
        <v>0</v>
      </c>
      <c r="E68" s="53" t="n">
        <f aca="false">FALSE()</f>
        <v>0</v>
      </c>
      <c r="F68" s="47"/>
      <c r="G68" s="47"/>
      <c r="H68" s="53" t="n">
        <f aca="false">FALSE()</f>
        <v>0</v>
      </c>
      <c r="I68" s="47"/>
      <c r="J68" s="47"/>
      <c r="K68" s="47"/>
    </row>
    <row r="69" customFormat="false" ht="15" hidden="false" customHeight="false" outlineLevel="0" collapsed="false">
      <c r="A69" s="45"/>
      <c r="B69" s="45"/>
      <c r="C69" s="55" t="n">
        <f aca="false">FALSE()</f>
        <v>0</v>
      </c>
      <c r="D69" s="55" t="n">
        <f aca="false">FALSE()</f>
        <v>0</v>
      </c>
      <c r="E69" s="55" t="n">
        <f aca="false">FALSE()</f>
        <v>0</v>
      </c>
      <c r="F69" s="45"/>
      <c r="G69" s="45"/>
      <c r="H69" s="55" t="n">
        <f aca="false">FALSE()</f>
        <v>0</v>
      </c>
      <c r="I69" s="45"/>
      <c r="J69" s="45"/>
      <c r="K69" s="45"/>
    </row>
    <row r="70" customFormat="false" ht="15" hidden="false" customHeight="false" outlineLevel="0" collapsed="false">
      <c r="A70" s="47"/>
      <c r="B70" s="47"/>
      <c r="C70" s="53" t="n">
        <f aca="false">FALSE()</f>
        <v>0</v>
      </c>
      <c r="D70" s="53" t="n">
        <f aca="false">FALSE()</f>
        <v>0</v>
      </c>
      <c r="E70" s="53" t="n">
        <f aca="false">FALSE()</f>
        <v>0</v>
      </c>
      <c r="F70" s="47"/>
      <c r="G70" s="47"/>
      <c r="H70" s="53" t="n">
        <f aca="false">FALSE()</f>
        <v>0</v>
      </c>
      <c r="I70" s="47"/>
      <c r="J70" s="47"/>
      <c r="K70" s="47"/>
    </row>
    <row r="71" customFormat="false" ht="15" hidden="false" customHeight="false" outlineLevel="0" collapsed="false">
      <c r="A71" s="45"/>
      <c r="B71" s="45"/>
      <c r="C71" s="55" t="n">
        <f aca="false">FALSE()</f>
        <v>0</v>
      </c>
      <c r="D71" s="55" t="n">
        <f aca="false">FALSE()</f>
        <v>0</v>
      </c>
      <c r="E71" s="55" t="n">
        <f aca="false">FALSE()</f>
        <v>0</v>
      </c>
      <c r="F71" s="45"/>
      <c r="G71" s="45"/>
      <c r="H71" s="55" t="n">
        <f aca="false">FALSE()</f>
        <v>0</v>
      </c>
      <c r="I71" s="45"/>
      <c r="J71" s="45"/>
      <c r="K71" s="45"/>
    </row>
    <row r="72" customFormat="false" ht="15" hidden="false" customHeight="false" outlineLevel="0" collapsed="false">
      <c r="A72" s="47"/>
      <c r="B72" s="47"/>
      <c r="C72" s="53" t="n">
        <f aca="false">FALSE()</f>
        <v>0</v>
      </c>
      <c r="D72" s="53" t="n">
        <f aca="false">FALSE()</f>
        <v>0</v>
      </c>
      <c r="E72" s="53" t="n">
        <f aca="false">FALSE()</f>
        <v>0</v>
      </c>
      <c r="F72" s="47"/>
      <c r="G72" s="47"/>
      <c r="H72" s="53" t="n">
        <f aca="false">FALSE()</f>
        <v>0</v>
      </c>
      <c r="I72" s="47"/>
      <c r="J72" s="47"/>
      <c r="K72" s="47"/>
    </row>
    <row r="73" customFormat="false" ht="15" hidden="false" customHeight="false" outlineLevel="0" collapsed="false">
      <c r="A73" s="45"/>
      <c r="B73" s="45"/>
      <c r="C73" s="55" t="n">
        <f aca="false">FALSE()</f>
        <v>0</v>
      </c>
      <c r="D73" s="55" t="n">
        <f aca="false">FALSE()</f>
        <v>0</v>
      </c>
      <c r="E73" s="55" t="n">
        <f aca="false">FALSE()</f>
        <v>0</v>
      </c>
      <c r="F73" s="45"/>
      <c r="G73" s="45"/>
      <c r="H73" s="55" t="n">
        <f aca="false">FALSE()</f>
        <v>0</v>
      </c>
      <c r="I73" s="45"/>
      <c r="J73" s="45"/>
      <c r="K73" s="45"/>
    </row>
    <row r="74" customFormat="false" ht="15" hidden="false" customHeight="false" outlineLevel="0" collapsed="false">
      <c r="A74" s="47"/>
      <c r="B74" s="47"/>
      <c r="C74" s="53" t="n">
        <f aca="false">FALSE()</f>
        <v>0</v>
      </c>
      <c r="D74" s="53" t="n">
        <f aca="false">FALSE()</f>
        <v>0</v>
      </c>
      <c r="E74" s="53" t="n">
        <f aca="false">FALSE()</f>
        <v>0</v>
      </c>
      <c r="F74" s="47"/>
      <c r="G74" s="47"/>
      <c r="H74" s="53" t="n">
        <f aca="false">FALSE()</f>
        <v>0</v>
      </c>
      <c r="I74" s="47"/>
      <c r="J74" s="47"/>
      <c r="K74" s="47"/>
    </row>
    <row r="75" customFormat="false" ht="15" hidden="false" customHeight="false" outlineLevel="0" collapsed="false">
      <c r="A75" s="45"/>
      <c r="B75" s="45"/>
      <c r="C75" s="55" t="n">
        <f aca="false">FALSE()</f>
        <v>0</v>
      </c>
      <c r="D75" s="55" t="n">
        <f aca="false">FALSE()</f>
        <v>0</v>
      </c>
      <c r="E75" s="55" t="n">
        <f aca="false">FALSE()</f>
        <v>0</v>
      </c>
      <c r="F75" s="45"/>
      <c r="G75" s="45"/>
      <c r="H75" s="55" t="n">
        <f aca="false">FALSE()</f>
        <v>0</v>
      </c>
      <c r="I75" s="45"/>
      <c r="J75" s="45"/>
      <c r="K75" s="45"/>
    </row>
    <row r="76" customFormat="false" ht="15" hidden="false" customHeight="false" outlineLevel="0" collapsed="false">
      <c r="A76" s="47"/>
      <c r="B76" s="47"/>
      <c r="C76" s="53" t="n">
        <f aca="false">FALSE()</f>
        <v>0</v>
      </c>
      <c r="D76" s="53" t="n">
        <f aca="false">FALSE()</f>
        <v>0</v>
      </c>
      <c r="E76" s="53" t="n">
        <f aca="false">FALSE()</f>
        <v>0</v>
      </c>
      <c r="F76" s="47"/>
      <c r="G76" s="47"/>
      <c r="H76" s="53" t="n">
        <f aca="false">FALSE()</f>
        <v>0</v>
      </c>
      <c r="I76" s="47"/>
      <c r="J76" s="47"/>
      <c r="K76" s="47"/>
    </row>
    <row r="77" customFormat="false" ht="15" hidden="false" customHeight="false" outlineLevel="0" collapsed="false">
      <c r="A77" s="45"/>
      <c r="B77" s="45"/>
      <c r="C77" s="55" t="n">
        <f aca="false">FALSE()</f>
        <v>0</v>
      </c>
      <c r="D77" s="55" t="n">
        <f aca="false">FALSE()</f>
        <v>0</v>
      </c>
      <c r="E77" s="55" t="n">
        <f aca="false">FALSE()</f>
        <v>0</v>
      </c>
      <c r="F77" s="45"/>
      <c r="G77" s="45"/>
      <c r="H77" s="55" t="n">
        <f aca="false">FALSE()</f>
        <v>0</v>
      </c>
      <c r="I77" s="45"/>
      <c r="J77" s="45"/>
      <c r="K77" s="45"/>
    </row>
    <row r="78" customFormat="false" ht="15" hidden="false" customHeight="false" outlineLevel="0" collapsed="false">
      <c r="A78" s="47"/>
      <c r="B78" s="47"/>
      <c r="C78" s="53" t="n">
        <f aca="false">FALSE()</f>
        <v>0</v>
      </c>
      <c r="D78" s="53" t="n">
        <f aca="false">FALSE()</f>
        <v>0</v>
      </c>
      <c r="E78" s="53" t="n">
        <f aca="false">FALSE()</f>
        <v>0</v>
      </c>
      <c r="F78" s="47"/>
      <c r="G78" s="47"/>
      <c r="H78" s="53" t="n">
        <f aca="false">FALSE()</f>
        <v>0</v>
      </c>
      <c r="I78" s="47"/>
      <c r="J78" s="47"/>
      <c r="K78" s="47"/>
    </row>
    <row r="79" customFormat="false" ht="15" hidden="false" customHeight="false" outlineLevel="0" collapsed="false">
      <c r="A79" s="45"/>
      <c r="B79" s="45"/>
      <c r="C79" s="55" t="n">
        <f aca="false">FALSE()</f>
        <v>0</v>
      </c>
      <c r="D79" s="55" t="n">
        <f aca="false">FALSE()</f>
        <v>0</v>
      </c>
      <c r="E79" s="55" t="n">
        <f aca="false">FALSE()</f>
        <v>0</v>
      </c>
      <c r="F79" s="45"/>
      <c r="G79" s="45"/>
      <c r="H79" s="55" t="n">
        <f aca="false">FALSE()</f>
        <v>0</v>
      </c>
      <c r="I79" s="45"/>
      <c r="J79" s="45"/>
      <c r="K79" s="45"/>
    </row>
    <row r="80" customFormat="false" ht="15" hidden="false" customHeight="false" outlineLevel="0" collapsed="false">
      <c r="A80" s="47"/>
      <c r="B80" s="47"/>
      <c r="C80" s="53" t="n">
        <f aca="false">FALSE()</f>
        <v>0</v>
      </c>
      <c r="D80" s="53" t="n">
        <f aca="false">FALSE()</f>
        <v>0</v>
      </c>
      <c r="E80" s="53" t="n">
        <f aca="false">FALSE()</f>
        <v>0</v>
      </c>
      <c r="F80" s="47"/>
      <c r="G80" s="47"/>
      <c r="H80" s="53" t="n">
        <f aca="false">FALSE()</f>
        <v>0</v>
      </c>
      <c r="I80" s="47"/>
      <c r="J80" s="47"/>
      <c r="K80" s="47"/>
    </row>
    <row r="81" customFormat="false" ht="15" hidden="false" customHeight="false" outlineLevel="0" collapsed="false">
      <c r="A81" s="45"/>
      <c r="B81" s="45"/>
      <c r="C81" s="55" t="n">
        <f aca="false">FALSE()</f>
        <v>0</v>
      </c>
      <c r="D81" s="55" t="n">
        <f aca="false">FALSE()</f>
        <v>0</v>
      </c>
      <c r="E81" s="55" t="n">
        <f aca="false">FALSE()</f>
        <v>0</v>
      </c>
      <c r="F81" s="45"/>
      <c r="G81" s="45"/>
      <c r="H81" s="55" t="n">
        <f aca="false">FALSE()</f>
        <v>0</v>
      </c>
      <c r="I81" s="45"/>
      <c r="J81" s="45"/>
      <c r="K81" s="45"/>
    </row>
    <row r="82" customFormat="false" ht="15" hidden="false" customHeight="false" outlineLevel="0" collapsed="false">
      <c r="A82" s="47"/>
      <c r="B82" s="47"/>
      <c r="C82" s="53" t="n">
        <f aca="false">FALSE()</f>
        <v>0</v>
      </c>
      <c r="D82" s="53" t="n">
        <f aca="false">FALSE()</f>
        <v>0</v>
      </c>
      <c r="E82" s="53" t="n">
        <f aca="false">FALSE()</f>
        <v>0</v>
      </c>
      <c r="F82" s="47"/>
      <c r="G82" s="47"/>
      <c r="H82" s="53" t="n">
        <f aca="false">FALSE()</f>
        <v>0</v>
      </c>
      <c r="I82" s="47"/>
      <c r="J82" s="47"/>
      <c r="K82" s="47"/>
    </row>
    <row r="83" customFormat="false" ht="15" hidden="false" customHeight="false" outlineLevel="0" collapsed="false">
      <c r="A83" s="45"/>
      <c r="B83" s="45"/>
      <c r="C83" s="55" t="n">
        <f aca="false">FALSE()</f>
        <v>0</v>
      </c>
      <c r="D83" s="55" t="n">
        <f aca="false">FALSE()</f>
        <v>0</v>
      </c>
      <c r="E83" s="55" t="n">
        <f aca="false">FALSE()</f>
        <v>0</v>
      </c>
      <c r="F83" s="45"/>
      <c r="G83" s="45"/>
      <c r="H83" s="55" t="n">
        <f aca="false">FALSE()</f>
        <v>0</v>
      </c>
      <c r="I83" s="45"/>
      <c r="J83" s="45"/>
      <c r="K83" s="45"/>
    </row>
    <row r="84" customFormat="false" ht="15" hidden="false" customHeight="false" outlineLevel="0" collapsed="false">
      <c r="A84" s="47"/>
      <c r="B84" s="47"/>
      <c r="C84" s="53" t="n">
        <f aca="false">FALSE()</f>
        <v>0</v>
      </c>
      <c r="D84" s="53" t="n">
        <f aca="false">FALSE()</f>
        <v>0</v>
      </c>
      <c r="E84" s="53" t="n">
        <f aca="false">FALSE()</f>
        <v>0</v>
      </c>
      <c r="F84" s="47"/>
      <c r="G84" s="47"/>
      <c r="H84" s="53" t="n">
        <f aca="false">FALSE()</f>
        <v>0</v>
      </c>
      <c r="I84" s="47"/>
      <c r="J84" s="47"/>
      <c r="K84" s="47"/>
    </row>
    <row r="85" customFormat="false" ht="15" hidden="false" customHeight="false" outlineLevel="0" collapsed="false">
      <c r="A85" s="45"/>
      <c r="B85" s="45"/>
      <c r="C85" s="55" t="n">
        <f aca="false">FALSE()</f>
        <v>0</v>
      </c>
      <c r="D85" s="55" t="n">
        <f aca="false">FALSE()</f>
        <v>0</v>
      </c>
      <c r="E85" s="55" t="n">
        <f aca="false">FALSE()</f>
        <v>0</v>
      </c>
      <c r="F85" s="45"/>
      <c r="G85" s="45"/>
      <c r="H85" s="55" t="n">
        <f aca="false">FALSE()</f>
        <v>0</v>
      </c>
      <c r="I85" s="45"/>
      <c r="J85" s="45"/>
      <c r="K85" s="45"/>
    </row>
    <row r="86" customFormat="false" ht="15" hidden="false" customHeight="false" outlineLevel="0" collapsed="false">
      <c r="A86" s="47"/>
      <c r="B86" s="47"/>
      <c r="C86" s="53" t="n">
        <f aca="false">FALSE()</f>
        <v>0</v>
      </c>
      <c r="D86" s="53" t="n">
        <f aca="false">FALSE()</f>
        <v>0</v>
      </c>
      <c r="E86" s="53" t="n">
        <f aca="false">FALSE()</f>
        <v>0</v>
      </c>
      <c r="F86" s="47"/>
      <c r="G86" s="47"/>
      <c r="H86" s="53" t="n">
        <f aca="false">FALSE()</f>
        <v>0</v>
      </c>
      <c r="I86" s="47"/>
      <c r="J86" s="47"/>
      <c r="K86" s="47"/>
    </row>
    <row r="87" customFormat="false" ht="15" hidden="false" customHeight="false" outlineLevel="0" collapsed="false">
      <c r="A87" s="45"/>
      <c r="B87" s="45"/>
      <c r="C87" s="55" t="n">
        <f aca="false">FALSE()</f>
        <v>0</v>
      </c>
      <c r="D87" s="55" t="n">
        <f aca="false">FALSE()</f>
        <v>0</v>
      </c>
      <c r="E87" s="55" t="n">
        <f aca="false">FALSE()</f>
        <v>0</v>
      </c>
      <c r="F87" s="45"/>
      <c r="G87" s="45"/>
      <c r="H87" s="55" t="n">
        <f aca="false">FALSE()</f>
        <v>0</v>
      </c>
      <c r="I87" s="45"/>
      <c r="J87" s="45"/>
      <c r="K87" s="45"/>
    </row>
    <row r="88" customFormat="false" ht="15" hidden="false" customHeight="false" outlineLevel="0" collapsed="false">
      <c r="A88" s="47"/>
      <c r="B88" s="47"/>
      <c r="C88" s="53" t="n">
        <f aca="false">FALSE()</f>
        <v>0</v>
      </c>
      <c r="D88" s="53" t="n">
        <f aca="false">FALSE()</f>
        <v>0</v>
      </c>
      <c r="E88" s="53" t="n">
        <f aca="false">FALSE()</f>
        <v>0</v>
      </c>
      <c r="F88" s="47"/>
      <c r="G88" s="47"/>
      <c r="H88" s="53" t="n">
        <f aca="false">FALSE()</f>
        <v>0</v>
      </c>
      <c r="I88" s="47"/>
      <c r="J88" s="47"/>
      <c r="K88" s="47"/>
    </row>
    <row r="89" customFormat="false" ht="15" hidden="false" customHeight="false" outlineLevel="0" collapsed="false">
      <c r="A89" s="45"/>
      <c r="B89" s="45"/>
      <c r="C89" s="55" t="n">
        <f aca="false">FALSE()</f>
        <v>0</v>
      </c>
      <c r="D89" s="55" t="n">
        <f aca="false">FALSE()</f>
        <v>0</v>
      </c>
      <c r="E89" s="55" t="n">
        <f aca="false">FALSE()</f>
        <v>0</v>
      </c>
      <c r="F89" s="45"/>
      <c r="G89" s="45"/>
      <c r="H89" s="55" t="n">
        <f aca="false">FALSE()</f>
        <v>0</v>
      </c>
      <c r="I89" s="45"/>
      <c r="J89" s="45"/>
      <c r="K89" s="45"/>
    </row>
    <row r="90" customFormat="false" ht="15" hidden="false" customHeight="false" outlineLevel="0" collapsed="false">
      <c r="A90" s="47"/>
      <c r="B90" s="47"/>
      <c r="C90" s="53" t="n">
        <f aca="false">FALSE()</f>
        <v>0</v>
      </c>
      <c r="D90" s="53" t="n">
        <f aca="false">FALSE()</f>
        <v>0</v>
      </c>
      <c r="E90" s="53" t="n">
        <f aca="false">FALSE()</f>
        <v>0</v>
      </c>
      <c r="F90" s="47"/>
      <c r="G90" s="47"/>
      <c r="H90" s="53" t="n">
        <f aca="false">FALSE()</f>
        <v>0</v>
      </c>
      <c r="I90" s="47"/>
      <c r="J90" s="47"/>
      <c r="K90" s="47"/>
    </row>
    <row r="91" customFormat="false" ht="15" hidden="false" customHeight="false" outlineLevel="0" collapsed="false">
      <c r="A91" s="45"/>
      <c r="B91" s="45"/>
      <c r="C91" s="55" t="n">
        <f aca="false">FALSE()</f>
        <v>0</v>
      </c>
      <c r="D91" s="55" t="n">
        <f aca="false">FALSE()</f>
        <v>0</v>
      </c>
      <c r="E91" s="55" t="n">
        <f aca="false">FALSE()</f>
        <v>0</v>
      </c>
      <c r="F91" s="45"/>
      <c r="G91" s="45"/>
      <c r="H91" s="55" t="n">
        <f aca="false">FALSE()</f>
        <v>0</v>
      </c>
      <c r="I91" s="45"/>
      <c r="J91" s="45"/>
      <c r="K91" s="45"/>
    </row>
    <row r="92" customFormat="false" ht="15" hidden="false" customHeight="false" outlineLevel="0" collapsed="false">
      <c r="A92" s="47"/>
      <c r="B92" s="47"/>
      <c r="C92" s="53" t="n">
        <f aca="false">FALSE()</f>
        <v>0</v>
      </c>
      <c r="D92" s="53" t="n">
        <f aca="false">FALSE()</f>
        <v>0</v>
      </c>
      <c r="E92" s="53" t="n">
        <f aca="false">FALSE()</f>
        <v>0</v>
      </c>
      <c r="F92" s="47"/>
      <c r="G92" s="47"/>
      <c r="H92" s="53" t="n">
        <f aca="false">FALSE()</f>
        <v>0</v>
      </c>
      <c r="I92" s="47"/>
      <c r="J92" s="47"/>
      <c r="K92" s="47"/>
    </row>
    <row r="93" customFormat="false" ht="15" hidden="false" customHeight="false" outlineLevel="0" collapsed="false">
      <c r="A93" s="45"/>
      <c r="B93" s="45"/>
      <c r="C93" s="55" t="n">
        <f aca="false">FALSE()</f>
        <v>0</v>
      </c>
      <c r="D93" s="55" t="n">
        <f aca="false">FALSE()</f>
        <v>0</v>
      </c>
      <c r="E93" s="55" t="n">
        <f aca="false">FALSE()</f>
        <v>0</v>
      </c>
      <c r="F93" s="45"/>
      <c r="G93" s="45"/>
      <c r="H93" s="55" t="n">
        <f aca="false">FALSE()</f>
        <v>0</v>
      </c>
      <c r="I93" s="45"/>
      <c r="J93" s="45"/>
      <c r="K93" s="45"/>
    </row>
    <row r="94" customFormat="false" ht="15" hidden="false" customHeight="false" outlineLevel="0" collapsed="false">
      <c r="A94" s="47"/>
      <c r="B94" s="47"/>
      <c r="C94" s="53" t="n">
        <f aca="false">FALSE()</f>
        <v>0</v>
      </c>
      <c r="D94" s="53" t="n">
        <f aca="false">FALSE()</f>
        <v>0</v>
      </c>
      <c r="E94" s="53" t="n">
        <f aca="false">FALSE()</f>
        <v>0</v>
      </c>
      <c r="F94" s="47"/>
      <c r="G94" s="47"/>
      <c r="H94" s="53" t="n">
        <f aca="false">FALSE()</f>
        <v>0</v>
      </c>
      <c r="I94" s="47"/>
      <c r="J94" s="47"/>
      <c r="K94" s="47"/>
    </row>
    <row r="95" customFormat="false" ht="15" hidden="false" customHeight="false" outlineLevel="0" collapsed="false">
      <c r="A95" s="45"/>
      <c r="B95" s="45"/>
      <c r="C95" s="55" t="n">
        <f aca="false">FALSE()</f>
        <v>0</v>
      </c>
      <c r="D95" s="55" t="n">
        <f aca="false">FALSE()</f>
        <v>0</v>
      </c>
      <c r="E95" s="55" t="n">
        <f aca="false">FALSE()</f>
        <v>0</v>
      </c>
      <c r="F95" s="45"/>
      <c r="G95" s="45"/>
      <c r="H95" s="55" t="n">
        <f aca="false">FALSE()</f>
        <v>0</v>
      </c>
      <c r="I95" s="45"/>
      <c r="J95" s="45"/>
      <c r="K95" s="45"/>
    </row>
    <row r="96" customFormat="false" ht="15" hidden="false" customHeight="false" outlineLevel="0" collapsed="false">
      <c r="A96" s="47"/>
      <c r="B96" s="47"/>
      <c r="C96" s="53" t="n">
        <f aca="false">FALSE()</f>
        <v>0</v>
      </c>
      <c r="D96" s="53" t="n">
        <f aca="false">FALSE()</f>
        <v>0</v>
      </c>
      <c r="E96" s="53" t="n">
        <f aca="false">FALSE()</f>
        <v>0</v>
      </c>
      <c r="F96" s="47"/>
      <c r="G96" s="47"/>
      <c r="H96" s="53" t="n">
        <f aca="false">FALSE()</f>
        <v>0</v>
      </c>
      <c r="I96" s="47"/>
      <c r="J96" s="47"/>
      <c r="K96" s="47"/>
    </row>
    <row r="97" customFormat="false" ht="15" hidden="false" customHeight="false" outlineLevel="0" collapsed="false">
      <c r="A97" s="45"/>
      <c r="B97" s="45"/>
      <c r="C97" s="55" t="n">
        <f aca="false">FALSE()</f>
        <v>0</v>
      </c>
      <c r="D97" s="55" t="n">
        <f aca="false">FALSE()</f>
        <v>0</v>
      </c>
      <c r="E97" s="55" t="n">
        <f aca="false">FALSE()</f>
        <v>0</v>
      </c>
      <c r="F97" s="45"/>
      <c r="G97" s="45"/>
      <c r="H97" s="55" t="n">
        <f aca="false">FALSE()</f>
        <v>0</v>
      </c>
      <c r="I97" s="45"/>
      <c r="J97" s="45"/>
      <c r="K97" s="45"/>
    </row>
    <row r="98" customFormat="false" ht="15" hidden="false" customHeight="false" outlineLevel="0" collapsed="false">
      <c r="A98" s="47"/>
      <c r="B98" s="47"/>
      <c r="C98" s="53" t="n">
        <f aca="false">FALSE()</f>
        <v>0</v>
      </c>
      <c r="D98" s="53" t="n">
        <f aca="false">FALSE()</f>
        <v>0</v>
      </c>
      <c r="E98" s="53" t="n">
        <f aca="false">FALSE()</f>
        <v>0</v>
      </c>
      <c r="F98" s="47"/>
      <c r="G98" s="47"/>
      <c r="H98" s="53" t="n">
        <f aca="false">FALSE()</f>
        <v>0</v>
      </c>
      <c r="I98" s="47"/>
      <c r="J98" s="47"/>
      <c r="K98" s="47"/>
    </row>
    <row r="99" customFormat="false" ht="15" hidden="false" customHeight="false" outlineLevel="0" collapsed="false">
      <c r="A99" s="45"/>
      <c r="B99" s="45"/>
      <c r="C99" s="55" t="n">
        <f aca="false">FALSE()</f>
        <v>0</v>
      </c>
      <c r="D99" s="55" t="n">
        <f aca="false">FALSE()</f>
        <v>0</v>
      </c>
      <c r="E99" s="55" t="n">
        <f aca="false">FALSE()</f>
        <v>0</v>
      </c>
      <c r="F99" s="45"/>
      <c r="G99" s="45"/>
      <c r="H99" s="55" t="n">
        <f aca="false">FALSE()</f>
        <v>0</v>
      </c>
      <c r="I99" s="45"/>
      <c r="J99" s="45"/>
      <c r="K99" s="45"/>
    </row>
    <row r="100" customFormat="false" ht="15" hidden="false" customHeight="false" outlineLevel="0" collapsed="false">
      <c r="A100" s="47"/>
      <c r="B100" s="47"/>
      <c r="C100" s="53" t="n">
        <f aca="false">FALSE()</f>
        <v>0</v>
      </c>
      <c r="D100" s="53" t="n">
        <f aca="false">FALSE()</f>
        <v>0</v>
      </c>
      <c r="E100" s="53" t="n">
        <f aca="false">FALSE()</f>
        <v>0</v>
      </c>
      <c r="F100" s="47"/>
      <c r="G100" s="47"/>
      <c r="H100" s="53" t="n">
        <f aca="false">FALSE()</f>
        <v>0</v>
      </c>
      <c r="I100" s="47"/>
      <c r="J100" s="47"/>
      <c r="K100" s="47"/>
    </row>
    <row r="101" customFormat="false" ht="15" hidden="false" customHeight="false" outlineLevel="0" collapsed="false">
      <c r="A101" s="45"/>
      <c r="B101" s="45"/>
      <c r="C101" s="55" t="n">
        <f aca="false">FALSE()</f>
        <v>0</v>
      </c>
      <c r="D101" s="55" t="n">
        <f aca="false">FALSE()</f>
        <v>0</v>
      </c>
      <c r="E101" s="55" t="n">
        <f aca="false">FALSE()</f>
        <v>0</v>
      </c>
      <c r="F101" s="45"/>
      <c r="G101" s="45"/>
      <c r="H101" s="55" t="n">
        <f aca="false">FALSE()</f>
        <v>0</v>
      </c>
      <c r="I101" s="45"/>
      <c r="J101" s="45"/>
      <c r="K101" s="45"/>
    </row>
    <row r="102" customFormat="false" ht="15" hidden="false" customHeight="false" outlineLevel="0" collapsed="false">
      <c r="A102" s="47"/>
      <c r="B102" s="47"/>
      <c r="C102" s="53" t="n">
        <f aca="false">FALSE()</f>
        <v>0</v>
      </c>
      <c r="D102" s="53" t="n">
        <f aca="false">FALSE()</f>
        <v>0</v>
      </c>
      <c r="E102" s="53" t="n">
        <f aca="false">FALSE()</f>
        <v>0</v>
      </c>
      <c r="F102" s="47"/>
      <c r="G102" s="47"/>
      <c r="H102" s="53" t="n">
        <f aca="false">FALSE()</f>
        <v>0</v>
      </c>
      <c r="I102" s="47"/>
      <c r="J102" s="47"/>
      <c r="K102" s="47"/>
    </row>
    <row r="103" customFormat="false" ht="15" hidden="false" customHeight="false" outlineLevel="0" collapsed="false">
      <c r="A103" s="45"/>
      <c r="B103" s="45"/>
      <c r="C103" s="55" t="n">
        <f aca="false">FALSE()</f>
        <v>0</v>
      </c>
      <c r="D103" s="55" t="n">
        <f aca="false">FALSE()</f>
        <v>0</v>
      </c>
      <c r="E103" s="55" t="n">
        <f aca="false">FALSE()</f>
        <v>0</v>
      </c>
      <c r="F103" s="45"/>
      <c r="G103" s="45"/>
      <c r="H103" s="55" t="n">
        <f aca="false">FALSE()</f>
        <v>0</v>
      </c>
      <c r="I103" s="45"/>
      <c r="J103" s="45"/>
      <c r="K103" s="45"/>
    </row>
    <row r="104" customFormat="false" ht="15" hidden="false" customHeight="false" outlineLevel="0" collapsed="false">
      <c r="A104" s="47"/>
      <c r="B104" s="47"/>
      <c r="C104" s="53" t="n">
        <f aca="false">FALSE()</f>
        <v>0</v>
      </c>
      <c r="D104" s="53" t="n">
        <f aca="false">FALSE()</f>
        <v>0</v>
      </c>
      <c r="E104" s="53" t="n">
        <f aca="false">FALSE()</f>
        <v>0</v>
      </c>
      <c r="F104" s="47"/>
      <c r="G104" s="47"/>
      <c r="H104" s="53" t="n">
        <f aca="false">FALSE()</f>
        <v>0</v>
      </c>
      <c r="I104" s="47"/>
      <c r="J104" s="47"/>
      <c r="K104" s="47"/>
    </row>
    <row r="105" customFormat="false" ht="15" hidden="false" customHeight="false" outlineLevel="0" collapsed="false">
      <c r="A105" s="45"/>
      <c r="B105" s="45"/>
      <c r="C105" s="55" t="n">
        <f aca="false">FALSE()</f>
        <v>0</v>
      </c>
      <c r="D105" s="55" t="n">
        <f aca="false">FALSE()</f>
        <v>0</v>
      </c>
      <c r="E105" s="55" t="n">
        <f aca="false">FALSE()</f>
        <v>0</v>
      </c>
      <c r="F105" s="45"/>
      <c r="G105" s="45"/>
      <c r="H105" s="55" t="n">
        <f aca="false">FALSE()</f>
        <v>0</v>
      </c>
      <c r="I105" s="45"/>
      <c r="J105" s="45"/>
      <c r="K105" s="45"/>
    </row>
    <row r="106" customFormat="false" ht="15" hidden="false" customHeight="false" outlineLevel="0" collapsed="false">
      <c r="A106" s="47"/>
      <c r="B106" s="47"/>
      <c r="C106" s="53" t="n">
        <f aca="false">FALSE()</f>
        <v>0</v>
      </c>
      <c r="D106" s="53" t="n">
        <f aca="false">FALSE()</f>
        <v>0</v>
      </c>
      <c r="E106" s="53" t="n">
        <f aca="false">FALSE()</f>
        <v>0</v>
      </c>
      <c r="F106" s="47"/>
      <c r="G106" s="47"/>
      <c r="H106" s="53" t="n">
        <f aca="false">FALSE()</f>
        <v>0</v>
      </c>
      <c r="I106" s="47"/>
      <c r="J106" s="47"/>
      <c r="K106" s="47"/>
    </row>
    <row r="107" customFormat="false" ht="15" hidden="false" customHeight="false" outlineLevel="0" collapsed="false">
      <c r="A107" s="45"/>
      <c r="B107" s="45"/>
      <c r="C107" s="55" t="n">
        <f aca="false">FALSE()</f>
        <v>0</v>
      </c>
      <c r="D107" s="55" t="n">
        <f aca="false">FALSE()</f>
        <v>0</v>
      </c>
      <c r="E107" s="55" t="n">
        <f aca="false">FALSE()</f>
        <v>0</v>
      </c>
      <c r="F107" s="45"/>
      <c r="G107" s="45"/>
      <c r="H107" s="55" t="n">
        <f aca="false">FALSE()</f>
        <v>0</v>
      </c>
      <c r="I107" s="45"/>
      <c r="J107" s="45"/>
      <c r="K107" s="45"/>
    </row>
    <row r="108" customFormat="false" ht="15" hidden="false" customHeight="false" outlineLevel="0" collapsed="false">
      <c r="A108" s="47"/>
      <c r="B108" s="47"/>
      <c r="C108" s="53" t="n">
        <f aca="false">FALSE()</f>
        <v>0</v>
      </c>
      <c r="D108" s="53" t="n">
        <f aca="false">FALSE()</f>
        <v>0</v>
      </c>
      <c r="E108" s="53" t="n">
        <f aca="false">FALSE()</f>
        <v>0</v>
      </c>
      <c r="F108" s="47"/>
      <c r="G108" s="47"/>
      <c r="H108" s="53" t="n">
        <f aca="false">FALSE()</f>
        <v>0</v>
      </c>
      <c r="I108" s="47"/>
      <c r="J108" s="47"/>
      <c r="K108" s="47"/>
    </row>
    <row r="109" customFormat="false" ht="15" hidden="false" customHeight="false" outlineLevel="0" collapsed="false">
      <c r="A109" s="45"/>
      <c r="B109" s="45"/>
      <c r="C109" s="55" t="n">
        <f aca="false">FALSE()</f>
        <v>0</v>
      </c>
      <c r="D109" s="55" t="n">
        <f aca="false">FALSE()</f>
        <v>0</v>
      </c>
      <c r="E109" s="55" t="n">
        <f aca="false">FALSE()</f>
        <v>0</v>
      </c>
      <c r="F109" s="45"/>
      <c r="G109" s="45"/>
      <c r="H109" s="55" t="n">
        <f aca="false">FALSE()</f>
        <v>0</v>
      </c>
      <c r="I109" s="45"/>
      <c r="J109" s="45"/>
      <c r="K109" s="45"/>
    </row>
    <row r="110" customFormat="false" ht="15" hidden="false" customHeight="false" outlineLevel="0" collapsed="false">
      <c r="A110" s="47"/>
      <c r="B110" s="47"/>
      <c r="C110" s="53" t="n">
        <f aca="false">FALSE()</f>
        <v>0</v>
      </c>
      <c r="D110" s="53" t="n">
        <f aca="false">FALSE()</f>
        <v>0</v>
      </c>
      <c r="E110" s="53" t="n">
        <f aca="false">FALSE()</f>
        <v>0</v>
      </c>
      <c r="F110" s="47"/>
      <c r="G110" s="47"/>
      <c r="H110" s="53" t="n">
        <f aca="false">FALSE()</f>
        <v>0</v>
      </c>
      <c r="I110" s="47"/>
      <c r="J110" s="47"/>
      <c r="K110" s="47"/>
    </row>
    <row r="111" customFormat="false" ht="15" hidden="false" customHeight="false" outlineLevel="0" collapsed="false">
      <c r="A111" s="45"/>
      <c r="B111" s="45"/>
      <c r="C111" s="55" t="n">
        <f aca="false">FALSE()</f>
        <v>0</v>
      </c>
      <c r="D111" s="55" t="n">
        <f aca="false">FALSE()</f>
        <v>0</v>
      </c>
      <c r="E111" s="55" t="n">
        <f aca="false">FALSE()</f>
        <v>0</v>
      </c>
      <c r="F111" s="45"/>
      <c r="G111" s="45"/>
      <c r="H111" s="55" t="n">
        <f aca="false">FALSE()</f>
        <v>0</v>
      </c>
      <c r="I111" s="45"/>
      <c r="J111" s="45"/>
      <c r="K111" s="45"/>
    </row>
    <row r="112" customFormat="false" ht="15" hidden="false" customHeight="false" outlineLevel="0" collapsed="false">
      <c r="A112" s="47"/>
      <c r="B112" s="47"/>
      <c r="C112" s="53" t="n">
        <f aca="false">FALSE()</f>
        <v>0</v>
      </c>
      <c r="D112" s="53" t="n">
        <f aca="false">FALSE()</f>
        <v>0</v>
      </c>
      <c r="E112" s="53" t="n">
        <f aca="false">FALSE()</f>
        <v>0</v>
      </c>
      <c r="F112" s="47"/>
      <c r="G112" s="47"/>
      <c r="H112" s="53" t="n">
        <f aca="false">FALSE()</f>
        <v>0</v>
      </c>
      <c r="I112" s="47"/>
      <c r="J112" s="47"/>
      <c r="K112" s="47"/>
    </row>
    <row r="113" customFormat="false" ht="15" hidden="false" customHeight="false" outlineLevel="0" collapsed="false">
      <c r="A113" s="45"/>
      <c r="B113" s="45"/>
      <c r="C113" s="55" t="n">
        <f aca="false">FALSE()</f>
        <v>0</v>
      </c>
      <c r="D113" s="55" t="n">
        <f aca="false">FALSE()</f>
        <v>0</v>
      </c>
      <c r="E113" s="55" t="n">
        <f aca="false">FALSE()</f>
        <v>0</v>
      </c>
      <c r="F113" s="45"/>
      <c r="G113" s="45"/>
      <c r="H113" s="55" t="n">
        <f aca="false">FALSE()</f>
        <v>0</v>
      </c>
      <c r="I113" s="45"/>
      <c r="J113" s="45"/>
      <c r="K113" s="45"/>
    </row>
    <row r="114" customFormat="false" ht="15" hidden="false" customHeight="false" outlineLevel="0" collapsed="false">
      <c r="A114" s="47"/>
      <c r="B114" s="47"/>
      <c r="C114" s="53" t="n">
        <f aca="false">FALSE()</f>
        <v>0</v>
      </c>
      <c r="D114" s="53" t="n">
        <f aca="false">FALSE()</f>
        <v>0</v>
      </c>
      <c r="E114" s="53" t="n">
        <f aca="false">FALSE()</f>
        <v>0</v>
      </c>
      <c r="F114" s="47"/>
      <c r="G114" s="47"/>
      <c r="H114" s="53" t="n">
        <f aca="false">FALSE()</f>
        <v>0</v>
      </c>
      <c r="I114" s="47"/>
      <c r="J114" s="47"/>
      <c r="K114" s="47"/>
    </row>
    <row r="115" customFormat="false" ht="15" hidden="false" customHeight="false" outlineLevel="0" collapsed="false">
      <c r="A115" s="45"/>
      <c r="B115" s="45"/>
      <c r="C115" s="55" t="n">
        <f aca="false">FALSE()</f>
        <v>0</v>
      </c>
      <c r="D115" s="55" t="n">
        <f aca="false">FALSE()</f>
        <v>0</v>
      </c>
      <c r="E115" s="55" t="n">
        <f aca="false">FALSE()</f>
        <v>0</v>
      </c>
      <c r="F115" s="45"/>
      <c r="G115" s="45"/>
      <c r="H115" s="55" t="n">
        <f aca="false">FALSE()</f>
        <v>0</v>
      </c>
      <c r="I115" s="45"/>
      <c r="J115" s="45"/>
      <c r="K115" s="45"/>
    </row>
    <row r="116" customFormat="false" ht="15" hidden="false" customHeight="false" outlineLevel="0" collapsed="false">
      <c r="A116" s="47"/>
      <c r="B116" s="47"/>
      <c r="C116" s="53" t="n">
        <f aca="false">FALSE()</f>
        <v>0</v>
      </c>
      <c r="D116" s="53" t="n">
        <f aca="false">FALSE()</f>
        <v>0</v>
      </c>
      <c r="E116" s="53" t="n">
        <f aca="false">FALSE()</f>
        <v>0</v>
      </c>
      <c r="F116" s="47"/>
      <c r="G116" s="47"/>
      <c r="H116" s="53" t="n">
        <f aca="false">FALSE()</f>
        <v>0</v>
      </c>
      <c r="I116" s="47"/>
      <c r="J116" s="47"/>
      <c r="K116" s="47"/>
    </row>
    <row r="117" customFormat="false" ht="15" hidden="false" customHeight="false" outlineLevel="0" collapsed="false">
      <c r="A117" s="45"/>
      <c r="B117" s="45"/>
      <c r="C117" s="55" t="n">
        <f aca="false">FALSE()</f>
        <v>0</v>
      </c>
      <c r="D117" s="55" t="n">
        <f aca="false">FALSE()</f>
        <v>0</v>
      </c>
      <c r="E117" s="55" t="n">
        <f aca="false">FALSE()</f>
        <v>0</v>
      </c>
      <c r="F117" s="45"/>
      <c r="G117" s="45"/>
      <c r="H117" s="55" t="n">
        <f aca="false">FALSE()</f>
        <v>0</v>
      </c>
      <c r="I117" s="45"/>
      <c r="J117" s="45"/>
      <c r="K117" s="45"/>
    </row>
    <row r="118" customFormat="false" ht="15" hidden="false" customHeight="false" outlineLevel="0" collapsed="false">
      <c r="A118" s="47"/>
      <c r="B118" s="47"/>
      <c r="C118" s="53" t="n">
        <f aca="false">FALSE()</f>
        <v>0</v>
      </c>
      <c r="D118" s="53" t="n">
        <f aca="false">FALSE()</f>
        <v>0</v>
      </c>
      <c r="E118" s="53" t="n">
        <f aca="false">FALSE()</f>
        <v>0</v>
      </c>
      <c r="F118" s="47"/>
      <c r="G118" s="47"/>
      <c r="H118" s="53" t="n">
        <f aca="false">FALSE()</f>
        <v>0</v>
      </c>
      <c r="I118" s="47"/>
      <c r="J118" s="47"/>
      <c r="K118" s="47"/>
    </row>
    <row r="119" customFormat="false" ht="15" hidden="false" customHeight="false" outlineLevel="0" collapsed="false">
      <c r="A119" s="45"/>
      <c r="B119" s="45"/>
      <c r="C119" s="55" t="n">
        <f aca="false">FALSE()</f>
        <v>0</v>
      </c>
      <c r="D119" s="55" t="n">
        <f aca="false">FALSE()</f>
        <v>0</v>
      </c>
      <c r="E119" s="55" t="n">
        <f aca="false">FALSE()</f>
        <v>0</v>
      </c>
      <c r="F119" s="45"/>
      <c r="G119" s="45"/>
      <c r="H119" s="55" t="n">
        <f aca="false">FALSE()</f>
        <v>0</v>
      </c>
      <c r="I119" s="45"/>
      <c r="J119" s="45"/>
      <c r="K119" s="45"/>
    </row>
    <row r="120" customFormat="false" ht="15" hidden="false" customHeight="false" outlineLevel="0" collapsed="false">
      <c r="A120" s="47"/>
      <c r="B120" s="47"/>
      <c r="C120" s="53" t="n">
        <f aca="false">FALSE()</f>
        <v>0</v>
      </c>
      <c r="D120" s="53" t="n">
        <f aca="false">FALSE()</f>
        <v>0</v>
      </c>
      <c r="E120" s="53" t="n">
        <f aca="false">FALSE()</f>
        <v>0</v>
      </c>
      <c r="F120" s="47"/>
      <c r="G120" s="47"/>
      <c r="H120" s="53" t="n">
        <f aca="false">FALSE()</f>
        <v>0</v>
      </c>
      <c r="I120" s="47"/>
      <c r="J120" s="47"/>
      <c r="K120" s="47"/>
    </row>
    <row r="121" customFormat="false" ht="15" hidden="false" customHeight="false" outlineLevel="0" collapsed="false">
      <c r="A121" s="45"/>
      <c r="B121" s="45"/>
      <c r="C121" s="55" t="n">
        <f aca="false">FALSE()</f>
        <v>0</v>
      </c>
      <c r="D121" s="55" t="n">
        <f aca="false">FALSE()</f>
        <v>0</v>
      </c>
      <c r="E121" s="55" t="n">
        <f aca="false">FALSE()</f>
        <v>0</v>
      </c>
      <c r="F121" s="45"/>
      <c r="G121" s="45"/>
      <c r="H121" s="55" t="n">
        <f aca="false">FALSE()</f>
        <v>0</v>
      </c>
      <c r="I121" s="45"/>
      <c r="J121" s="45"/>
      <c r="K121" s="45"/>
    </row>
    <row r="122" customFormat="false" ht="15" hidden="false" customHeight="false" outlineLevel="0" collapsed="false">
      <c r="A122" s="47"/>
      <c r="B122" s="47"/>
      <c r="C122" s="53" t="n">
        <f aca="false">FALSE()</f>
        <v>0</v>
      </c>
      <c r="D122" s="53" t="n">
        <f aca="false">FALSE()</f>
        <v>0</v>
      </c>
      <c r="E122" s="53" t="n">
        <f aca="false">FALSE()</f>
        <v>0</v>
      </c>
      <c r="F122" s="47"/>
      <c r="G122" s="47"/>
      <c r="H122" s="53" t="n">
        <f aca="false">FALSE()</f>
        <v>0</v>
      </c>
      <c r="I122" s="47"/>
      <c r="J122" s="47"/>
      <c r="K122" s="47"/>
    </row>
    <row r="123" customFormat="false" ht="15" hidden="false" customHeight="false" outlineLevel="0" collapsed="false">
      <c r="A123" s="45"/>
      <c r="B123" s="45"/>
      <c r="C123" s="55" t="n">
        <f aca="false">FALSE()</f>
        <v>0</v>
      </c>
      <c r="D123" s="55" t="n">
        <f aca="false">FALSE()</f>
        <v>0</v>
      </c>
      <c r="E123" s="55" t="n">
        <f aca="false">FALSE()</f>
        <v>0</v>
      </c>
      <c r="F123" s="45"/>
      <c r="G123" s="45"/>
      <c r="H123" s="55" t="n">
        <f aca="false">FALSE()</f>
        <v>0</v>
      </c>
      <c r="I123" s="45"/>
      <c r="J123" s="45"/>
      <c r="K123" s="45"/>
    </row>
    <row r="124" customFormat="false" ht="15" hidden="false" customHeight="false" outlineLevel="0" collapsed="false">
      <c r="A124" s="47"/>
      <c r="B124" s="47"/>
      <c r="C124" s="53" t="n">
        <f aca="false">FALSE()</f>
        <v>0</v>
      </c>
      <c r="D124" s="53" t="n">
        <f aca="false">FALSE()</f>
        <v>0</v>
      </c>
      <c r="E124" s="53" t="n">
        <f aca="false">FALSE()</f>
        <v>0</v>
      </c>
      <c r="F124" s="47"/>
      <c r="G124" s="47"/>
      <c r="H124" s="53" t="n">
        <f aca="false">FALSE()</f>
        <v>0</v>
      </c>
      <c r="I124" s="47"/>
      <c r="J124" s="47"/>
      <c r="K124" s="47"/>
    </row>
    <row r="125" customFormat="false" ht="15" hidden="false" customHeight="false" outlineLevel="0" collapsed="false">
      <c r="A125" s="45"/>
      <c r="B125" s="45"/>
      <c r="C125" s="55" t="n">
        <f aca="false">FALSE()</f>
        <v>0</v>
      </c>
      <c r="D125" s="55" t="n">
        <f aca="false">FALSE()</f>
        <v>0</v>
      </c>
      <c r="E125" s="55" t="n">
        <f aca="false">FALSE()</f>
        <v>0</v>
      </c>
      <c r="F125" s="45"/>
      <c r="G125" s="45"/>
      <c r="H125" s="55" t="n">
        <f aca="false">FALSE()</f>
        <v>0</v>
      </c>
      <c r="I125" s="45"/>
      <c r="J125" s="45"/>
      <c r="K125" s="45"/>
    </row>
    <row r="126" customFormat="false" ht="15" hidden="false" customHeight="false" outlineLevel="0" collapsed="false">
      <c r="A126" s="47"/>
      <c r="B126" s="47"/>
      <c r="C126" s="53" t="n">
        <f aca="false">FALSE()</f>
        <v>0</v>
      </c>
      <c r="D126" s="53" t="n">
        <f aca="false">FALSE()</f>
        <v>0</v>
      </c>
      <c r="E126" s="53" t="n">
        <f aca="false">FALSE()</f>
        <v>0</v>
      </c>
      <c r="F126" s="47"/>
      <c r="G126" s="47"/>
      <c r="H126" s="53" t="n">
        <f aca="false">FALSE()</f>
        <v>0</v>
      </c>
      <c r="I126" s="47"/>
      <c r="J126" s="47"/>
      <c r="K126" s="47"/>
    </row>
    <row r="127" customFormat="false" ht="15" hidden="false" customHeight="false" outlineLevel="0" collapsed="false">
      <c r="A127" s="45"/>
      <c r="B127" s="45"/>
      <c r="C127" s="55" t="n">
        <f aca="false">FALSE()</f>
        <v>0</v>
      </c>
      <c r="D127" s="55" t="n">
        <f aca="false">FALSE()</f>
        <v>0</v>
      </c>
      <c r="E127" s="55" t="n">
        <f aca="false">FALSE()</f>
        <v>0</v>
      </c>
      <c r="F127" s="45"/>
      <c r="G127" s="45"/>
      <c r="H127" s="55" t="n">
        <f aca="false">FALSE()</f>
        <v>0</v>
      </c>
      <c r="I127" s="45"/>
      <c r="J127" s="45"/>
      <c r="K127" s="45"/>
    </row>
    <row r="128" customFormat="false" ht="15" hidden="false" customHeight="false" outlineLevel="0" collapsed="false">
      <c r="A128" s="47"/>
      <c r="B128" s="47"/>
      <c r="C128" s="53" t="n">
        <f aca="false">FALSE()</f>
        <v>0</v>
      </c>
      <c r="D128" s="53" t="n">
        <f aca="false">FALSE()</f>
        <v>0</v>
      </c>
      <c r="E128" s="53" t="n">
        <f aca="false">FALSE()</f>
        <v>0</v>
      </c>
      <c r="F128" s="47"/>
      <c r="G128" s="47"/>
      <c r="H128" s="53" t="n">
        <f aca="false">FALSE()</f>
        <v>0</v>
      </c>
      <c r="I128" s="47"/>
      <c r="J128" s="47"/>
      <c r="K128" s="47"/>
    </row>
    <row r="129" customFormat="false" ht="15" hidden="false" customHeight="false" outlineLevel="0" collapsed="false">
      <c r="A129" s="45"/>
      <c r="B129" s="45"/>
      <c r="C129" s="55" t="n">
        <f aca="false">FALSE()</f>
        <v>0</v>
      </c>
      <c r="D129" s="55" t="n">
        <f aca="false">FALSE()</f>
        <v>0</v>
      </c>
      <c r="E129" s="55" t="n">
        <f aca="false">FALSE()</f>
        <v>0</v>
      </c>
      <c r="F129" s="45"/>
      <c r="G129" s="45"/>
      <c r="H129" s="55" t="n">
        <f aca="false">FALSE()</f>
        <v>0</v>
      </c>
      <c r="I129" s="45"/>
      <c r="J129" s="45"/>
      <c r="K129" s="45"/>
    </row>
    <row r="130" customFormat="false" ht="15" hidden="false" customHeight="false" outlineLevel="0" collapsed="false">
      <c r="A130" s="47"/>
      <c r="B130" s="47"/>
      <c r="C130" s="53" t="n">
        <f aca="false">FALSE()</f>
        <v>0</v>
      </c>
      <c r="D130" s="53" t="n">
        <f aca="false">FALSE()</f>
        <v>0</v>
      </c>
      <c r="E130" s="53" t="n">
        <f aca="false">FALSE()</f>
        <v>0</v>
      </c>
      <c r="F130" s="47"/>
      <c r="G130" s="47"/>
      <c r="H130" s="53" t="n">
        <f aca="false">FALSE()</f>
        <v>0</v>
      </c>
      <c r="I130" s="47"/>
      <c r="J130" s="47"/>
      <c r="K130" s="47"/>
    </row>
    <row r="131" customFormat="false" ht="15" hidden="false" customHeight="false" outlineLevel="0" collapsed="false">
      <c r="A131" s="45"/>
      <c r="B131" s="45"/>
      <c r="C131" s="55" t="n">
        <f aca="false">FALSE()</f>
        <v>0</v>
      </c>
      <c r="D131" s="55" t="n">
        <f aca="false">FALSE()</f>
        <v>0</v>
      </c>
      <c r="E131" s="55" t="n">
        <f aca="false">FALSE()</f>
        <v>0</v>
      </c>
      <c r="F131" s="45"/>
      <c r="G131" s="45"/>
      <c r="H131" s="55" t="n">
        <f aca="false">FALSE()</f>
        <v>0</v>
      </c>
      <c r="I131" s="45"/>
      <c r="J131" s="45"/>
      <c r="K131" s="45"/>
    </row>
    <row r="132" customFormat="false" ht="15" hidden="false" customHeight="false" outlineLevel="0" collapsed="false">
      <c r="A132" s="47"/>
      <c r="B132" s="47"/>
      <c r="C132" s="53" t="n">
        <f aca="false">FALSE()</f>
        <v>0</v>
      </c>
      <c r="D132" s="53" t="n">
        <f aca="false">FALSE()</f>
        <v>0</v>
      </c>
      <c r="E132" s="53" t="n">
        <f aca="false">FALSE()</f>
        <v>0</v>
      </c>
      <c r="F132" s="47"/>
      <c r="G132" s="47"/>
      <c r="H132" s="53" t="n">
        <f aca="false">FALSE()</f>
        <v>0</v>
      </c>
      <c r="I132" s="47"/>
      <c r="J132" s="47"/>
      <c r="K132" s="47"/>
    </row>
    <row r="133" customFormat="false" ht="15" hidden="false" customHeight="false" outlineLevel="0" collapsed="false">
      <c r="A133" s="45"/>
      <c r="B133" s="45"/>
      <c r="C133" s="55" t="n">
        <f aca="false">FALSE()</f>
        <v>0</v>
      </c>
      <c r="D133" s="55" t="n">
        <f aca="false">FALSE()</f>
        <v>0</v>
      </c>
      <c r="E133" s="55" t="n">
        <f aca="false">FALSE()</f>
        <v>0</v>
      </c>
      <c r="F133" s="45"/>
      <c r="G133" s="45"/>
      <c r="H133" s="55" t="n">
        <f aca="false">FALSE()</f>
        <v>0</v>
      </c>
      <c r="I133" s="45"/>
      <c r="J133" s="45"/>
      <c r="K133" s="45"/>
    </row>
    <row r="134" customFormat="false" ht="15" hidden="false" customHeight="false" outlineLevel="0" collapsed="false">
      <c r="A134" s="47"/>
      <c r="B134" s="47"/>
      <c r="C134" s="53" t="n">
        <f aca="false">FALSE()</f>
        <v>0</v>
      </c>
      <c r="D134" s="53" t="n">
        <f aca="false">FALSE()</f>
        <v>0</v>
      </c>
      <c r="E134" s="53" t="n">
        <f aca="false">FALSE()</f>
        <v>0</v>
      </c>
      <c r="F134" s="47"/>
      <c r="G134" s="47"/>
      <c r="H134" s="53" t="n">
        <f aca="false">FALSE()</f>
        <v>0</v>
      </c>
      <c r="I134" s="47"/>
      <c r="J134" s="47"/>
      <c r="K134" s="47"/>
    </row>
    <row r="135" customFormat="false" ht="15" hidden="false" customHeight="false" outlineLevel="0" collapsed="false">
      <c r="A135" s="45"/>
      <c r="B135" s="45"/>
      <c r="C135" s="55" t="n">
        <f aca="false">FALSE()</f>
        <v>0</v>
      </c>
      <c r="D135" s="55" t="n">
        <f aca="false">FALSE()</f>
        <v>0</v>
      </c>
      <c r="E135" s="55" t="n">
        <f aca="false">FALSE()</f>
        <v>0</v>
      </c>
      <c r="F135" s="45"/>
      <c r="G135" s="45"/>
      <c r="H135" s="55" t="n">
        <f aca="false">FALSE()</f>
        <v>0</v>
      </c>
      <c r="I135" s="45"/>
      <c r="J135" s="45"/>
      <c r="K135" s="45"/>
    </row>
    <row r="136" customFormat="false" ht="15" hidden="false" customHeight="false" outlineLevel="0" collapsed="false">
      <c r="A136" s="47"/>
      <c r="B136" s="47"/>
      <c r="C136" s="53" t="n">
        <f aca="false">FALSE()</f>
        <v>0</v>
      </c>
      <c r="D136" s="53" t="n">
        <f aca="false">FALSE()</f>
        <v>0</v>
      </c>
      <c r="E136" s="53" t="n">
        <f aca="false">FALSE()</f>
        <v>0</v>
      </c>
      <c r="F136" s="47"/>
      <c r="G136" s="47"/>
      <c r="H136" s="53" t="n">
        <f aca="false">FALSE()</f>
        <v>0</v>
      </c>
      <c r="I136" s="47"/>
      <c r="J136" s="47"/>
      <c r="K136" s="47"/>
    </row>
    <row r="137" customFormat="false" ht="15" hidden="false" customHeight="false" outlineLevel="0" collapsed="false">
      <c r="A137" s="45"/>
      <c r="B137" s="45"/>
      <c r="C137" s="55" t="n">
        <f aca="false">FALSE()</f>
        <v>0</v>
      </c>
      <c r="D137" s="55" t="n">
        <f aca="false">FALSE()</f>
        <v>0</v>
      </c>
      <c r="E137" s="55" t="n">
        <f aca="false">FALSE()</f>
        <v>0</v>
      </c>
      <c r="F137" s="45"/>
      <c r="G137" s="45"/>
      <c r="H137" s="55" t="n">
        <f aca="false">FALSE()</f>
        <v>0</v>
      </c>
      <c r="I137" s="45"/>
      <c r="J137" s="45"/>
      <c r="K137" s="45"/>
    </row>
    <row r="138" customFormat="false" ht="15" hidden="false" customHeight="false" outlineLevel="0" collapsed="false">
      <c r="A138" s="47"/>
      <c r="B138" s="47"/>
      <c r="C138" s="53" t="n">
        <f aca="false">FALSE()</f>
        <v>0</v>
      </c>
      <c r="D138" s="53" t="n">
        <f aca="false">FALSE()</f>
        <v>0</v>
      </c>
      <c r="E138" s="53" t="n">
        <f aca="false">FALSE()</f>
        <v>0</v>
      </c>
      <c r="F138" s="47"/>
      <c r="G138" s="47"/>
      <c r="H138" s="53" t="n">
        <f aca="false">FALSE()</f>
        <v>0</v>
      </c>
      <c r="I138" s="47"/>
      <c r="J138" s="47"/>
      <c r="K138" s="47"/>
    </row>
    <row r="139" customFormat="false" ht="15" hidden="false" customHeight="false" outlineLevel="0" collapsed="false">
      <c r="A139" s="45"/>
      <c r="B139" s="45"/>
      <c r="C139" s="55" t="n">
        <f aca="false">FALSE()</f>
        <v>0</v>
      </c>
      <c r="D139" s="55" t="n">
        <f aca="false">FALSE()</f>
        <v>0</v>
      </c>
      <c r="E139" s="55" t="n">
        <f aca="false">FALSE()</f>
        <v>0</v>
      </c>
      <c r="F139" s="45"/>
      <c r="G139" s="45"/>
      <c r="H139" s="55" t="n">
        <f aca="false">FALSE()</f>
        <v>0</v>
      </c>
      <c r="I139" s="45"/>
      <c r="J139" s="45"/>
      <c r="K139" s="45"/>
    </row>
    <row r="140" customFormat="false" ht="15" hidden="false" customHeight="false" outlineLevel="0" collapsed="false">
      <c r="A140" s="47"/>
      <c r="B140" s="47"/>
      <c r="C140" s="53" t="n">
        <f aca="false">FALSE()</f>
        <v>0</v>
      </c>
      <c r="D140" s="53" t="n">
        <f aca="false">FALSE()</f>
        <v>0</v>
      </c>
      <c r="E140" s="53" t="n">
        <f aca="false">FALSE()</f>
        <v>0</v>
      </c>
      <c r="F140" s="47"/>
      <c r="G140" s="47"/>
      <c r="H140" s="53" t="n">
        <f aca="false">FALSE()</f>
        <v>0</v>
      </c>
      <c r="I140" s="47"/>
      <c r="J140" s="47"/>
      <c r="K140" s="47"/>
    </row>
    <row r="141" customFormat="false" ht="15" hidden="false" customHeight="false" outlineLevel="0" collapsed="false">
      <c r="A141" s="45"/>
      <c r="B141" s="45"/>
      <c r="C141" s="55" t="n">
        <f aca="false">FALSE()</f>
        <v>0</v>
      </c>
      <c r="D141" s="55" t="n">
        <f aca="false">FALSE()</f>
        <v>0</v>
      </c>
      <c r="E141" s="55" t="n">
        <f aca="false">FALSE()</f>
        <v>0</v>
      </c>
      <c r="F141" s="45"/>
      <c r="G141" s="45"/>
      <c r="H141" s="55" t="n">
        <f aca="false">FALSE()</f>
        <v>0</v>
      </c>
      <c r="I141" s="45"/>
      <c r="J141" s="45"/>
      <c r="K141" s="45"/>
    </row>
    <row r="142" customFormat="false" ht="15" hidden="false" customHeight="false" outlineLevel="0" collapsed="false">
      <c r="A142" s="47"/>
      <c r="B142" s="47"/>
      <c r="C142" s="53" t="n">
        <f aca="false">FALSE()</f>
        <v>0</v>
      </c>
      <c r="D142" s="53" t="n">
        <f aca="false">FALSE()</f>
        <v>0</v>
      </c>
      <c r="E142" s="53" t="n">
        <f aca="false">FALSE()</f>
        <v>0</v>
      </c>
      <c r="F142" s="47"/>
      <c r="G142" s="47"/>
      <c r="H142" s="53" t="n">
        <f aca="false">FALSE()</f>
        <v>0</v>
      </c>
      <c r="I142" s="47"/>
      <c r="J142" s="47"/>
      <c r="K142" s="47"/>
    </row>
    <row r="143" customFormat="false" ht="15" hidden="false" customHeight="false" outlineLevel="0" collapsed="false">
      <c r="A143" s="45"/>
      <c r="B143" s="45"/>
      <c r="C143" s="55" t="n">
        <f aca="false">FALSE()</f>
        <v>0</v>
      </c>
      <c r="D143" s="55" t="n">
        <f aca="false">FALSE()</f>
        <v>0</v>
      </c>
      <c r="E143" s="55" t="n">
        <f aca="false">FALSE()</f>
        <v>0</v>
      </c>
      <c r="F143" s="45"/>
      <c r="G143" s="45"/>
      <c r="H143" s="55" t="n">
        <f aca="false">FALSE()</f>
        <v>0</v>
      </c>
      <c r="I143" s="45"/>
      <c r="J143" s="45"/>
      <c r="K143" s="45"/>
    </row>
    <row r="144" customFormat="false" ht="15" hidden="false" customHeight="false" outlineLevel="0" collapsed="false">
      <c r="A144" s="47"/>
      <c r="B144" s="47"/>
      <c r="C144" s="53" t="n">
        <f aca="false">FALSE()</f>
        <v>0</v>
      </c>
      <c r="D144" s="53" t="n">
        <f aca="false">FALSE()</f>
        <v>0</v>
      </c>
      <c r="E144" s="53" t="n">
        <f aca="false">FALSE()</f>
        <v>0</v>
      </c>
      <c r="F144" s="47"/>
      <c r="G144" s="47"/>
      <c r="H144" s="53" t="n">
        <f aca="false">FALSE()</f>
        <v>0</v>
      </c>
      <c r="I144" s="47"/>
      <c r="J144" s="47"/>
      <c r="K144" s="47"/>
    </row>
    <row r="145" customFormat="false" ht="15" hidden="false" customHeight="false" outlineLevel="0" collapsed="false">
      <c r="A145" s="45"/>
      <c r="B145" s="45"/>
      <c r="C145" s="55" t="n">
        <f aca="false">FALSE()</f>
        <v>0</v>
      </c>
      <c r="D145" s="55" t="n">
        <f aca="false">FALSE()</f>
        <v>0</v>
      </c>
      <c r="E145" s="55" t="n">
        <f aca="false">FALSE()</f>
        <v>0</v>
      </c>
      <c r="F145" s="45"/>
      <c r="G145" s="45"/>
      <c r="H145" s="55" t="n">
        <f aca="false">FALSE()</f>
        <v>0</v>
      </c>
      <c r="I145" s="45"/>
      <c r="J145" s="45"/>
      <c r="K145" s="45"/>
    </row>
    <row r="146" customFormat="false" ht="15" hidden="false" customHeight="false" outlineLevel="0" collapsed="false">
      <c r="A146" s="47"/>
      <c r="B146" s="47"/>
      <c r="C146" s="53" t="n">
        <f aca="false">FALSE()</f>
        <v>0</v>
      </c>
      <c r="D146" s="53" t="n">
        <f aca="false">FALSE()</f>
        <v>0</v>
      </c>
      <c r="E146" s="53" t="n">
        <f aca="false">FALSE()</f>
        <v>0</v>
      </c>
      <c r="F146" s="47"/>
      <c r="G146" s="47"/>
      <c r="H146" s="53" t="n">
        <f aca="false">FALSE()</f>
        <v>0</v>
      </c>
      <c r="I146" s="47"/>
      <c r="J146" s="47"/>
      <c r="K146" s="47"/>
    </row>
    <row r="147" customFormat="false" ht="15" hidden="false" customHeight="false" outlineLevel="0" collapsed="false">
      <c r="A147" s="45"/>
      <c r="B147" s="45"/>
      <c r="C147" s="55" t="n">
        <f aca="false">FALSE()</f>
        <v>0</v>
      </c>
      <c r="D147" s="55" t="n">
        <f aca="false">FALSE()</f>
        <v>0</v>
      </c>
      <c r="E147" s="55" t="n">
        <f aca="false">FALSE()</f>
        <v>0</v>
      </c>
      <c r="F147" s="45"/>
      <c r="G147" s="45"/>
      <c r="H147" s="55" t="n">
        <f aca="false">FALSE()</f>
        <v>0</v>
      </c>
      <c r="I147" s="45"/>
      <c r="J147" s="45"/>
      <c r="K147" s="45"/>
    </row>
    <row r="148" customFormat="false" ht="15" hidden="false" customHeight="false" outlineLevel="0" collapsed="false">
      <c r="A148" s="47"/>
      <c r="B148" s="47"/>
      <c r="C148" s="53" t="n">
        <f aca="false">FALSE()</f>
        <v>0</v>
      </c>
      <c r="D148" s="53" t="n">
        <f aca="false">FALSE()</f>
        <v>0</v>
      </c>
      <c r="E148" s="53" t="n">
        <f aca="false">FALSE()</f>
        <v>0</v>
      </c>
      <c r="F148" s="47"/>
      <c r="G148" s="47"/>
      <c r="H148" s="53" t="n">
        <f aca="false">FALSE()</f>
        <v>0</v>
      </c>
      <c r="I148" s="47"/>
      <c r="J148" s="47"/>
      <c r="K148" s="47"/>
    </row>
    <row r="149" customFormat="false" ht="15" hidden="false" customHeight="false" outlineLevel="0" collapsed="false">
      <c r="A149" s="45"/>
      <c r="B149" s="45"/>
      <c r="C149" s="55" t="n">
        <f aca="false">FALSE()</f>
        <v>0</v>
      </c>
      <c r="D149" s="55" t="n">
        <f aca="false">FALSE()</f>
        <v>0</v>
      </c>
      <c r="E149" s="55" t="n">
        <f aca="false">FALSE()</f>
        <v>0</v>
      </c>
      <c r="F149" s="45"/>
      <c r="G149" s="45"/>
      <c r="H149" s="55" t="n">
        <f aca="false">FALSE()</f>
        <v>0</v>
      </c>
      <c r="I149" s="45"/>
      <c r="J149" s="45"/>
      <c r="K149" s="45"/>
    </row>
    <row r="150" customFormat="false" ht="15" hidden="false" customHeight="false" outlineLevel="0" collapsed="false">
      <c r="A150" s="47"/>
      <c r="B150" s="47"/>
      <c r="C150" s="53" t="n">
        <f aca="false">FALSE()</f>
        <v>0</v>
      </c>
      <c r="D150" s="53" t="n">
        <f aca="false">FALSE()</f>
        <v>0</v>
      </c>
      <c r="E150" s="53" t="n">
        <f aca="false">FALSE()</f>
        <v>0</v>
      </c>
      <c r="F150" s="47"/>
      <c r="G150" s="47"/>
      <c r="H150" s="53" t="n">
        <f aca="false">FALSE()</f>
        <v>0</v>
      </c>
      <c r="I150" s="47"/>
      <c r="J150" s="47"/>
      <c r="K150" s="47"/>
    </row>
    <row r="151" customFormat="false" ht="15" hidden="false" customHeight="false" outlineLevel="0" collapsed="false">
      <c r="A151" s="45"/>
      <c r="B151" s="45"/>
      <c r="C151" s="55" t="n">
        <f aca="false">FALSE()</f>
        <v>0</v>
      </c>
      <c r="D151" s="55" t="n">
        <f aca="false">FALSE()</f>
        <v>0</v>
      </c>
      <c r="E151" s="55" t="n">
        <f aca="false">FALSE()</f>
        <v>0</v>
      </c>
      <c r="F151" s="45"/>
      <c r="G151" s="45"/>
      <c r="H151" s="55" t="n">
        <f aca="false">FALSE()</f>
        <v>0</v>
      </c>
      <c r="I151" s="45"/>
      <c r="J151" s="45"/>
      <c r="K151" s="45"/>
    </row>
    <row r="152" customFormat="false" ht="15" hidden="false" customHeight="false" outlineLevel="0" collapsed="false">
      <c r="A152" s="47"/>
      <c r="B152" s="47"/>
      <c r="C152" s="53" t="n">
        <f aca="false">FALSE()</f>
        <v>0</v>
      </c>
      <c r="D152" s="53" t="n">
        <f aca="false">FALSE()</f>
        <v>0</v>
      </c>
      <c r="E152" s="53" t="n">
        <f aca="false">FALSE()</f>
        <v>0</v>
      </c>
      <c r="F152" s="47"/>
      <c r="G152" s="47"/>
      <c r="H152" s="53" t="n">
        <f aca="false">FALSE()</f>
        <v>0</v>
      </c>
      <c r="I152" s="47"/>
      <c r="J152" s="47"/>
      <c r="K152" s="47"/>
    </row>
    <row r="153" customFormat="false" ht="15" hidden="false" customHeight="false" outlineLevel="0" collapsed="false">
      <c r="A153" s="45"/>
      <c r="B153" s="45"/>
      <c r="C153" s="55" t="n">
        <f aca="false">FALSE()</f>
        <v>0</v>
      </c>
      <c r="D153" s="55" t="n">
        <f aca="false">FALSE()</f>
        <v>0</v>
      </c>
      <c r="E153" s="55" t="n">
        <f aca="false">FALSE()</f>
        <v>0</v>
      </c>
      <c r="F153" s="45"/>
      <c r="G153" s="45"/>
      <c r="H153" s="55" t="n">
        <f aca="false">FALSE()</f>
        <v>0</v>
      </c>
      <c r="I153" s="45"/>
      <c r="J153" s="45"/>
      <c r="K153" s="45"/>
    </row>
    <row r="154" customFormat="false" ht="15" hidden="false" customHeight="false" outlineLevel="0" collapsed="false">
      <c r="A154" s="47"/>
      <c r="B154" s="47"/>
      <c r="C154" s="53" t="n">
        <f aca="false">FALSE()</f>
        <v>0</v>
      </c>
      <c r="D154" s="53" t="n">
        <f aca="false">FALSE()</f>
        <v>0</v>
      </c>
      <c r="E154" s="53" t="n">
        <f aca="false">FALSE()</f>
        <v>0</v>
      </c>
      <c r="F154" s="47"/>
      <c r="G154" s="47"/>
      <c r="H154" s="53" t="n">
        <f aca="false">FALSE()</f>
        <v>0</v>
      </c>
      <c r="I154" s="47"/>
      <c r="J154" s="47"/>
      <c r="K154" s="47"/>
    </row>
    <row r="155" customFormat="false" ht="15" hidden="false" customHeight="false" outlineLevel="0" collapsed="false">
      <c r="A155" s="45"/>
      <c r="B155" s="45"/>
      <c r="C155" s="55" t="n">
        <f aca="false">FALSE()</f>
        <v>0</v>
      </c>
      <c r="D155" s="55" t="n">
        <f aca="false">FALSE()</f>
        <v>0</v>
      </c>
      <c r="E155" s="55" t="n">
        <f aca="false">FALSE()</f>
        <v>0</v>
      </c>
      <c r="F155" s="45"/>
      <c r="G155" s="45"/>
      <c r="H155" s="55" t="n">
        <f aca="false">FALSE()</f>
        <v>0</v>
      </c>
      <c r="I155" s="45"/>
      <c r="J155" s="45"/>
      <c r="K155" s="45"/>
    </row>
    <row r="156" customFormat="false" ht="15" hidden="false" customHeight="false" outlineLevel="0" collapsed="false">
      <c r="A156" s="47"/>
      <c r="B156" s="47"/>
      <c r="C156" s="53" t="n">
        <f aca="false">FALSE()</f>
        <v>0</v>
      </c>
      <c r="D156" s="53" t="n">
        <f aca="false">FALSE()</f>
        <v>0</v>
      </c>
      <c r="E156" s="53" t="n">
        <f aca="false">FALSE()</f>
        <v>0</v>
      </c>
      <c r="F156" s="47"/>
      <c r="G156" s="47"/>
      <c r="H156" s="53" t="n">
        <f aca="false">FALSE()</f>
        <v>0</v>
      </c>
      <c r="I156" s="47"/>
      <c r="J156" s="47"/>
      <c r="K156" s="47"/>
    </row>
    <row r="157" customFormat="false" ht="15" hidden="false" customHeight="false" outlineLevel="0" collapsed="false">
      <c r="A157" s="45"/>
      <c r="B157" s="45"/>
      <c r="C157" s="55" t="n">
        <f aca="false">FALSE()</f>
        <v>0</v>
      </c>
      <c r="D157" s="55" t="n">
        <f aca="false">FALSE()</f>
        <v>0</v>
      </c>
      <c r="E157" s="55" t="n">
        <f aca="false">FALSE()</f>
        <v>0</v>
      </c>
      <c r="F157" s="45"/>
      <c r="G157" s="45"/>
      <c r="H157" s="55" t="n">
        <f aca="false">FALSE()</f>
        <v>0</v>
      </c>
      <c r="I157" s="45"/>
      <c r="J157" s="45"/>
      <c r="K157" s="45"/>
    </row>
    <row r="158" customFormat="false" ht="15" hidden="false" customHeight="false" outlineLevel="0" collapsed="false">
      <c r="A158" s="47"/>
      <c r="B158" s="47"/>
      <c r="C158" s="53" t="n">
        <f aca="false">FALSE()</f>
        <v>0</v>
      </c>
      <c r="D158" s="53" t="n">
        <f aca="false">FALSE()</f>
        <v>0</v>
      </c>
      <c r="E158" s="53" t="n">
        <f aca="false">FALSE()</f>
        <v>0</v>
      </c>
      <c r="F158" s="47"/>
      <c r="G158" s="47"/>
      <c r="H158" s="53" t="n">
        <f aca="false">FALSE()</f>
        <v>0</v>
      </c>
      <c r="I158" s="47"/>
      <c r="J158" s="47"/>
      <c r="K158" s="47"/>
    </row>
    <row r="159" customFormat="false" ht="15" hidden="false" customHeight="false" outlineLevel="0" collapsed="false">
      <c r="A159" s="45"/>
      <c r="B159" s="45"/>
      <c r="C159" s="55" t="n">
        <f aca="false">FALSE()</f>
        <v>0</v>
      </c>
      <c r="D159" s="55" t="n">
        <f aca="false">FALSE()</f>
        <v>0</v>
      </c>
      <c r="E159" s="55" t="n">
        <f aca="false">FALSE()</f>
        <v>0</v>
      </c>
      <c r="F159" s="45"/>
      <c r="G159" s="45"/>
      <c r="H159" s="55" t="n">
        <f aca="false">FALSE()</f>
        <v>0</v>
      </c>
      <c r="I159" s="45"/>
      <c r="J159" s="45"/>
      <c r="K159" s="45"/>
    </row>
    <row r="160" customFormat="false" ht="15" hidden="false" customHeight="false" outlineLevel="0" collapsed="false">
      <c r="A160" s="47"/>
      <c r="B160" s="47"/>
      <c r="C160" s="53" t="n">
        <f aca="false">FALSE()</f>
        <v>0</v>
      </c>
      <c r="D160" s="53" t="n">
        <f aca="false">FALSE()</f>
        <v>0</v>
      </c>
      <c r="E160" s="53" t="n">
        <f aca="false">FALSE()</f>
        <v>0</v>
      </c>
      <c r="F160" s="47"/>
      <c r="G160" s="47"/>
      <c r="H160" s="53" t="n">
        <f aca="false">FALSE()</f>
        <v>0</v>
      </c>
      <c r="I160" s="47"/>
      <c r="J160" s="47"/>
      <c r="K160" s="47"/>
    </row>
    <row r="161" customFormat="false" ht="15" hidden="false" customHeight="false" outlineLevel="0" collapsed="false">
      <c r="A161" s="45"/>
      <c r="B161" s="45"/>
      <c r="C161" s="55" t="n">
        <f aca="false">FALSE()</f>
        <v>0</v>
      </c>
      <c r="D161" s="55" t="n">
        <f aca="false">FALSE()</f>
        <v>0</v>
      </c>
      <c r="E161" s="55" t="n">
        <f aca="false">FALSE()</f>
        <v>0</v>
      </c>
      <c r="F161" s="45"/>
      <c r="G161" s="45"/>
      <c r="H161" s="55" t="n">
        <f aca="false">FALSE()</f>
        <v>0</v>
      </c>
      <c r="I161" s="45"/>
      <c r="J161" s="45"/>
      <c r="K161" s="45"/>
    </row>
    <row r="162" customFormat="false" ht="15" hidden="false" customHeight="false" outlineLevel="0" collapsed="false">
      <c r="A162" s="47"/>
      <c r="B162" s="47"/>
      <c r="C162" s="53" t="n">
        <f aca="false">FALSE()</f>
        <v>0</v>
      </c>
      <c r="D162" s="53" t="n">
        <f aca="false">FALSE()</f>
        <v>0</v>
      </c>
      <c r="E162" s="53" t="n">
        <f aca="false">FALSE()</f>
        <v>0</v>
      </c>
      <c r="F162" s="47"/>
      <c r="G162" s="47"/>
      <c r="H162" s="53" t="n">
        <f aca="false">FALSE()</f>
        <v>0</v>
      </c>
      <c r="I162" s="47"/>
      <c r="J162" s="47"/>
      <c r="K162" s="47"/>
    </row>
    <row r="163" customFormat="false" ht="15" hidden="false" customHeight="false" outlineLevel="0" collapsed="false">
      <c r="A163" s="45"/>
      <c r="B163" s="45"/>
      <c r="C163" s="55" t="n">
        <f aca="false">FALSE()</f>
        <v>0</v>
      </c>
      <c r="D163" s="55" t="n">
        <f aca="false">FALSE()</f>
        <v>0</v>
      </c>
      <c r="E163" s="55" t="n">
        <f aca="false">FALSE()</f>
        <v>0</v>
      </c>
      <c r="F163" s="45"/>
      <c r="G163" s="45"/>
      <c r="H163" s="55" t="n">
        <f aca="false">FALSE()</f>
        <v>0</v>
      </c>
      <c r="I163" s="45"/>
      <c r="J163" s="45"/>
      <c r="K163" s="45"/>
    </row>
    <row r="164" customFormat="false" ht="15" hidden="false" customHeight="false" outlineLevel="0" collapsed="false">
      <c r="A164" s="47"/>
      <c r="B164" s="47"/>
      <c r="C164" s="53" t="n">
        <f aca="false">FALSE()</f>
        <v>0</v>
      </c>
      <c r="D164" s="53" t="n">
        <f aca="false">FALSE()</f>
        <v>0</v>
      </c>
      <c r="E164" s="53" t="n">
        <f aca="false">FALSE()</f>
        <v>0</v>
      </c>
      <c r="F164" s="47"/>
      <c r="G164" s="47"/>
      <c r="H164" s="53" t="n">
        <f aca="false">FALSE()</f>
        <v>0</v>
      </c>
      <c r="I164" s="47"/>
      <c r="J164" s="47"/>
      <c r="K164" s="47"/>
    </row>
    <row r="165" customFormat="false" ht="15" hidden="false" customHeight="false" outlineLevel="0" collapsed="false">
      <c r="A165" s="45"/>
      <c r="B165" s="45"/>
      <c r="C165" s="55" t="n">
        <f aca="false">FALSE()</f>
        <v>0</v>
      </c>
      <c r="D165" s="55" t="n">
        <f aca="false">FALSE()</f>
        <v>0</v>
      </c>
      <c r="E165" s="55" t="n">
        <f aca="false">FALSE()</f>
        <v>0</v>
      </c>
      <c r="F165" s="45"/>
      <c r="G165" s="45"/>
      <c r="H165" s="55" t="n">
        <f aca="false">FALSE()</f>
        <v>0</v>
      </c>
      <c r="I165" s="45"/>
      <c r="J165" s="45"/>
      <c r="K165" s="45"/>
    </row>
    <row r="166" customFormat="false" ht="15" hidden="false" customHeight="false" outlineLevel="0" collapsed="false">
      <c r="A166" s="47"/>
      <c r="B166" s="47"/>
      <c r="C166" s="53" t="n">
        <f aca="false">FALSE()</f>
        <v>0</v>
      </c>
      <c r="D166" s="53" t="n">
        <f aca="false">FALSE()</f>
        <v>0</v>
      </c>
      <c r="E166" s="53" t="n">
        <f aca="false">FALSE()</f>
        <v>0</v>
      </c>
      <c r="F166" s="47"/>
      <c r="G166" s="47"/>
      <c r="H166" s="53" t="n">
        <f aca="false">FALSE()</f>
        <v>0</v>
      </c>
      <c r="I166" s="47"/>
      <c r="J166" s="47"/>
      <c r="K166" s="47"/>
    </row>
    <row r="167" customFormat="false" ht="15" hidden="false" customHeight="false" outlineLevel="0" collapsed="false">
      <c r="A167" s="45"/>
      <c r="B167" s="45"/>
      <c r="C167" s="55" t="n">
        <f aca="false">FALSE()</f>
        <v>0</v>
      </c>
      <c r="D167" s="55" t="n">
        <f aca="false">FALSE()</f>
        <v>0</v>
      </c>
      <c r="E167" s="55" t="n">
        <f aca="false">FALSE()</f>
        <v>0</v>
      </c>
      <c r="F167" s="45"/>
      <c r="G167" s="45"/>
      <c r="H167" s="55" t="n">
        <f aca="false">FALSE()</f>
        <v>0</v>
      </c>
      <c r="I167" s="45"/>
      <c r="J167" s="45"/>
      <c r="K167" s="45"/>
    </row>
    <row r="168" customFormat="false" ht="15" hidden="false" customHeight="false" outlineLevel="0" collapsed="false">
      <c r="A168" s="47"/>
      <c r="B168" s="47"/>
      <c r="C168" s="53" t="n">
        <f aca="false">FALSE()</f>
        <v>0</v>
      </c>
      <c r="D168" s="53" t="n">
        <f aca="false">FALSE()</f>
        <v>0</v>
      </c>
      <c r="E168" s="53" t="n">
        <f aca="false">FALSE()</f>
        <v>0</v>
      </c>
      <c r="F168" s="47"/>
      <c r="G168" s="47"/>
      <c r="H168" s="53" t="n">
        <f aca="false">FALSE()</f>
        <v>0</v>
      </c>
      <c r="I168" s="47"/>
      <c r="J168" s="47"/>
      <c r="K168" s="47"/>
    </row>
    <row r="169" customFormat="false" ht="15" hidden="false" customHeight="false" outlineLevel="0" collapsed="false">
      <c r="A169" s="45"/>
      <c r="B169" s="45"/>
      <c r="C169" s="55" t="n">
        <f aca="false">FALSE()</f>
        <v>0</v>
      </c>
      <c r="D169" s="55" t="n">
        <f aca="false">FALSE()</f>
        <v>0</v>
      </c>
      <c r="E169" s="55" t="n">
        <f aca="false">FALSE()</f>
        <v>0</v>
      </c>
      <c r="F169" s="45"/>
      <c r="G169" s="45"/>
      <c r="H169" s="55" t="n">
        <f aca="false">FALSE()</f>
        <v>0</v>
      </c>
      <c r="I169" s="45"/>
      <c r="J169" s="45"/>
      <c r="K169" s="45"/>
    </row>
    <row r="170" customFormat="false" ht="15" hidden="false" customHeight="false" outlineLevel="0" collapsed="false">
      <c r="A170" s="47"/>
      <c r="B170" s="47"/>
      <c r="C170" s="53" t="n">
        <f aca="false">FALSE()</f>
        <v>0</v>
      </c>
      <c r="D170" s="53" t="n">
        <f aca="false">FALSE()</f>
        <v>0</v>
      </c>
      <c r="E170" s="53" t="n">
        <f aca="false">FALSE()</f>
        <v>0</v>
      </c>
      <c r="F170" s="47"/>
      <c r="G170" s="47"/>
      <c r="H170" s="53" t="n">
        <f aca="false">FALSE()</f>
        <v>0</v>
      </c>
      <c r="I170" s="47"/>
      <c r="J170" s="47"/>
      <c r="K170" s="47"/>
    </row>
    <row r="171" customFormat="false" ht="15" hidden="false" customHeight="false" outlineLevel="0" collapsed="false">
      <c r="A171" s="45"/>
      <c r="B171" s="45"/>
      <c r="C171" s="55" t="n">
        <f aca="false">FALSE()</f>
        <v>0</v>
      </c>
      <c r="D171" s="55" t="n">
        <f aca="false">FALSE()</f>
        <v>0</v>
      </c>
      <c r="E171" s="55" t="n">
        <f aca="false">FALSE()</f>
        <v>0</v>
      </c>
      <c r="F171" s="45"/>
      <c r="G171" s="45"/>
      <c r="H171" s="55" t="n">
        <f aca="false">FALSE()</f>
        <v>0</v>
      </c>
      <c r="I171" s="45"/>
      <c r="J171" s="45"/>
      <c r="K171" s="45"/>
    </row>
    <row r="172" customFormat="false" ht="15" hidden="false" customHeight="false" outlineLevel="0" collapsed="false">
      <c r="A172" s="47"/>
      <c r="B172" s="47"/>
      <c r="C172" s="53" t="n">
        <f aca="false">FALSE()</f>
        <v>0</v>
      </c>
      <c r="D172" s="53" t="n">
        <f aca="false">FALSE()</f>
        <v>0</v>
      </c>
      <c r="E172" s="53" t="n">
        <f aca="false">FALSE()</f>
        <v>0</v>
      </c>
      <c r="F172" s="47"/>
      <c r="G172" s="47"/>
      <c r="H172" s="53" t="n">
        <f aca="false">FALSE()</f>
        <v>0</v>
      </c>
      <c r="I172" s="47"/>
      <c r="J172" s="47"/>
      <c r="K172" s="47"/>
    </row>
    <row r="173" customFormat="false" ht="15" hidden="false" customHeight="false" outlineLevel="0" collapsed="false">
      <c r="A173" s="45"/>
      <c r="B173" s="45"/>
      <c r="C173" s="55" t="n">
        <f aca="false">FALSE()</f>
        <v>0</v>
      </c>
      <c r="D173" s="55" t="n">
        <f aca="false">FALSE()</f>
        <v>0</v>
      </c>
      <c r="E173" s="55" t="n">
        <f aca="false">FALSE()</f>
        <v>0</v>
      </c>
      <c r="F173" s="45"/>
      <c r="G173" s="45"/>
      <c r="H173" s="55" t="n">
        <f aca="false">FALSE()</f>
        <v>0</v>
      </c>
      <c r="I173" s="45"/>
      <c r="J173" s="45"/>
      <c r="K173" s="45"/>
    </row>
    <row r="174" customFormat="false" ht="15" hidden="false" customHeight="false" outlineLevel="0" collapsed="false">
      <c r="A174" s="47"/>
      <c r="B174" s="47"/>
      <c r="C174" s="53" t="n">
        <f aca="false">FALSE()</f>
        <v>0</v>
      </c>
      <c r="D174" s="53" t="n">
        <f aca="false">FALSE()</f>
        <v>0</v>
      </c>
      <c r="E174" s="53" t="n">
        <f aca="false">FALSE()</f>
        <v>0</v>
      </c>
      <c r="F174" s="47"/>
      <c r="G174" s="47"/>
      <c r="H174" s="53" t="n">
        <f aca="false">FALSE()</f>
        <v>0</v>
      </c>
      <c r="I174" s="47"/>
      <c r="J174" s="47"/>
      <c r="K174" s="47"/>
    </row>
    <row r="175" customFormat="false" ht="15" hidden="false" customHeight="false" outlineLevel="0" collapsed="false">
      <c r="A175" s="45"/>
      <c r="B175" s="45"/>
      <c r="C175" s="55" t="n">
        <f aca="false">FALSE()</f>
        <v>0</v>
      </c>
      <c r="D175" s="55" t="n">
        <f aca="false">FALSE()</f>
        <v>0</v>
      </c>
      <c r="E175" s="55" t="n">
        <f aca="false">FALSE()</f>
        <v>0</v>
      </c>
      <c r="F175" s="45"/>
      <c r="G175" s="45"/>
      <c r="H175" s="55" t="n">
        <f aca="false">FALSE()</f>
        <v>0</v>
      </c>
      <c r="I175" s="45"/>
      <c r="J175" s="45"/>
      <c r="K175" s="45"/>
    </row>
    <row r="176" customFormat="false" ht="15" hidden="false" customHeight="false" outlineLevel="0" collapsed="false">
      <c r="A176" s="47"/>
      <c r="B176" s="47"/>
      <c r="C176" s="53" t="n">
        <f aca="false">FALSE()</f>
        <v>0</v>
      </c>
      <c r="D176" s="53" t="n">
        <f aca="false">FALSE()</f>
        <v>0</v>
      </c>
      <c r="E176" s="53" t="n">
        <f aca="false">FALSE()</f>
        <v>0</v>
      </c>
      <c r="F176" s="47"/>
      <c r="G176" s="47"/>
      <c r="H176" s="53" t="n">
        <f aca="false">FALSE()</f>
        <v>0</v>
      </c>
      <c r="I176" s="47"/>
      <c r="J176" s="47"/>
      <c r="K176" s="47"/>
    </row>
    <row r="177" customFormat="false" ht="15" hidden="false" customHeight="false" outlineLevel="0" collapsed="false">
      <c r="A177" s="45"/>
      <c r="B177" s="45"/>
      <c r="C177" s="55" t="n">
        <f aca="false">FALSE()</f>
        <v>0</v>
      </c>
      <c r="D177" s="55" t="n">
        <f aca="false">FALSE()</f>
        <v>0</v>
      </c>
      <c r="E177" s="55" t="n">
        <f aca="false">FALSE()</f>
        <v>0</v>
      </c>
      <c r="F177" s="45"/>
      <c r="G177" s="45"/>
      <c r="H177" s="55" t="n">
        <f aca="false">FALSE()</f>
        <v>0</v>
      </c>
      <c r="I177" s="45"/>
      <c r="J177" s="45"/>
      <c r="K177" s="45"/>
    </row>
    <row r="178" customFormat="false" ht="15" hidden="false" customHeight="false" outlineLevel="0" collapsed="false">
      <c r="A178" s="47"/>
      <c r="B178" s="47"/>
      <c r="C178" s="53" t="n">
        <f aca="false">FALSE()</f>
        <v>0</v>
      </c>
      <c r="D178" s="53" t="n">
        <f aca="false">FALSE()</f>
        <v>0</v>
      </c>
      <c r="E178" s="53" t="n">
        <f aca="false">FALSE()</f>
        <v>0</v>
      </c>
      <c r="F178" s="47"/>
      <c r="G178" s="47"/>
      <c r="H178" s="53" t="n">
        <f aca="false">FALSE()</f>
        <v>0</v>
      </c>
      <c r="I178" s="47"/>
      <c r="J178" s="47"/>
      <c r="K178" s="47"/>
    </row>
    <row r="179" customFormat="false" ht="15" hidden="false" customHeight="false" outlineLevel="0" collapsed="false">
      <c r="A179" s="45"/>
      <c r="B179" s="45"/>
      <c r="C179" s="55" t="n">
        <f aca="false">FALSE()</f>
        <v>0</v>
      </c>
      <c r="D179" s="55" t="n">
        <f aca="false">FALSE()</f>
        <v>0</v>
      </c>
      <c r="E179" s="55" t="n">
        <f aca="false">FALSE()</f>
        <v>0</v>
      </c>
      <c r="F179" s="45"/>
      <c r="G179" s="45"/>
      <c r="H179" s="55" t="n">
        <f aca="false">FALSE()</f>
        <v>0</v>
      </c>
      <c r="I179" s="45"/>
      <c r="J179" s="45"/>
      <c r="K179" s="45"/>
    </row>
    <row r="180" customFormat="false" ht="15" hidden="false" customHeight="false" outlineLevel="0" collapsed="false">
      <c r="A180" s="47"/>
      <c r="B180" s="47"/>
      <c r="C180" s="53" t="n">
        <f aca="false">FALSE()</f>
        <v>0</v>
      </c>
      <c r="D180" s="53" t="n">
        <f aca="false">FALSE()</f>
        <v>0</v>
      </c>
      <c r="E180" s="53" t="n">
        <f aca="false">FALSE()</f>
        <v>0</v>
      </c>
      <c r="F180" s="47"/>
      <c r="G180" s="47"/>
      <c r="H180" s="53" t="n">
        <f aca="false">FALSE()</f>
        <v>0</v>
      </c>
      <c r="I180" s="47"/>
      <c r="J180" s="47"/>
      <c r="K180" s="47"/>
    </row>
    <row r="181" customFormat="false" ht="15" hidden="false" customHeight="false" outlineLevel="0" collapsed="false">
      <c r="A181" s="45"/>
      <c r="B181" s="45"/>
      <c r="C181" s="55" t="n">
        <f aca="false">FALSE()</f>
        <v>0</v>
      </c>
      <c r="D181" s="55" t="n">
        <f aca="false">FALSE()</f>
        <v>0</v>
      </c>
      <c r="E181" s="55" t="n">
        <f aca="false">FALSE()</f>
        <v>0</v>
      </c>
      <c r="F181" s="45"/>
      <c r="G181" s="45"/>
      <c r="H181" s="55" t="n">
        <f aca="false">FALSE()</f>
        <v>0</v>
      </c>
      <c r="I181" s="45"/>
      <c r="J181" s="45"/>
      <c r="K181" s="45"/>
    </row>
    <row r="182" customFormat="false" ht="15" hidden="false" customHeight="false" outlineLevel="0" collapsed="false">
      <c r="A182" s="47"/>
      <c r="B182" s="47"/>
      <c r="C182" s="53" t="n">
        <f aca="false">FALSE()</f>
        <v>0</v>
      </c>
      <c r="D182" s="53" t="n">
        <f aca="false">FALSE()</f>
        <v>0</v>
      </c>
      <c r="E182" s="53" t="n">
        <f aca="false">FALSE()</f>
        <v>0</v>
      </c>
      <c r="F182" s="47"/>
      <c r="G182" s="47"/>
      <c r="H182" s="53" t="n">
        <f aca="false">FALSE()</f>
        <v>0</v>
      </c>
      <c r="I182" s="47"/>
      <c r="J182" s="47"/>
      <c r="K182" s="47"/>
    </row>
    <row r="183" customFormat="false" ht="15" hidden="false" customHeight="false" outlineLevel="0" collapsed="false">
      <c r="A183" s="45"/>
      <c r="B183" s="45"/>
      <c r="C183" s="55" t="n">
        <f aca="false">FALSE()</f>
        <v>0</v>
      </c>
      <c r="D183" s="55" t="n">
        <f aca="false">FALSE()</f>
        <v>0</v>
      </c>
      <c r="E183" s="55" t="n">
        <f aca="false">FALSE()</f>
        <v>0</v>
      </c>
      <c r="F183" s="45"/>
      <c r="G183" s="45"/>
      <c r="H183" s="55" t="n">
        <f aca="false">FALSE()</f>
        <v>0</v>
      </c>
      <c r="I183" s="45"/>
      <c r="J183" s="45"/>
      <c r="K183" s="45"/>
    </row>
    <row r="184" customFormat="false" ht="15" hidden="false" customHeight="false" outlineLevel="0" collapsed="false">
      <c r="A184" s="47"/>
      <c r="B184" s="47"/>
      <c r="C184" s="53" t="n">
        <f aca="false">FALSE()</f>
        <v>0</v>
      </c>
      <c r="D184" s="53" t="n">
        <f aca="false">FALSE()</f>
        <v>0</v>
      </c>
      <c r="E184" s="53" t="n">
        <f aca="false">FALSE()</f>
        <v>0</v>
      </c>
      <c r="F184" s="47"/>
      <c r="G184" s="47"/>
      <c r="H184" s="53" t="n">
        <f aca="false">FALSE()</f>
        <v>0</v>
      </c>
      <c r="I184" s="47"/>
      <c r="J184" s="47"/>
      <c r="K184" s="47"/>
    </row>
    <row r="185" customFormat="false" ht="15" hidden="false" customHeight="false" outlineLevel="0" collapsed="false">
      <c r="A185" s="45"/>
      <c r="B185" s="45"/>
      <c r="C185" s="55" t="n">
        <f aca="false">FALSE()</f>
        <v>0</v>
      </c>
      <c r="D185" s="55" t="n">
        <f aca="false">FALSE()</f>
        <v>0</v>
      </c>
      <c r="E185" s="55" t="n">
        <f aca="false">FALSE()</f>
        <v>0</v>
      </c>
      <c r="F185" s="45"/>
      <c r="G185" s="45"/>
      <c r="H185" s="55" t="n">
        <f aca="false">FALSE()</f>
        <v>0</v>
      </c>
      <c r="I185" s="45"/>
      <c r="J185" s="45"/>
      <c r="K185" s="45"/>
    </row>
    <row r="186" customFormat="false" ht="15" hidden="false" customHeight="false" outlineLevel="0" collapsed="false">
      <c r="A186" s="47"/>
      <c r="B186" s="47"/>
      <c r="C186" s="53" t="n">
        <f aca="false">FALSE()</f>
        <v>0</v>
      </c>
      <c r="D186" s="53" t="n">
        <f aca="false">FALSE()</f>
        <v>0</v>
      </c>
      <c r="E186" s="53" t="n">
        <f aca="false">FALSE()</f>
        <v>0</v>
      </c>
      <c r="F186" s="47"/>
      <c r="G186" s="47"/>
      <c r="H186" s="53" t="n">
        <f aca="false">FALSE()</f>
        <v>0</v>
      </c>
      <c r="I186" s="47"/>
      <c r="J186" s="47"/>
      <c r="K186" s="47"/>
    </row>
    <row r="187" customFormat="false" ht="15" hidden="false" customHeight="false" outlineLevel="0" collapsed="false">
      <c r="A187" s="45"/>
      <c r="B187" s="45"/>
      <c r="C187" s="55" t="n">
        <f aca="false">FALSE()</f>
        <v>0</v>
      </c>
      <c r="D187" s="55" t="n">
        <f aca="false">FALSE()</f>
        <v>0</v>
      </c>
      <c r="E187" s="55" t="n">
        <f aca="false">FALSE()</f>
        <v>0</v>
      </c>
      <c r="F187" s="45"/>
      <c r="G187" s="45"/>
      <c r="H187" s="55" t="n">
        <f aca="false">FALSE()</f>
        <v>0</v>
      </c>
      <c r="I187" s="45"/>
      <c r="J187" s="45"/>
      <c r="K187" s="45"/>
    </row>
    <row r="188" customFormat="false" ht="15" hidden="false" customHeight="false" outlineLevel="0" collapsed="false">
      <c r="A188" s="47"/>
      <c r="B188" s="47"/>
      <c r="C188" s="53" t="n">
        <f aca="false">FALSE()</f>
        <v>0</v>
      </c>
      <c r="D188" s="53" t="n">
        <f aca="false">FALSE()</f>
        <v>0</v>
      </c>
      <c r="E188" s="53" t="n">
        <f aca="false">FALSE()</f>
        <v>0</v>
      </c>
      <c r="F188" s="47"/>
      <c r="G188" s="47"/>
      <c r="H188" s="53" t="n">
        <f aca="false">FALSE()</f>
        <v>0</v>
      </c>
      <c r="I188" s="47"/>
      <c r="J188" s="47"/>
      <c r="K188" s="47"/>
    </row>
    <row r="189" customFormat="false" ht="15" hidden="false" customHeight="false" outlineLevel="0" collapsed="false">
      <c r="A189" s="45"/>
      <c r="B189" s="45"/>
      <c r="C189" s="55" t="n">
        <f aca="false">FALSE()</f>
        <v>0</v>
      </c>
      <c r="D189" s="55" t="n">
        <f aca="false">FALSE()</f>
        <v>0</v>
      </c>
      <c r="E189" s="55" t="n">
        <f aca="false">FALSE()</f>
        <v>0</v>
      </c>
      <c r="F189" s="45"/>
      <c r="G189" s="45"/>
      <c r="H189" s="55" t="n">
        <f aca="false">FALSE()</f>
        <v>0</v>
      </c>
      <c r="I189" s="45"/>
      <c r="J189" s="45"/>
      <c r="K189" s="45"/>
    </row>
    <row r="190" customFormat="false" ht="15" hidden="false" customHeight="false" outlineLevel="0" collapsed="false">
      <c r="A190" s="47"/>
      <c r="B190" s="47"/>
      <c r="C190" s="53" t="n">
        <f aca="false">FALSE()</f>
        <v>0</v>
      </c>
      <c r="D190" s="53" t="n">
        <f aca="false">FALSE()</f>
        <v>0</v>
      </c>
      <c r="E190" s="53" t="n">
        <f aca="false">FALSE()</f>
        <v>0</v>
      </c>
      <c r="F190" s="47"/>
      <c r="G190" s="47"/>
      <c r="H190" s="53" t="n">
        <f aca="false">FALSE()</f>
        <v>0</v>
      </c>
      <c r="I190" s="47"/>
      <c r="J190" s="47"/>
      <c r="K190" s="47"/>
    </row>
    <row r="191" customFormat="false" ht="15" hidden="false" customHeight="false" outlineLevel="0" collapsed="false">
      <c r="A191" s="45"/>
      <c r="B191" s="45"/>
      <c r="C191" s="55" t="n">
        <f aca="false">FALSE()</f>
        <v>0</v>
      </c>
      <c r="D191" s="55" t="n">
        <f aca="false">FALSE()</f>
        <v>0</v>
      </c>
      <c r="E191" s="55" t="n">
        <f aca="false">FALSE()</f>
        <v>0</v>
      </c>
      <c r="F191" s="45"/>
      <c r="G191" s="45"/>
      <c r="H191" s="55" t="n">
        <f aca="false">FALSE()</f>
        <v>0</v>
      </c>
      <c r="I191" s="45"/>
      <c r="J191" s="45"/>
      <c r="K191" s="45"/>
    </row>
    <row r="192" customFormat="false" ht="15" hidden="false" customHeight="false" outlineLevel="0" collapsed="false">
      <c r="A192" s="47"/>
      <c r="B192" s="47"/>
      <c r="C192" s="53" t="n">
        <f aca="false">FALSE()</f>
        <v>0</v>
      </c>
      <c r="D192" s="53" t="n">
        <f aca="false">FALSE()</f>
        <v>0</v>
      </c>
      <c r="E192" s="53" t="n">
        <f aca="false">FALSE()</f>
        <v>0</v>
      </c>
      <c r="F192" s="47"/>
      <c r="G192" s="47"/>
      <c r="H192" s="53" t="n">
        <f aca="false">FALSE()</f>
        <v>0</v>
      </c>
      <c r="I192" s="47"/>
      <c r="J192" s="47"/>
      <c r="K192" s="47"/>
    </row>
    <row r="193" customFormat="false" ht="15" hidden="false" customHeight="false" outlineLevel="0" collapsed="false">
      <c r="A193" s="45"/>
      <c r="B193" s="45"/>
      <c r="C193" s="55" t="n">
        <f aca="false">FALSE()</f>
        <v>0</v>
      </c>
      <c r="D193" s="55" t="n">
        <f aca="false">FALSE()</f>
        <v>0</v>
      </c>
      <c r="E193" s="55" t="n">
        <f aca="false">FALSE()</f>
        <v>0</v>
      </c>
      <c r="F193" s="45"/>
      <c r="G193" s="45"/>
      <c r="H193" s="55" t="n">
        <f aca="false">FALSE()</f>
        <v>0</v>
      </c>
      <c r="I193" s="45"/>
      <c r="J193" s="45"/>
      <c r="K193" s="45"/>
    </row>
    <row r="194" customFormat="false" ht="15" hidden="false" customHeight="false" outlineLevel="0" collapsed="false">
      <c r="A194" s="47"/>
      <c r="B194" s="47"/>
      <c r="C194" s="53" t="n">
        <f aca="false">FALSE()</f>
        <v>0</v>
      </c>
      <c r="D194" s="53" t="n">
        <f aca="false">FALSE()</f>
        <v>0</v>
      </c>
      <c r="E194" s="53" t="n">
        <f aca="false">FALSE()</f>
        <v>0</v>
      </c>
      <c r="F194" s="47"/>
      <c r="G194" s="47"/>
      <c r="H194" s="53" t="n">
        <f aca="false">FALSE()</f>
        <v>0</v>
      </c>
      <c r="I194" s="47"/>
      <c r="J194" s="47"/>
      <c r="K194" s="47"/>
    </row>
    <row r="195" customFormat="false" ht="15" hidden="false" customHeight="false" outlineLevel="0" collapsed="false">
      <c r="A195" s="45"/>
      <c r="B195" s="45"/>
      <c r="C195" s="55" t="n">
        <f aca="false">FALSE()</f>
        <v>0</v>
      </c>
      <c r="D195" s="55" t="n">
        <f aca="false">FALSE()</f>
        <v>0</v>
      </c>
      <c r="E195" s="55" t="n">
        <f aca="false">FALSE()</f>
        <v>0</v>
      </c>
      <c r="F195" s="45"/>
      <c r="G195" s="45"/>
      <c r="H195" s="55" t="n">
        <f aca="false">FALSE()</f>
        <v>0</v>
      </c>
      <c r="I195" s="45"/>
      <c r="J195" s="45"/>
      <c r="K195" s="45"/>
    </row>
    <row r="196" customFormat="false" ht="15" hidden="false" customHeight="false" outlineLevel="0" collapsed="false">
      <c r="A196" s="47"/>
      <c r="B196" s="47"/>
      <c r="C196" s="53" t="n">
        <f aca="false">FALSE()</f>
        <v>0</v>
      </c>
      <c r="D196" s="53" t="n">
        <f aca="false">FALSE()</f>
        <v>0</v>
      </c>
      <c r="E196" s="53" t="n">
        <f aca="false">FALSE()</f>
        <v>0</v>
      </c>
      <c r="F196" s="47"/>
      <c r="G196" s="47"/>
      <c r="H196" s="53" t="n">
        <f aca="false">FALSE()</f>
        <v>0</v>
      </c>
      <c r="I196" s="47"/>
      <c r="J196" s="47"/>
      <c r="K196" s="47"/>
    </row>
    <row r="197" customFormat="false" ht="15" hidden="false" customHeight="false" outlineLevel="0" collapsed="false">
      <c r="A197" s="45"/>
      <c r="B197" s="45"/>
      <c r="C197" s="55" t="n">
        <f aca="false">FALSE()</f>
        <v>0</v>
      </c>
      <c r="D197" s="55" t="n">
        <f aca="false">FALSE()</f>
        <v>0</v>
      </c>
      <c r="E197" s="55" t="n">
        <f aca="false">FALSE()</f>
        <v>0</v>
      </c>
      <c r="F197" s="45"/>
      <c r="G197" s="45"/>
      <c r="H197" s="55" t="n">
        <f aca="false">FALSE()</f>
        <v>0</v>
      </c>
      <c r="I197" s="45"/>
      <c r="J197" s="45"/>
      <c r="K197" s="45"/>
    </row>
    <row r="198" customFormat="false" ht="15" hidden="false" customHeight="false" outlineLevel="0" collapsed="false">
      <c r="A198" s="47"/>
      <c r="B198" s="47"/>
      <c r="C198" s="53" t="n">
        <f aca="false">FALSE()</f>
        <v>0</v>
      </c>
      <c r="D198" s="53" t="n">
        <f aca="false">FALSE()</f>
        <v>0</v>
      </c>
      <c r="E198" s="53" t="n">
        <f aca="false">FALSE()</f>
        <v>0</v>
      </c>
      <c r="F198" s="47"/>
      <c r="G198" s="47"/>
      <c r="H198" s="53" t="n">
        <f aca="false">FALSE()</f>
        <v>0</v>
      </c>
      <c r="I198" s="47"/>
      <c r="J198" s="47"/>
      <c r="K198" s="47"/>
    </row>
    <row r="199" customFormat="false" ht="15" hidden="false" customHeight="false" outlineLevel="0" collapsed="false">
      <c r="A199" s="45"/>
      <c r="B199" s="45"/>
      <c r="C199" s="55" t="n">
        <f aca="false">FALSE()</f>
        <v>0</v>
      </c>
      <c r="D199" s="55" t="n">
        <f aca="false">FALSE()</f>
        <v>0</v>
      </c>
      <c r="E199" s="55" t="n">
        <f aca="false">FALSE()</f>
        <v>0</v>
      </c>
      <c r="F199" s="45"/>
      <c r="G199" s="45"/>
      <c r="H199" s="55" t="n">
        <f aca="false">FALSE()</f>
        <v>0</v>
      </c>
      <c r="I199" s="45"/>
      <c r="J199" s="45"/>
      <c r="K199" s="45"/>
    </row>
    <row r="200" customFormat="false" ht="15" hidden="false" customHeight="false" outlineLevel="0" collapsed="false">
      <c r="A200" s="47"/>
      <c r="B200" s="47"/>
      <c r="C200" s="53" t="n">
        <f aca="false">FALSE()</f>
        <v>0</v>
      </c>
      <c r="D200" s="53" t="n">
        <f aca="false">FALSE()</f>
        <v>0</v>
      </c>
      <c r="E200" s="53" t="n">
        <f aca="false">FALSE()</f>
        <v>0</v>
      </c>
      <c r="F200" s="47"/>
      <c r="G200" s="47"/>
      <c r="H200" s="53" t="n">
        <f aca="false">FALSE()</f>
        <v>0</v>
      </c>
      <c r="I200" s="47"/>
      <c r="J200" s="47"/>
      <c r="K200" s="47"/>
    </row>
    <row r="201" customFormat="false" ht="15" hidden="false" customHeight="false" outlineLevel="0" collapsed="false">
      <c r="A201" s="45"/>
      <c r="B201" s="45"/>
      <c r="C201" s="55" t="n">
        <f aca="false">FALSE()</f>
        <v>0</v>
      </c>
      <c r="D201" s="55" t="n">
        <f aca="false">FALSE()</f>
        <v>0</v>
      </c>
      <c r="E201" s="55" t="n">
        <f aca="false">FALSE()</f>
        <v>0</v>
      </c>
      <c r="F201" s="45"/>
      <c r="G201" s="45"/>
      <c r="H201" s="55" t="n">
        <f aca="false">FALSE()</f>
        <v>0</v>
      </c>
      <c r="I201" s="45"/>
      <c r="J201" s="45"/>
      <c r="K201" s="45"/>
    </row>
    <row r="202" customFormat="false" ht="15" hidden="false" customHeight="false" outlineLevel="0" collapsed="false">
      <c r="A202" s="47"/>
      <c r="B202" s="47"/>
      <c r="C202" s="53" t="n">
        <f aca="false">FALSE()</f>
        <v>0</v>
      </c>
      <c r="D202" s="53" t="n">
        <f aca="false">FALSE()</f>
        <v>0</v>
      </c>
      <c r="E202" s="53" t="n">
        <f aca="false">FALSE()</f>
        <v>0</v>
      </c>
      <c r="F202" s="47"/>
      <c r="G202" s="47"/>
      <c r="H202" s="53" t="n">
        <f aca="false">FALSE()</f>
        <v>0</v>
      </c>
      <c r="I202" s="47"/>
      <c r="J202" s="47"/>
      <c r="K202" s="47"/>
    </row>
    <row r="203" customFormat="false" ht="15" hidden="false" customHeight="false" outlineLevel="0" collapsed="false">
      <c r="A203" s="45"/>
      <c r="B203" s="45"/>
      <c r="C203" s="55" t="n">
        <f aca="false">FALSE()</f>
        <v>0</v>
      </c>
      <c r="D203" s="55" t="n">
        <f aca="false">FALSE()</f>
        <v>0</v>
      </c>
      <c r="E203" s="55" t="n">
        <f aca="false">FALSE()</f>
        <v>0</v>
      </c>
      <c r="F203" s="45"/>
      <c r="G203" s="45"/>
      <c r="H203" s="55" t="n">
        <f aca="false">FALSE()</f>
        <v>0</v>
      </c>
      <c r="I203" s="45"/>
      <c r="J203" s="45"/>
      <c r="K203" s="45"/>
    </row>
    <row r="204" customFormat="false" ht="15" hidden="false" customHeight="false" outlineLevel="0" collapsed="false">
      <c r="A204" s="47"/>
      <c r="B204" s="47"/>
      <c r="C204" s="53" t="n">
        <f aca="false">FALSE()</f>
        <v>0</v>
      </c>
      <c r="D204" s="53" t="n">
        <f aca="false">FALSE()</f>
        <v>0</v>
      </c>
      <c r="E204" s="53" t="n">
        <f aca="false">FALSE()</f>
        <v>0</v>
      </c>
      <c r="F204" s="47"/>
      <c r="G204" s="47"/>
      <c r="H204" s="53" t="n">
        <f aca="false">FALSE()</f>
        <v>0</v>
      </c>
      <c r="I204" s="47"/>
      <c r="J204" s="47"/>
      <c r="K204" s="47"/>
    </row>
    <row r="205" customFormat="false" ht="15" hidden="false" customHeight="false" outlineLevel="0" collapsed="false">
      <c r="A205" s="45"/>
      <c r="B205" s="45"/>
      <c r="C205" s="55" t="n">
        <f aca="false">FALSE()</f>
        <v>0</v>
      </c>
      <c r="D205" s="55" t="n">
        <f aca="false">FALSE()</f>
        <v>0</v>
      </c>
      <c r="E205" s="55" t="n">
        <f aca="false">FALSE()</f>
        <v>0</v>
      </c>
      <c r="F205" s="45"/>
      <c r="G205" s="45"/>
      <c r="H205" s="55" t="n">
        <f aca="false">FALSE()</f>
        <v>0</v>
      </c>
      <c r="I205" s="45"/>
      <c r="J205" s="45"/>
      <c r="K205" s="45"/>
    </row>
    <row r="206" customFormat="false" ht="15" hidden="false" customHeight="false" outlineLevel="0" collapsed="false">
      <c r="A206" s="47"/>
      <c r="B206" s="47"/>
      <c r="C206" s="53" t="n">
        <f aca="false">FALSE()</f>
        <v>0</v>
      </c>
      <c r="D206" s="53" t="n">
        <f aca="false">FALSE()</f>
        <v>0</v>
      </c>
      <c r="E206" s="53" t="n">
        <f aca="false">FALSE()</f>
        <v>0</v>
      </c>
      <c r="F206" s="47"/>
      <c r="G206" s="47"/>
      <c r="H206" s="53" t="n">
        <f aca="false">FALSE()</f>
        <v>0</v>
      </c>
      <c r="I206" s="47"/>
      <c r="J206" s="47"/>
      <c r="K206" s="47"/>
    </row>
  </sheetData>
  <mergeCells count="13">
    <mergeCell ref="A1:L1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</mergeCells>
  <conditionalFormatting sqref="F7:F206">
    <cfRule type="expression" priority="2" aboveAverage="0" equalAverage="0" bottom="0" percent="0" rank="0" text="" dxfId="4">
      <formula>EXACT(F7,"Yes")</formula>
    </cfRule>
    <cfRule type="expression" priority="3" aboveAverage="0" equalAverage="0" bottom="0" percent="0" rank="0" text="" dxfId="0">
      <formula>EXACT(F7,"Awaited")</formula>
    </cfRule>
    <cfRule type="expression" priority="4" aboveAverage="0" equalAverage="0" bottom="0" percent="0" rank="0" text="" dxfId="1">
      <formula>EXACT(F7,"No")</formula>
    </cfRule>
  </conditionalFormatting>
  <dataValidations count="7">
    <dataValidation allowBlank="true" errorStyle="stop" operator="between" showDropDown="false" showErrorMessage="false" showInputMessage="false" sqref="B7:B206" type="list">
      <formula1>GuestTag</formula1>
      <formula2>0</formula2>
    </dataValidation>
    <dataValidation allowBlank="true" errorStyle="stop" operator="between" showDropDown="false" showErrorMessage="false" showInputMessage="false" sqref="F7:F206" type="list">
      <formula1>YesNoAwaited</formula1>
      <formula2>0</formula2>
    </dataValidation>
    <dataValidation allowBlank="true" errorStyle="stop" operator="between" showDropDown="false" showErrorMessage="false" showInputMessage="false" sqref="G7:G206" type="list">
      <formula1>MealPref</formula1>
      <formula2>0</formula2>
    </dataValidation>
    <dataValidation allowBlank="true" errorStyle="stop" operator="between" showDropDown="false" showErrorMessage="false" showInputMessage="false" sqref="C7:C206" type="list">
      <formula1>TrueFalse</formula1>
      <formula2>0</formula2>
    </dataValidation>
    <dataValidation allowBlank="true" errorStyle="stop" operator="between" showDropDown="false" showErrorMessage="false" showInputMessage="false" sqref="D7:D206" type="list">
      <formula1>TrueFalse</formula1>
      <formula2>0</formula2>
    </dataValidation>
    <dataValidation allowBlank="true" errorStyle="stop" operator="between" showDropDown="false" showErrorMessage="false" showInputMessage="false" sqref="E7:E206" type="list">
      <formula1>TrueFalse</formula1>
      <formula2>0</formula2>
    </dataValidation>
    <dataValidation allowBlank="true" errorStyle="stop" operator="between" showDropDown="false" showErrorMessage="false" showInputMessage="false" sqref="H7:H206" type="list">
      <formula1>TrueFalse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8D8"/>
    <pageSetUpPr fitToPage="false"/>
  </sheetPr>
  <dimension ref="A1:L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12" min="5" style="0" width="13"/>
  </cols>
  <sheetData>
    <row r="1" customFormat="false" ht="27.75" hidden="false" customHeight="true" outlineLevel="0" collapsed="false">
      <c r="A1" s="62" t="s">
        <v>1383</v>
      </c>
      <c r="B1" s="62"/>
      <c r="C1" s="62"/>
      <c r="D1" s="62"/>
      <c r="E1" s="62"/>
      <c r="F1" s="62"/>
      <c r="G1" s="62"/>
      <c r="H1" s="62"/>
      <c r="I1" s="62"/>
      <c r="J1" s="62"/>
    </row>
    <row r="3" customFormat="false" ht="15" hidden="false" customHeight="false" outlineLevel="0" collapsed="false">
      <c r="A3" s="20" t="s">
        <v>1384</v>
      </c>
      <c r="B3" s="20"/>
      <c r="C3" s="20" t="s">
        <v>67</v>
      </c>
      <c r="D3" s="20"/>
      <c r="E3" s="20" t="s">
        <v>1385</v>
      </c>
      <c r="F3" s="20"/>
      <c r="G3" s="20" t="s">
        <v>69</v>
      </c>
      <c r="H3" s="20"/>
      <c r="I3" s="20" t="s">
        <v>70</v>
      </c>
      <c r="J3" s="20"/>
      <c r="K3" s="20" t="s">
        <v>1386</v>
      </c>
      <c r="L3" s="20"/>
    </row>
    <row r="4" customFormat="false" ht="18.55" hidden="false" customHeight="false" outlineLevel="0" collapsed="false">
      <c r="A4" s="90" t="n">
        <f aca="false">10*8</f>
        <v>80</v>
      </c>
      <c r="B4" s="90"/>
      <c r="C4" s="90" t="n">
        <f aca="false">COUNTIFS('Guest List'!$F$7:$F$206,"Yes")</f>
        <v>2</v>
      </c>
      <c r="D4" s="90"/>
      <c r="E4" s="90" t="n">
        <f aca="false">COUNTIFS(D10:D29,"&lt;&gt;")</f>
        <v>0</v>
      </c>
      <c r="F4" s="90"/>
      <c r="G4" s="90" t="n">
        <f aca="false">COUNTIFS('Guest List'!$F$7:$F$206,"Awaited")</f>
        <v>2</v>
      </c>
      <c r="H4" s="90"/>
      <c r="I4" s="90" t="n">
        <f aca="false">A4-E4</f>
        <v>80</v>
      </c>
      <c r="J4" s="90"/>
      <c r="K4" s="92" t="n">
        <f aca="false">IFERROR(E4/C4,0)</f>
        <v>0</v>
      </c>
      <c r="L4" s="92"/>
    </row>
    <row r="6" customFormat="false" ht="15" hidden="false" customHeight="false" outlineLevel="0" collapsed="false">
      <c r="A6" s="50" t="s">
        <v>1387</v>
      </c>
      <c r="B6" s="50"/>
      <c r="C6" s="50"/>
      <c r="D6" s="50"/>
      <c r="E6" s="50"/>
      <c r="F6" s="50"/>
    </row>
    <row r="8" customFormat="false" ht="15" hidden="false" customHeight="false" outlineLevel="0" collapsed="false">
      <c r="A8" s="28" t="s">
        <v>1388</v>
      </c>
      <c r="B8" s="28"/>
      <c r="C8" s="28"/>
      <c r="D8" s="28"/>
    </row>
    <row r="9" customFormat="false" ht="19.5" hidden="false" customHeight="true" outlineLevel="0" collapsed="false">
      <c r="A9" s="44" t="s">
        <v>1246</v>
      </c>
      <c r="B9" s="44" t="s">
        <v>1361</v>
      </c>
      <c r="C9" s="44" t="s">
        <v>1365</v>
      </c>
      <c r="D9" s="44" t="s">
        <v>1389</v>
      </c>
    </row>
    <row r="10" customFormat="false" ht="15" hidden="false" customHeight="false" outlineLevel="0" collapsed="false">
      <c r="A10" s="45" t="str">
        <f aca="false">IF('Guest List'!$F7="Yes",'Guest List'!$A7,"")</f>
        <v>Alex Johnson</v>
      </c>
      <c r="B10" s="45" t="str">
        <f aca="false">IF(A10&lt;&gt;"",'Guest List'!$B7,"")</f>
        <v>Bride</v>
      </c>
      <c r="C10" s="45" t="str">
        <f aca="false">IF(A10&lt;&gt;"",'Guest List'!$F7,"")</f>
        <v>Yes</v>
      </c>
      <c r="D10" s="45"/>
    </row>
    <row r="11" customFormat="false" ht="15" hidden="false" customHeight="false" outlineLevel="0" collapsed="false">
      <c r="A11" s="47" t="str">
        <f aca="false">IF('Guest List'!$F8="Yes",'Guest List'!$A8,"")</f>
        <v/>
      </c>
      <c r="B11" s="47" t="str">
        <f aca="false">IF(A11&lt;&gt;"",'Guest List'!$B8,"")</f>
        <v/>
      </c>
      <c r="C11" s="47" t="str">
        <f aca="false">IF(A11&lt;&gt;"",'Guest List'!$F8,"")</f>
        <v/>
      </c>
      <c r="D11" s="47"/>
    </row>
    <row r="12" customFormat="false" ht="15" hidden="false" customHeight="false" outlineLevel="0" collapsed="false">
      <c r="A12" s="45" t="str">
        <f aca="false">IF('Guest List'!$F9="Yes",'Guest List'!$A9,"")</f>
        <v/>
      </c>
      <c r="B12" s="45" t="str">
        <f aca="false">IF(A12&lt;&gt;"",'Guest List'!$B9,"")</f>
        <v/>
      </c>
      <c r="C12" s="45" t="str">
        <f aca="false">IF(A12&lt;&gt;"",'Guest List'!$F9,"")</f>
        <v/>
      </c>
      <c r="D12" s="45"/>
    </row>
    <row r="13" customFormat="false" ht="15" hidden="false" customHeight="false" outlineLevel="0" collapsed="false">
      <c r="A13" s="47" t="str">
        <f aca="false">IF('Guest List'!$F10="Yes",'Guest List'!$A10,"")</f>
        <v>Morgan Kim</v>
      </c>
      <c r="B13" s="47" t="str">
        <f aca="false">IF(A13&lt;&gt;"",'Guest List'!$B10,"")</f>
        <v>Bride</v>
      </c>
      <c r="C13" s="47" t="str">
        <f aca="false">IF(A13&lt;&gt;"",'Guest List'!$F10,"")</f>
        <v>Yes</v>
      </c>
      <c r="D13" s="47"/>
    </row>
    <row r="14" customFormat="false" ht="15" hidden="false" customHeight="false" outlineLevel="0" collapsed="false">
      <c r="A14" s="45" t="str">
        <f aca="false">IF('Guest List'!$F11="Yes",'Guest List'!$A11,"")</f>
        <v/>
      </c>
      <c r="B14" s="45" t="str">
        <f aca="false">IF(A14&lt;&gt;"",'Guest List'!$B11,"")</f>
        <v/>
      </c>
      <c r="C14" s="45" t="str">
        <f aca="false">IF(A14&lt;&gt;"",'Guest List'!$F11,"")</f>
        <v/>
      </c>
      <c r="D14" s="45"/>
    </row>
    <row r="15" customFormat="false" ht="15" hidden="false" customHeight="false" outlineLevel="0" collapsed="false">
      <c r="A15" s="47" t="str">
        <f aca="false">IF('Guest List'!$F12="Yes",'Guest List'!$A12,"")</f>
        <v/>
      </c>
      <c r="B15" s="47" t="str">
        <f aca="false">IF(A15&lt;&gt;"",'Guest List'!$B12,"")</f>
        <v/>
      </c>
      <c r="C15" s="47" t="str">
        <f aca="false">IF(A15&lt;&gt;"",'Guest List'!$F12,"")</f>
        <v/>
      </c>
      <c r="D15" s="47"/>
    </row>
    <row r="16" customFormat="false" ht="15" hidden="false" customHeight="false" outlineLevel="0" collapsed="false">
      <c r="A16" s="45" t="str">
        <f aca="false">IF('Guest List'!$F13="Yes",'Guest List'!$A13,"")</f>
        <v/>
      </c>
      <c r="B16" s="45" t="str">
        <f aca="false">IF(A16&lt;&gt;"",'Guest List'!$B13,"")</f>
        <v/>
      </c>
      <c r="C16" s="45" t="str">
        <f aca="false">IF(A16&lt;&gt;"",'Guest List'!$F13,"")</f>
        <v/>
      </c>
      <c r="D16" s="45"/>
    </row>
    <row r="17" customFormat="false" ht="15" hidden="false" customHeight="false" outlineLevel="0" collapsed="false">
      <c r="A17" s="47" t="str">
        <f aca="false">IF('Guest List'!$F14="Yes",'Guest List'!$A14,"")</f>
        <v/>
      </c>
      <c r="B17" s="47" t="str">
        <f aca="false">IF(A17&lt;&gt;"",'Guest List'!$B14,"")</f>
        <v/>
      </c>
      <c r="C17" s="47" t="str">
        <f aca="false">IF(A17&lt;&gt;"",'Guest List'!$F14,"")</f>
        <v/>
      </c>
      <c r="D17" s="47"/>
    </row>
    <row r="18" customFormat="false" ht="15" hidden="false" customHeight="false" outlineLevel="0" collapsed="false">
      <c r="A18" s="45" t="str">
        <f aca="false">IF('Guest List'!$F15="Yes",'Guest List'!$A15,"")</f>
        <v/>
      </c>
      <c r="B18" s="45" t="str">
        <f aca="false">IF(A18&lt;&gt;"",'Guest List'!$B15,"")</f>
        <v/>
      </c>
      <c r="C18" s="45" t="str">
        <f aca="false">IF(A18&lt;&gt;"",'Guest List'!$F15,"")</f>
        <v/>
      </c>
      <c r="D18" s="45"/>
    </row>
    <row r="19" customFormat="false" ht="15" hidden="false" customHeight="false" outlineLevel="0" collapsed="false">
      <c r="A19" s="47" t="str">
        <f aca="false">IF('Guest List'!$F16="Yes",'Guest List'!$A16,"")</f>
        <v/>
      </c>
      <c r="B19" s="47" t="str">
        <f aca="false">IF(A19&lt;&gt;"",'Guest List'!$B16,"")</f>
        <v/>
      </c>
      <c r="C19" s="47" t="str">
        <f aca="false">IF(A19&lt;&gt;"",'Guest List'!$F16,"")</f>
        <v/>
      </c>
      <c r="D19" s="47"/>
    </row>
    <row r="20" customFormat="false" ht="15" hidden="false" customHeight="false" outlineLevel="0" collapsed="false">
      <c r="A20" s="45" t="str">
        <f aca="false">IF('Guest List'!$F17="Yes",'Guest List'!$A17,"")</f>
        <v/>
      </c>
      <c r="B20" s="45" t="str">
        <f aca="false">IF(A20&lt;&gt;"",'Guest List'!$B17,"")</f>
        <v/>
      </c>
      <c r="C20" s="45" t="str">
        <f aca="false">IF(A20&lt;&gt;"",'Guest List'!$F17,"")</f>
        <v/>
      </c>
      <c r="D20" s="45"/>
    </row>
    <row r="21" customFormat="false" ht="15" hidden="false" customHeight="false" outlineLevel="0" collapsed="false">
      <c r="A21" s="47" t="str">
        <f aca="false">IF('Guest List'!$F18="Yes",'Guest List'!$A18,"")</f>
        <v/>
      </c>
      <c r="B21" s="47" t="str">
        <f aca="false">IF(A21&lt;&gt;"",'Guest List'!$B18,"")</f>
        <v/>
      </c>
      <c r="C21" s="47" t="str">
        <f aca="false">IF(A21&lt;&gt;"",'Guest List'!$F18,"")</f>
        <v/>
      </c>
      <c r="D21" s="47"/>
    </row>
    <row r="22" customFormat="false" ht="15" hidden="false" customHeight="false" outlineLevel="0" collapsed="false">
      <c r="A22" s="45" t="str">
        <f aca="false">IF('Guest List'!$F19="Yes",'Guest List'!$A19,"")</f>
        <v/>
      </c>
      <c r="B22" s="45" t="str">
        <f aca="false">IF(A22&lt;&gt;"",'Guest List'!$B19,"")</f>
        <v/>
      </c>
      <c r="C22" s="45" t="str">
        <f aca="false">IF(A22&lt;&gt;"",'Guest List'!$F19,"")</f>
        <v/>
      </c>
      <c r="D22" s="45"/>
    </row>
    <row r="23" customFormat="false" ht="15" hidden="false" customHeight="false" outlineLevel="0" collapsed="false">
      <c r="A23" s="47" t="str">
        <f aca="false">IF('Guest List'!$F20="Yes",'Guest List'!$A20,"")</f>
        <v/>
      </c>
      <c r="B23" s="47" t="str">
        <f aca="false">IF(A23&lt;&gt;"",'Guest List'!$B20,"")</f>
        <v/>
      </c>
      <c r="C23" s="47" t="str">
        <f aca="false">IF(A23&lt;&gt;"",'Guest List'!$F20,"")</f>
        <v/>
      </c>
      <c r="D23" s="47"/>
    </row>
    <row r="24" customFormat="false" ht="15" hidden="false" customHeight="false" outlineLevel="0" collapsed="false">
      <c r="A24" s="45" t="str">
        <f aca="false">IF('Guest List'!$F21="Yes",'Guest List'!$A21,"")</f>
        <v/>
      </c>
      <c r="B24" s="45" t="str">
        <f aca="false">IF(A24&lt;&gt;"",'Guest List'!$B21,"")</f>
        <v/>
      </c>
      <c r="C24" s="45" t="str">
        <f aca="false">IF(A24&lt;&gt;"",'Guest List'!$F21,"")</f>
        <v/>
      </c>
      <c r="D24" s="45"/>
    </row>
    <row r="25" customFormat="false" ht="15" hidden="false" customHeight="false" outlineLevel="0" collapsed="false">
      <c r="A25" s="47" t="str">
        <f aca="false">IF('Guest List'!$F22="Yes",'Guest List'!$A22,"")</f>
        <v/>
      </c>
      <c r="B25" s="47" t="str">
        <f aca="false">IF(A25&lt;&gt;"",'Guest List'!$B22,"")</f>
        <v/>
      </c>
      <c r="C25" s="47" t="str">
        <f aca="false">IF(A25&lt;&gt;"",'Guest List'!$F22,"")</f>
        <v/>
      </c>
      <c r="D25" s="47"/>
    </row>
    <row r="26" customFormat="false" ht="15" hidden="false" customHeight="false" outlineLevel="0" collapsed="false">
      <c r="A26" s="45" t="str">
        <f aca="false">IF('Guest List'!$F23="Yes",'Guest List'!$A23,"")</f>
        <v/>
      </c>
      <c r="B26" s="45" t="str">
        <f aca="false">IF(A26&lt;&gt;"",'Guest List'!$B23,"")</f>
        <v/>
      </c>
      <c r="C26" s="45" t="str">
        <f aca="false">IF(A26&lt;&gt;"",'Guest List'!$F23,"")</f>
        <v/>
      </c>
      <c r="D26" s="45"/>
    </row>
    <row r="27" customFormat="false" ht="15" hidden="false" customHeight="false" outlineLevel="0" collapsed="false">
      <c r="A27" s="47" t="str">
        <f aca="false">IF('Guest List'!$F24="Yes",'Guest List'!$A24,"")</f>
        <v/>
      </c>
      <c r="B27" s="47" t="str">
        <f aca="false">IF(A27&lt;&gt;"",'Guest List'!$B24,"")</f>
        <v/>
      </c>
      <c r="C27" s="47" t="str">
        <f aca="false">IF(A27&lt;&gt;"",'Guest List'!$F24,"")</f>
        <v/>
      </c>
      <c r="D27" s="47"/>
    </row>
    <row r="28" customFormat="false" ht="15" hidden="false" customHeight="false" outlineLevel="0" collapsed="false">
      <c r="A28" s="45" t="str">
        <f aca="false">IF('Guest List'!$F25="Yes",'Guest List'!$A25,"")</f>
        <v/>
      </c>
      <c r="B28" s="45" t="str">
        <f aca="false">IF(A28&lt;&gt;"",'Guest List'!$B25,"")</f>
        <v/>
      </c>
      <c r="C28" s="45" t="str">
        <f aca="false">IF(A28&lt;&gt;"",'Guest List'!$F25,"")</f>
        <v/>
      </c>
      <c r="D28" s="45"/>
    </row>
    <row r="29" customFormat="false" ht="15" hidden="false" customHeight="false" outlineLevel="0" collapsed="false">
      <c r="A29" s="47" t="str">
        <f aca="false">IF('Guest List'!$F26="Yes",'Guest List'!$A26,"")</f>
        <v/>
      </c>
      <c r="B29" s="47" t="str">
        <f aca="false">IF(A29&lt;&gt;"",'Guest List'!$B26,"")</f>
        <v/>
      </c>
      <c r="C29" s="47" t="str">
        <f aca="false">IF(A29&lt;&gt;"",'Guest List'!$F26,"")</f>
        <v/>
      </c>
      <c r="D29" s="47"/>
    </row>
    <row r="31" customFormat="false" ht="16.15" hidden="false" customHeight="false" outlineLevel="0" collapsed="false">
      <c r="A31" s="30" t="s">
        <v>1390</v>
      </c>
    </row>
    <row r="32" customFormat="false" ht="15" hidden="false" customHeight="true" outlineLevel="0" collapsed="false">
      <c r="A32" s="93" t="s">
        <v>1391</v>
      </c>
      <c r="B32" s="93"/>
      <c r="C32" s="93"/>
      <c r="D32" s="93"/>
      <c r="G32" s="93" t="s">
        <v>1392</v>
      </c>
      <c r="H32" s="93"/>
      <c r="I32" s="93"/>
      <c r="J32" s="93"/>
    </row>
    <row r="33" customFormat="false" ht="15" hidden="false" customHeight="false" outlineLevel="0" collapsed="false">
      <c r="A33" s="94" t="s">
        <v>1287</v>
      </c>
      <c r="B33" s="94" t="n">
        <v>8</v>
      </c>
      <c r="C33" s="94" t="s">
        <v>1393</v>
      </c>
      <c r="D33" s="94" t="n">
        <f aca="false">COUNTIFS(A36:A43,"&lt;&gt;")</f>
        <v>0</v>
      </c>
      <c r="G33" s="94" t="s">
        <v>1287</v>
      </c>
      <c r="H33" s="94" t="n">
        <v>8</v>
      </c>
      <c r="I33" s="94" t="s">
        <v>1393</v>
      </c>
      <c r="J33" s="94" t="n">
        <f aca="false">COUNTIFS(A36:A43,"&lt;&gt;")</f>
        <v>0</v>
      </c>
    </row>
    <row r="34" customFormat="false" ht="15" hidden="false" customHeight="false" outlineLevel="0" collapsed="false">
      <c r="A34" s="94" t="s">
        <v>1394</v>
      </c>
      <c r="B34" s="94" t="str">
        <f aca="false">_xlfn.TEXTJOIN(", ",TRUE(),IF(COUNTIF(B36:B43,"Bride")&gt;0,"Bride",""),IF(COUNTIF(B36:B43,"Groom")&gt;0,"Groom",""),IF(COUNTIF(B36:B43,"Both")&gt;0,"Both",""))</f>
        <v/>
      </c>
      <c r="C34" s="94"/>
      <c r="D34" s="94"/>
      <c r="G34" s="94" t="s">
        <v>1394</v>
      </c>
      <c r="H34" s="94" t="str">
        <f aca="false">_xlfn.TEXTJOIN(", ",TRUE(),IF(COUNTIF(B36:B43,"Bride")&gt;0,"Bride",""),IF(COUNTIF(B36:B43,"Groom")&gt;0,"Groom",""),IF(COUNTIF(B36:B43,"Both")&gt;0,"Both",""))</f>
        <v/>
      </c>
      <c r="I34" s="94"/>
      <c r="J34" s="94"/>
    </row>
    <row r="35" customFormat="false" ht="19.5" hidden="false" customHeight="true" outlineLevel="0" collapsed="false">
      <c r="A35" s="64" t="s">
        <v>1246</v>
      </c>
      <c r="B35" s="64" t="s">
        <v>1361</v>
      </c>
      <c r="C35" s="64" t="s">
        <v>1395</v>
      </c>
      <c r="D35" s="64"/>
      <c r="G35" s="64" t="s">
        <v>1246</v>
      </c>
      <c r="H35" s="64" t="s">
        <v>1361</v>
      </c>
      <c r="I35" s="64" t="s">
        <v>1395</v>
      </c>
      <c r="J35" s="64"/>
    </row>
    <row r="36" customFormat="false" ht="15" hidden="false" customHeight="false" outlineLevel="0" collapsed="false">
      <c r="A36" s="95"/>
      <c r="B36" s="95" t="str">
        <f aca="false">IFERROR(INDEX('Guest List'!$B$7:$B$206,MATCH(A36,'Guest List'!$A$7:$A$206,0)),"")</f>
        <v/>
      </c>
      <c r="C36" s="95" t="n">
        <v>1</v>
      </c>
      <c r="D36" s="95"/>
      <c r="G36" s="95"/>
      <c r="H36" s="95" t="str">
        <f aca="false">IFERROR(INDEX('Guest List'!$B$7:$B$206,MATCH(G36,'Guest List'!$A$7:$A$206,0)),"")</f>
        <v/>
      </c>
      <c r="I36" s="95" t="n">
        <v>1</v>
      </c>
      <c r="J36" s="95"/>
    </row>
    <row r="37" customFormat="false" ht="15" hidden="false" customHeight="false" outlineLevel="0" collapsed="false">
      <c r="A37" s="95"/>
      <c r="B37" s="95" t="str">
        <f aca="false">IFERROR(INDEX('Guest List'!$B$7:$B$206,MATCH(A37,'Guest List'!$A$7:$A$206,0)),"")</f>
        <v/>
      </c>
      <c r="C37" s="95" t="n">
        <v>2</v>
      </c>
      <c r="D37" s="95"/>
      <c r="G37" s="95"/>
      <c r="H37" s="95" t="str">
        <f aca="false">IFERROR(INDEX('Guest List'!$B$7:$B$206,MATCH(G37,'Guest List'!$A$7:$A$206,0)),"")</f>
        <v/>
      </c>
      <c r="I37" s="95" t="n">
        <v>2</v>
      </c>
      <c r="J37" s="95"/>
    </row>
    <row r="38" customFormat="false" ht="15" hidden="false" customHeight="false" outlineLevel="0" collapsed="false">
      <c r="A38" s="95"/>
      <c r="B38" s="95" t="str">
        <f aca="false">IFERROR(INDEX('Guest List'!$B$7:$B$206,MATCH(A38,'Guest List'!$A$7:$A$206,0)),"")</f>
        <v/>
      </c>
      <c r="C38" s="95" t="n">
        <v>3</v>
      </c>
      <c r="D38" s="95"/>
      <c r="G38" s="95"/>
      <c r="H38" s="95" t="str">
        <f aca="false">IFERROR(INDEX('Guest List'!$B$7:$B$206,MATCH(G38,'Guest List'!$A$7:$A$206,0)),"")</f>
        <v/>
      </c>
      <c r="I38" s="95" t="n">
        <v>3</v>
      </c>
      <c r="J38" s="95"/>
    </row>
    <row r="39" customFormat="false" ht="15" hidden="false" customHeight="false" outlineLevel="0" collapsed="false">
      <c r="A39" s="95"/>
      <c r="B39" s="95" t="str">
        <f aca="false">IFERROR(INDEX('Guest List'!$B$7:$B$206,MATCH(A39,'Guest List'!$A$7:$A$206,0)),"")</f>
        <v/>
      </c>
      <c r="C39" s="95" t="n">
        <v>4</v>
      </c>
      <c r="D39" s="95"/>
      <c r="G39" s="95"/>
      <c r="H39" s="95" t="str">
        <f aca="false">IFERROR(INDEX('Guest List'!$B$7:$B$206,MATCH(G39,'Guest List'!$A$7:$A$206,0)),"")</f>
        <v/>
      </c>
      <c r="I39" s="95" t="n">
        <v>4</v>
      </c>
      <c r="J39" s="95"/>
    </row>
    <row r="40" customFormat="false" ht="15" hidden="false" customHeight="false" outlineLevel="0" collapsed="false">
      <c r="A40" s="95"/>
      <c r="B40" s="95" t="str">
        <f aca="false">IFERROR(INDEX('Guest List'!$B$7:$B$206,MATCH(A40,'Guest List'!$A$7:$A$206,0)),"")</f>
        <v/>
      </c>
      <c r="C40" s="95" t="n">
        <v>5</v>
      </c>
      <c r="D40" s="95"/>
      <c r="G40" s="95"/>
      <c r="H40" s="95" t="str">
        <f aca="false">IFERROR(INDEX('Guest List'!$B$7:$B$206,MATCH(G40,'Guest List'!$A$7:$A$206,0)),"")</f>
        <v/>
      </c>
      <c r="I40" s="95" t="n">
        <v>5</v>
      </c>
      <c r="J40" s="95"/>
    </row>
    <row r="41" customFormat="false" ht="15" hidden="false" customHeight="false" outlineLevel="0" collapsed="false">
      <c r="A41" s="95"/>
      <c r="B41" s="95" t="str">
        <f aca="false">IFERROR(INDEX('Guest List'!$B$7:$B$206,MATCH(A41,'Guest List'!$A$7:$A$206,0)),"")</f>
        <v/>
      </c>
      <c r="C41" s="95" t="n">
        <v>6</v>
      </c>
      <c r="D41" s="95"/>
      <c r="G41" s="95"/>
      <c r="H41" s="95" t="str">
        <f aca="false">IFERROR(INDEX('Guest List'!$B$7:$B$206,MATCH(G41,'Guest List'!$A$7:$A$206,0)),"")</f>
        <v/>
      </c>
      <c r="I41" s="95" t="n">
        <v>6</v>
      </c>
      <c r="J41" s="95"/>
    </row>
    <row r="42" customFormat="false" ht="15" hidden="false" customHeight="false" outlineLevel="0" collapsed="false">
      <c r="A42" s="95"/>
      <c r="B42" s="95" t="str">
        <f aca="false">IFERROR(INDEX('Guest List'!$B$7:$B$206,MATCH(A42,'Guest List'!$A$7:$A$206,0)),"")</f>
        <v/>
      </c>
      <c r="C42" s="95" t="n">
        <v>7</v>
      </c>
      <c r="D42" s="95"/>
      <c r="G42" s="95"/>
      <c r="H42" s="95" t="str">
        <f aca="false">IFERROR(INDEX('Guest List'!$B$7:$B$206,MATCH(G42,'Guest List'!$A$7:$A$206,0)),"")</f>
        <v/>
      </c>
      <c r="I42" s="95" t="n">
        <v>7</v>
      </c>
      <c r="J42" s="95"/>
    </row>
    <row r="43" customFormat="false" ht="15" hidden="false" customHeight="false" outlineLevel="0" collapsed="false">
      <c r="A43" s="95"/>
      <c r="B43" s="95" t="str">
        <f aca="false">IFERROR(INDEX('Guest List'!$B$7:$B$206,MATCH(A43,'Guest List'!$A$7:$A$206,0)),"")</f>
        <v/>
      </c>
      <c r="C43" s="95" t="n">
        <v>8</v>
      </c>
      <c r="D43" s="95"/>
      <c r="G43" s="95"/>
      <c r="H43" s="95" t="str">
        <f aca="false">IFERROR(INDEX('Guest List'!$B$7:$B$206,MATCH(G43,'Guest List'!$A$7:$A$206,0)),"")</f>
        <v/>
      </c>
      <c r="I43" s="95" t="n">
        <v>8</v>
      </c>
      <c r="J43" s="95"/>
    </row>
    <row r="49" customFormat="false" ht="15" hidden="false" customHeight="true" outlineLevel="0" collapsed="false">
      <c r="A49" s="93" t="s">
        <v>1396</v>
      </c>
      <c r="B49" s="93"/>
      <c r="C49" s="93"/>
      <c r="D49" s="93"/>
      <c r="G49" s="93" t="s">
        <v>1397</v>
      </c>
      <c r="H49" s="93"/>
      <c r="I49" s="93"/>
      <c r="J49" s="93"/>
    </row>
    <row r="50" customFormat="false" ht="15" hidden="false" customHeight="false" outlineLevel="0" collapsed="false">
      <c r="A50" s="94" t="s">
        <v>1287</v>
      </c>
      <c r="B50" s="94" t="n">
        <v>8</v>
      </c>
      <c r="C50" s="94" t="s">
        <v>1393</v>
      </c>
      <c r="D50" s="94" t="n">
        <f aca="false">COUNTIFS(A53:A60,"&lt;&gt;")</f>
        <v>0</v>
      </c>
      <c r="G50" s="94" t="s">
        <v>1287</v>
      </c>
      <c r="H50" s="94" t="n">
        <v>8</v>
      </c>
      <c r="I50" s="94" t="s">
        <v>1393</v>
      </c>
      <c r="J50" s="94" t="n">
        <f aca="false">COUNTIFS(A53:A60,"&lt;&gt;")</f>
        <v>0</v>
      </c>
    </row>
    <row r="51" customFormat="false" ht="15" hidden="false" customHeight="false" outlineLevel="0" collapsed="false">
      <c r="A51" s="94" t="s">
        <v>1394</v>
      </c>
      <c r="B51" s="94" t="str">
        <f aca="false">_xlfn.TEXTJOIN(", ",TRUE(),IF(COUNTIF(B53:B60,"Bride")&gt;0,"Bride",""),IF(COUNTIF(B53:B60,"Groom")&gt;0,"Groom",""),IF(COUNTIF(B53:B60,"Both")&gt;0,"Both",""))</f>
        <v/>
      </c>
      <c r="C51" s="94"/>
      <c r="D51" s="94"/>
      <c r="G51" s="94" t="s">
        <v>1394</v>
      </c>
      <c r="H51" s="94" t="str">
        <f aca="false">_xlfn.TEXTJOIN(", ",TRUE(),IF(COUNTIF(B53:B60,"Bride")&gt;0,"Bride",""),IF(COUNTIF(B53:B60,"Groom")&gt;0,"Groom",""),IF(COUNTIF(B53:B60,"Both")&gt;0,"Both",""))</f>
        <v/>
      </c>
      <c r="I51" s="94"/>
      <c r="J51" s="94"/>
    </row>
    <row r="52" customFormat="false" ht="19.5" hidden="false" customHeight="true" outlineLevel="0" collapsed="false">
      <c r="A52" s="64" t="s">
        <v>1246</v>
      </c>
      <c r="B52" s="64" t="s">
        <v>1361</v>
      </c>
      <c r="C52" s="64" t="s">
        <v>1395</v>
      </c>
      <c r="D52" s="64"/>
      <c r="G52" s="64" t="s">
        <v>1246</v>
      </c>
      <c r="H52" s="64" t="s">
        <v>1361</v>
      </c>
      <c r="I52" s="64" t="s">
        <v>1395</v>
      </c>
      <c r="J52" s="64"/>
    </row>
    <row r="53" customFormat="false" ht="15" hidden="false" customHeight="false" outlineLevel="0" collapsed="false">
      <c r="A53" s="95"/>
      <c r="B53" s="95" t="str">
        <f aca="false">IFERROR(INDEX('Guest List'!$B$7:$B$206,MATCH(A53,'Guest List'!$A$7:$A$206,0)),"")</f>
        <v/>
      </c>
      <c r="C53" s="95" t="n">
        <v>1</v>
      </c>
      <c r="D53" s="95"/>
      <c r="G53" s="95"/>
      <c r="H53" s="95" t="str">
        <f aca="false">IFERROR(INDEX('Guest List'!$B$7:$B$206,MATCH(G53,'Guest List'!$A$7:$A$206,0)),"")</f>
        <v/>
      </c>
      <c r="I53" s="95" t="n">
        <v>1</v>
      </c>
      <c r="J53" s="95"/>
    </row>
    <row r="54" customFormat="false" ht="15" hidden="false" customHeight="false" outlineLevel="0" collapsed="false">
      <c r="A54" s="95"/>
      <c r="B54" s="95" t="str">
        <f aca="false">IFERROR(INDEX('Guest List'!$B$7:$B$206,MATCH(A54,'Guest List'!$A$7:$A$206,0)),"")</f>
        <v/>
      </c>
      <c r="C54" s="95" t="n">
        <v>2</v>
      </c>
      <c r="D54" s="95"/>
      <c r="G54" s="95"/>
      <c r="H54" s="95" t="str">
        <f aca="false">IFERROR(INDEX('Guest List'!$B$7:$B$206,MATCH(G54,'Guest List'!$A$7:$A$206,0)),"")</f>
        <v/>
      </c>
      <c r="I54" s="95" t="n">
        <v>2</v>
      </c>
      <c r="J54" s="95"/>
    </row>
    <row r="55" customFormat="false" ht="15" hidden="false" customHeight="false" outlineLevel="0" collapsed="false">
      <c r="A55" s="95"/>
      <c r="B55" s="95" t="str">
        <f aca="false">IFERROR(INDEX('Guest List'!$B$7:$B$206,MATCH(A55,'Guest List'!$A$7:$A$206,0)),"")</f>
        <v/>
      </c>
      <c r="C55" s="95" t="n">
        <v>3</v>
      </c>
      <c r="D55" s="95"/>
      <c r="G55" s="95"/>
      <c r="H55" s="95" t="str">
        <f aca="false">IFERROR(INDEX('Guest List'!$B$7:$B$206,MATCH(G55,'Guest List'!$A$7:$A$206,0)),"")</f>
        <v/>
      </c>
      <c r="I55" s="95" t="n">
        <v>3</v>
      </c>
      <c r="J55" s="95"/>
    </row>
    <row r="56" customFormat="false" ht="15" hidden="false" customHeight="false" outlineLevel="0" collapsed="false">
      <c r="A56" s="95"/>
      <c r="B56" s="95" t="str">
        <f aca="false">IFERROR(INDEX('Guest List'!$B$7:$B$206,MATCH(A56,'Guest List'!$A$7:$A$206,0)),"")</f>
        <v/>
      </c>
      <c r="C56" s="95" t="n">
        <v>4</v>
      </c>
      <c r="D56" s="95"/>
      <c r="G56" s="95"/>
      <c r="H56" s="95" t="str">
        <f aca="false">IFERROR(INDEX('Guest List'!$B$7:$B$206,MATCH(G56,'Guest List'!$A$7:$A$206,0)),"")</f>
        <v/>
      </c>
      <c r="I56" s="95" t="n">
        <v>4</v>
      </c>
      <c r="J56" s="95"/>
    </row>
    <row r="57" customFormat="false" ht="15" hidden="false" customHeight="false" outlineLevel="0" collapsed="false">
      <c r="A57" s="95"/>
      <c r="B57" s="95" t="str">
        <f aca="false">IFERROR(INDEX('Guest List'!$B$7:$B$206,MATCH(A57,'Guest List'!$A$7:$A$206,0)),"")</f>
        <v/>
      </c>
      <c r="C57" s="95" t="n">
        <v>5</v>
      </c>
      <c r="D57" s="95"/>
      <c r="G57" s="95"/>
      <c r="H57" s="95" t="str">
        <f aca="false">IFERROR(INDEX('Guest List'!$B$7:$B$206,MATCH(G57,'Guest List'!$A$7:$A$206,0)),"")</f>
        <v/>
      </c>
      <c r="I57" s="95" t="n">
        <v>5</v>
      </c>
      <c r="J57" s="95"/>
    </row>
    <row r="58" customFormat="false" ht="15" hidden="false" customHeight="false" outlineLevel="0" collapsed="false">
      <c r="A58" s="95"/>
      <c r="B58" s="95" t="str">
        <f aca="false">IFERROR(INDEX('Guest List'!$B$7:$B$206,MATCH(A58,'Guest List'!$A$7:$A$206,0)),"")</f>
        <v/>
      </c>
      <c r="C58" s="95" t="n">
        <v>6</v>
      </c>
      <c r="D58" s="95"/>
      <c r="G58" s="95"/>
      <c r="H58" s="95" t="str">
        <f aca="false">IFERROR(INDEX('Guest List'!$B$7:$B$206,MATCH(G58,'Guest List'!$A$7:$A$206,0)),"")</f>
        <v/>
      </c>
      <c r="I58" s="95" t="n">
        <v>6</v>
      </c>
      <c r="J58" s="95"/>
    </row>
    <row r="59" customFormat="false" ht="15" hidden="false" customHeight="false" outlineLevel="0" collapsed="false">
      <c r="A59" s="95"/>
      <c r="B59" s="95" t="str">
        <f aca="false">IFERROR(INDEX('Guest List'!$B$7:$B$206,MATCH(A59,'Guest List'!$A$7:$A$206,0)),"")</f>
        <v/>
      </c>
      <c r="C59" s="95" t="n">
        <v>7</v>
      </c>
      <c r="D59" s="95"/>
      <c r="G59" s="95"/>
      <c r="H59" s="95" t="str">
        <f aca="false">IFERROR(INDEX('Guest List'!$B$7:$B$206,MATCH(G59,'Guest List'!$A$7:$A$206,0)),"")</f>
        <v/>
      </c>
      <c r="I59" s="95" t="n">
        <v>7</v>
      </c>
      <c r="J59" s="95"/>
    </row>
    <row r="60" customFormat="false" ht="15" hidden="false" customHeight="false" outlineLevel="0" collapsed="false">
      <c r="A60" s="95"/>
      <c r="B60" s="95" t="str">
        <f aca="false">IFERROR(INDEX('Guest List'!$B$7:$B$206,MATCH(A60,'Guest List'!$A$7:$A$206,0)),"")</f>
        <v/>
      </c>
      <c r="C60" s="95" t="n">
        <v>8</v>
      </c>
      <c r="D60" s="95"/>
      <c r="G60" s="95"/>
      <c r="H60" s="95" t="str">
        <f aca="false">IFERROR(INDEX('Guest List'!$B$7:$B$206,MATCH(G60,'Guest List'!$A$7:$A$206,0)),"")</f>
        <v/>
      </c>
      <c r="I60" s="95" t="n">
        <v>8</v>
      </c>
      <c r="J60" s="95"/>
    </row>
    <row r="66" customFormat="false" ht="15" hidden="false" customHeight="true" outlineLevel="0" collapsed="false">
      <c r="A66" s="93" t="s">
        <v>1398</v>
      </c>
      <c r="B66" s="93"/>
      <c r="C66" s="93"/>
      <c r="D66" s="93"/>
      <c r="G66" s="93" t="s">
        <v>1399</v>
      </c>
      <c r="H66" s="93"/>
      <c r="I66" s="93"/>
      <c r="J66" s="93"/>
    </row>
    <row r="67" customFormat="false" ht="15" hidden="false" customHeight="false" outlineLevel="0" collapsed="false">
      <c r="A67" s="94" t="s">
        <v>1287</v>
      </c>
      <c r="B67" s="94" t="n">
        <v>8</v>
      </c>
      <c r="C67" s="94" t="s">
        <v>1393</v>
      </c>
      <c r="D67" s="94" t="n">
        <f aca="false">COUNTIFS(A70:A77,"&lt;&gt;")</f>
        <v>0</v>
      </c>
      <c r="G67" s="94" t="s">
        <v>1287</v>
      </c>
      <c r="H67" s="94" t="n">
        <v>8</v>
      </c>
      <c r="I67" s="94" t="s">
        <v>1393</v>
      </c>
      <c r="J67" s="94" t="n">
        <f aca="false">COUNTIFS(A70:A77,"&lt;&gt;")</f>
        <v>0</v>
      </c>
    </row>
    <row r="68" customFormat="false" ht="15" hidden="false" customHeight="false" outlineLevel="0" collapsed="false">
      <c r="A68" s="94" t="s">
        <v>1394</v>
      </c>
      <c r="B68" s="94" t="str">
        <f aca="false">_xlfn.TEXTJOIN(", ",TRUE(),IF(COUNTIF(B70:B77,"Bride")&gt;0,"Bride",""),IF(COUNTIF(B70:B77,"Groom")&gt;0,"Groom",""),IF(COUNTIF(B70:B77,"Both")&gt;0,"Both",""))</f>
        <v/>
      </c>
      <c r="C68" s="94"/>
      <c r="D68" s="94"/>
      <c r="G68" s="94" t="s">
        <v>1394</v>
      </c>
      <c r="H68" s="94" t="str">
        <f aca="false">_xlfn.TEXTJOIN(", ",TRUE(),IF(COUNTIF(B70:B77,"Bride")&gt;0,"Bride",""),IF(COUNTIF(B70:B77,"Groom")&gt;0,"Groom",""),IF(COUNTIF(B70:B77,"Both")&gt;0,"Both",""))</f>
        <v/>
      </c>
      <c r="I68" s="94"/>
      <c r="J68" s="94"/>
    </row>
    <row r="69" customFormat="false" ht="19.5" hidden="false" customHeight="true" outlineLevel="0" collapsed="false">
      <c r="A69" s="64" t="s">
        <v>1246</v>
      </c>
      <c r="B69" s="64" t="s">
        <v>1361</v>
      </c>
      <c r="C69" s="64" t="s">
        <v>1395</v>
      </c>
      <c r="D69" s="64"/>
      <c r="G69" s="64" t="s">
        <v>1246</v>
      </c>
      <c r="H69" s="64" t="s">
        <v>1361</v>
      </c>
      <c r="I69" s="64" t="s">
        <v>1395</v>
      </c>
      <c r="J69" s="64"/>
    </row>
    <row r="70" customFormat="false" ht="15" hidden="false" customHeight="false" outlineLevel="0" collapsed="false">
      <c r="A70" s="95"/>
      <c r="B70" s="95" t="str">
        <f aca="false">IFERROR(INDEX('Guest List'!$B$7:$B$206,MATCH(A70,'Guest List'!$A$7:$A$206,0)),"")</f>
        <v/>
      </c>
      <c r="C70" s="95" t="n">
        <v>1</v>
      </c>
      <c r="D70" s="95"/>
      <c r="G70" s="95"/>
      <c r="H70" s="95" t="str">
        <f aca="false">IFERROR(INDEX('Guest List'!$B$7:$B$206,MATCH(G70,'Guest List'!$A$7:$A$206,0)),"")</f>
        <v/>
      </c>
      <c r="I70" s="95" t="n">
        <v>1</v>
      </c>
      <c r="J70" s="95"/>
    </row>
    <row r="71" customFormat="false" ht="15" hidden="false" customHeight="false" outlineLevel="0" collapsed="false">
      <c r="A71" s="95"/>
      <c r="B71" s="95" t="str">
        <f aca="false">IFERROR(INDEX('Guest List'!$B$7:$B$206,MATCH(A71,'Guest List'!$A$7:$A$206,0)),"")</f>
        <v/>
      </c>
      <c r="C71" s="95" t="n">
        <v>2</v>
      </c>
      <c r="D71" s="95"/>
      <c r="G71" s="95"/>
      <c r="H71" s="95" t="str">
        <f aca="false">IFERROR(INDEX('Guest List'!$B$7:$B$206,MATCH(G71,'Guest List'!$A$7:$A$206,0)),"")</f>
        <v/>
      </c>
      <c r="I71" s="95" t="n">
        <v>2</v>
      </c>
      <c r="J71" s="95"/>
    </row>
    <row r="72" customFormat="false" ht="15" hidden="false" customHeight="false" outlineLevel="0" collapsed="false">
      <c r="A72" s="95"/>
      <c r="B72" s="95" t="str">
        <f aca="false">IFERROR(INDEX('Guest List'!$B$7:$B$206,MATCH(A72,'Guest List'!$A$7:$A$206,0)),"")</f>
        <v/>
      </c>
      <c r="C72" s="95" t="n">
        <v>3</v>
      </c>
      <c r="D72" s="95"/>
      <c r="G72" s="95"/>
      <c r="H72" s="95" t="str">
        <f aca="false">IFERROR(INDEX('Guest List'!$B$7:$B$206,MATCH(G72,'Guest List'!$A$7:$A$206,0)),"")</f>
        <v/>
      </c>
      <c r="I72" s="95" t="n">
        <v>3</v>
      </c>
      <c r="J72" s="95"/>
    </row>
    <row r="73" customFormat="false" ht="15" hidden="false" customHeight="false" outlineLevel="0" collapsed="false">
      <c r="A73" s="95"/>
      <c r="B73" s="95" t="str">
        <f aca="false">IFERROR(INDEX('Guest List'!$B$7:$B$206,MATCH(A73,'Guest List'!$A$7:$A$206,0)),"")</f>
        <v/>
      </c>
      <c r="C73" s="95" t="n">
        <v>4</v>
      </c>
      <c r="D73" s="95"/>
      <c r="G73" s="95"/>
      <c r="H73" s="95" t="str">
        <f aca="false">IFERROR(INDEX('Guest List'!$B$7:$B$206,MATCH(G73,'Guest List'!$A$7:$A$206,0)),"")</f>
        <v/>
      </c>
      <c r="I73" s="95" t="n">
        <v>4</v>
      </c>
      <c r="J73" s="95"/>
    </row>
    <row r="74" customFormat="false" ht="15" hidden="false" customHeight="false" outlineLevel="0" collapsed="false">
      <c r="A74" s="95"/>
      <c r="B74" s="95" t="str">
        <f aca="false">IFERROR(INDEX('Guest List'!$B$7:$B$206,MATCH(A74,'Guest List'!$A$7:$A$206,0)),"")</f>
        <v/>
      </c>
      <c r="C74" s="95" t="n">
        <v>5</v>
      </c>
      <c r="D74" s="95"/>
      <c r="G74" s="95"/>
      <c r="H74" s="95" t="str">
        <f aca="false">IFERROR(INDEX('Guest List'!$B$7:$B$206,MATCH(G74,'Guest List'!$A$7:$A$206,0)),"")</f>
        <v/>
      </c>
      <c r="I74" s="95" t="n">
        <v>5</v>
      </c>
      <c r="J74" s="95"/>
    </row>
    <row r="75" customFormat="false" ht="15" hidden="false" customHeight="false" outlineLevel="0" collapsed="false">
      <c r="A75" s="95"/>
      <c r="B75" s="95" t="str">
        <f aca="false">IFERROR(INDEX('Guest List'!$B$7:$B$206,MATCH(A75,'Guest List'!$A$7:$A$206,0)),"")</f>
        <v/>
      </c>
      <c r="C75" s="95" t="n">
        <v>6</v>
      </c>
      <c r="D75" s="95"/>
      <c r="G75" s="95"/>
      <c r="H75" s="95" t="str">
        <f aca="false">IFERROR(INDEX('Guest List'!$B$7:$B$206,MATCH(G75,'Guest List'!$A$7:$A$206,0)),"")</f>
        <v/>
      </c>
      <c r="I75" s="95" t="n">
        <v>6</v>
      </c>
      <c r="J75" s="95"/>
    </row>
    <row r="76" customFormat="false" ht="15" hidden="false" customHeight="false" outlineLevel="0" collapsed="false">
      <c r="A76" s="95"/>
      <c r="B76" s="95" t="str">
        <f aca="false">IFERROR(INDEX('Guest List'!$B$7:$B$206,MATCH(A76,'Guest List'!$A$7:$A$206,0)),"")</f>
        <v/>
      </c>
      <c r="C76" s="95" t="n">
        <v>7</v>
      </c>
      <c r="D76" s="95"/>
      <c r="G76" s="95"/>
      <c r="H76" s="95" t="str">
        <f aca="false">IFERROR(INDEX('Guest List'!$B$7:$B$206,MATCH(G76,'Guest List'!$A$7:$A$206,0)),"")</f>
        <v/>
      </c>
      <c r="I76" s="95" t="n">
        <v>7</v>
      </c>
      <c r="J76" s="95"/>
    </row>
    <row r="77" customFormat="false" ht="15" hidden="false" customHeight="false" outlineLevel="0" collapsed="false">
      <c r="A77" s="95"/>
      <c r="B77" s="95" t="str">
        <f aca="false">IFERROR(INDEX('Guest List'!$B$7:$B$206,MATCH(A77,'Guest List'!$A$7:$A$206,0)),"")</f>
        <v/>
      </c>
      <c r="C77" s="95" t="n">
        <v>8</v>
      </c>
      <c r="D77" s="95"/>
      <c r="G77" s="95"/>
      <c r="H77" s="95" t="str">
        <f aca="false">IFERROR(INDEX('Guest List'!$B$7:$B$206,MATCH(G77,'Guest List'!$A$7:$A$206,0)),"")</f>
        <v/>
      </c>
      <c r="I77" s="95" t="n">
        <v>8</v>
      </c>
      <c r="J77" s="95"/>
    </row>
    <row r="83" customFormat="false" ht="15" hidden="false" customHeight="true" outlineLevel="0" collapsed="false">
      <c r="A83" s="93" t="s">
        <v>1400</v>
      </c>
      <c r="B83" s="93"/>
      <c r="C83" s="93"/>
      <c r="D83" s="93"/>
      <c r="G83" s="93" t="s">
        <v>1401</v>
      </c>
      <c r="H83" s="93"/>
      <c r="I83" s="93"/>
      <c r="J83" s="93"/>
    </row>
    <row r="84" customFormat="false" ht="15" hidden="false" customHeight="false" outlineLevel="0" collapsed="false">
      <c r="A84" s="94" t="s">
        <v>1287</v>
      </c>
      <c r="B84" s="94" t="n">
        <v>8</v>
      </c>
      <c r="C84" s="94" t="s">
        <v>1393</v>
      </c>
      <c r="D84" s="94" t="n">
        <f aca="false">COUNTIFS(A87:A94,"&lt;&gt;")</f>
        <v>0</v>
      </c>
      <c r="G84" s="94" t="s">
        <v>1287</v>
      </c>
      <c r="H84" s="94" t="n">
        <v>8</v>
      </c>
      <c r="I84" s="94" t="s">
        <v>1393</v>
      </c>
      <c r="J84" s="94" t="n">
        <f aca="false">COUNTIFS(A87:A94,"&lt;&gt;")</f>
        <v>0</v>
      </c>
    </row>
    <row r="85" customFormat="false" ht="15" hidden="false" customHeight="false" outlineLevel="0" collapsed="false">
      <c r="A85" s="94" t="s">
        <v>1394</v>
      </c>
      <c r="B85" s="94" t="str">
        <f aca="false">_xlfn.TEXTJOIN(", ",TRUE(),IF(COUNTIF(B87:B94,"Bride")&gt;0,"Bride",""),IF(COUNTIF(B87:B94,"Groom")&gt;0,"Groom",""),IF(COUNTIF(B87:B94,"Both")&gt;0,"Both",""))</f>
        <v/>
      </c>
      <c r="C85" s="94"/>
      <c r="D85" s="94"/>
      <c r="G85" s="94" t="s">
        <v>1394</v>
      </c>
      <c r="H85" s="94" t="str">
        <f aca="false">_xlfn.TEXTJOIN(", ",TRUE(),IF(COUNTIF(B87:B94,"Bride")&gt;0,"Bride",""),IF(COUNTIF(B87:B94,"Groom")&gt;0,"Groom",""),IF(COUNTIF(B87:B94,"Both")&gt;0,"Both",""))</f>
        <v/>
      </c>
      <c r="I85" s="94"/>
      <c r="J85" s="94"/>
    </row>
    <row r="86" customFormat="false" ht="19.5" hidden="false" customHeight="true" outlineLevel="0" collapsed="false">
      <c r="A86" s="64" t="s">
        <v>1246</v>
      </c>
      <c r="B86" s="64" t="s">
        <v>1361</v>
      </c>
      <c r="C86" s="64" t="s">
        <v>1395</v>
      </c>
      <c r="D86" s="64"/>
      <c r="G86" s="64" t="s">
        <v>1246</v>
      </c>
      <c r="H86" s="64" t="s">
        <v>1361</v>
      </c>
      <c r="I86" s="64" t="s">
        <v>1395</v>
      </c>
      <c r="J86" s="64"/>
    </row>
    <row r="87" customFormat="false" ht="15" hidden="false" customHeight="false" outlineLevel="0" collapsed="false">
      <c r="A87" s="95"/>
      <c r="B87" s="95" t="str">
        <f aca="false">IFERROR(INDEX('Guest List'!$B$7:$B$206,MATCH(A87,'Guest List'!$A$7:$A$206,0)),"")</f>
        <v/>
      </c>
      <c r="C87" s="95" t="n">
        <v>1</v>
      </c>
      <c r="D87" s="95"/>
      <c r="G87" s="95"/>
      <c r="H87" s="95" t="str">
        <f aca="false">IFERROR(INDEX('Guest List'!$B$7:$B$206,MATCH(G87,'Guest List'!$A$7:$A$206,0)),"")</f>
        <v/>
      </c>
      <c r="I87" s="95" t="n">
        <v>1</v>
      </c>
      <c r="J87" s="95"/>
    </row>
    <row r="88" customFormat="false" ht="15" hidden="false" customHeight="false" outlineLevel="0" collapsed="false">
      <c r="A88" s="95"/>
      <c r="B88" s="95" t="str">
        <f aca="false">IFERROR(INDEX('Guest List'!$B$7:$B$206,MATCH(A88,'Guest List'!$A$7:$A$206,0)),"")</f>
        <v/>
      </c>
      <c r="C88" s="95" t="n">
        <v>2</v>
      </c>
      <c r="D88" s="95"/>
      <c r="G88" s="95"/>
      <c r="H88" s="95" t="str">
        <f aca="false">IFERROR(INDEX('Guest List'!$B$7:$B$206,MATCH(G88,'Guest List'!$A$7:$A$206,0)),"")</f>
        <v/>
      </c>
      <c r="I88" s="95" t="n">
        <v>2</v>
      </c>
      <c r="J88" s="95"/>
    </row>
    <row r="89" customFormat="false" ht="15" hidden="false" customHeight="false" outlineLevel="0" collapsed="false">
      <c r="A89" s="95"/>
      <c r="B89" s="95" t="str">
        <f aca="false">IFERROR(INDEX('Guest List'!$B$7:$B$206,MATCH(A89,'Guest List'!$A$7:$A$206,0)),"")</f>
        <v/>
      </c>
      <c r="C89" s="95" t="n">
        <v>3</v>
      </c>
      <c r="D89" s="95"/>
      <c r="G89" s="95"/>
      <c r="H89" s="95" t="str">
        <f aca="false">IFERROR(INDEX('Guest List'!$B$7:$B$206,MATCH(G89,'Guest List'!$A$7:$A$206,0)),"")</f>
        <v/>
      </c>
      <c r="I89" s="95" t="n">
        <v>3</v>
      </c>
      <c r="J89" s="95"/>
    </row>
    <row r="90" customFormat="false" ht="15" hidden="false" customHeight="false" outlineLevel="0" collapsed="false">
      <c r="A90" s="95"/>
      <c r="B90" s="95" t="str">
        <f aca="false">IFERROR(INDEX('Guest List'!$B$7:$B$206,MATCH(A90,'Guest List'!$A$7:$A$206,0)),"")</f>
        <v/>
      </c>
      <c r="C90" s="95" t="n">
        <v>4</v>
      </c>
      <c r="D90" s="95"/>
      <c r="G90" s="95"/>
      <c r="H90" s="95" t="str">
        <f aca="false">IFERROR(INDEX('Guest List'!$B$7:$B$206,MATCH(G90,'Guest List'!$A$7:$A$206,0)),"")</f>
        <v/>
      </c>
      <c r="I90" s="95" t="n">
        <v>4</v>
      </c>
      <c r="J90" s="95"/>
    </row>
    <row r="91" customFormat="false" ht="15" hidden="false" customHeight="false" outlineLevel="0" collapsed="false">
      <c r="A91" s="95"/>
      <c r="B91" s="95" t="str">
        <f aca="false">IFERROR(INDEX('Guest List'!$B$7:$B$206,MATCH(A91,'Guest List'!$A$7:$A$206,0)),"")</f>
        <v/>
      </c>
      <c r="C91" s="95" t="n">
        <v>5</v>
      </c>
      <c r="D91" s="95"/>
      <c r="G91" s="95"/>
      <c r="H91" s="95" t="str">
        <f aca="false">IFERROR(INDEX('Guest List'!$B$7:$B$206,MATCH(G91,'Guest List'!$A$7:$A$206,0)),"")</f>
        <v/>
      </c>
      <c r="I91" s="95" t="n">
        <v>5</v>
      </c>
      <c r="J91" s="95"/>
    </row>
    <row r="92" customFormat="false" ht="15" hidden="false" customHeight="false" outlineLevel="0" collapsed="false">
      <c r="A92" s="95"/>
      <c r="B92" s="95" t="str">
        <f aca="false">IFERROR(INDEX('Guest List'!$B$7:$B$206,MATCH(A92,'Guest List'!$A$7:$A$206,0)),"")</f>
        <v/>
      </c>
      <c r="C92" s="95" t="n">
        <v>6</v>
      </c>
      <c r="D92" s="95"/>
      <c r="G92" s="95"/>
      <c r="H92" s="95" t="str">
        <f aca="false">IFERROR(INDEX('Guest List'!$B$7:$B$206,MATCH(G92,'Guest List'!$A$7:$A$206,0)),"")</f>
        <v/>
      </c>
      <c r="I92" s="95" t="n">
        <v>6</v>
      </c>
      <c r="J92" s="95"/>
    </row>
    <row r="93" customFormat="false" ht="15" hidden="false" customHeight="false" outlineLevel="0" collapsed="false">
      <c r="A93" s="95"/>
      <c r="B93" s="95" t="str">
        <f aca="false">IFERROR(INDEX('Guest List'!$B$7:$B$206,MATCH(A93,'Guest List'!$A$7:$A$206,0)),"")</f>
        <v/>
      </c>
      <c r="C93" s="95" t="n">
        <v>7</v>
      </c>
      <c r="D93" s="95"/>
      <c r="G93" s="95"/>
      <c r="H93" s="95" t="str">
        <f aca="false">IFERROR(INDEX('Guest List'!$B$7:$B$206,MATCH(G93,'Guest List'!$A$7:$A$206,0)),"")</f>
        <v/>
      </c>
      <c r="I93" s="95" t="n">
        <v>7</v>
      </c>
      <c r="J93" s="95"/>
    </row>
    <row r="94" customFormat="false" ht="15" hidden="false" customHeight="false" outlineLevel="0" collapsed="false">
      <c r="A94" s="95"/>
      <c r="B94" s="95" t="str">
        <f aca="false">IFERROR(INDEX('Guest List'!$B$7:$B$206,MATCH(A94,'Guest List'!$A$7:$A$206,0)),"")</f>
        <v/>
      </c>
      <c r="C94" s="95" t="n">
        <v>8</v>
      </c>
      <c r="D94" s="95"/>
      <c r="G94" s="95"/>
      <c r="H94" s="95" t="str">
        <f aca="false">IFERROR(INDEX('Guest List'!$B$7:$B$206,MATCH(G94,'Guest List'!$A$7:$A$206,0)),"")</f>
        <v/>
      </c>
      <c r="I94" s="95" t="n">
        <v>8</v>
      </c>
      <c r="J94" s="95"/>
    </row>
    <row r="100" customFormat="false" ht="15" hidden="false" customHeight="true" outlineLevel="0" collapsed="false">
      <c r="A100" s="93" t="s">
        <v>1402</v>
      </c>
      <c r="B100" s="93"/>
      <c r="C100" s="93"/>
      <c r="D100" s="93"/>
      <c r="G100" s="93" t="s">
        <v>1403</v>
      </c>
      <c r="H100" s="93"/>
      <c r="I100" s="93"/>
      <c r="J100" s="93"/>
    </row>
    <row r="101" customFormat="false" ht="15" hidden="false" customHeight="false" outlineLevel="0" collapsed="false">
      <c r="A101" s="94" t="s">
        <v>1287</v>
      </c>
      <c r="B101" s="94" t="n">
        <v>8</v>
      </c>
      <c r="C101" s="94" t="s">
        <v>1393</v>
      </c>
      <c r="D101" s="94" t="n">
        <f aca="false">COUNTIFS(A104:A111,"&lt;&gt;")</f>
        <v>0</v>
      </c>
      <c r="G101" s="94" t="s">
        <v>1287</v>
      </c>
      <c r="H101" s="94" t="n">
        <v>8</v>
      </c>
      <c r="I101" s="94" t="s">
        <v>1393</v>
      </c>
      <c r="J101" s="94" t="n">
        <f aca="false">COUNTIFS(A104:A111,"&lt;&gt;")</f>
        <v>0</v>
      </c>
    </row>
    <row r="102" customFormat="false" ht="15" hidden="false" customHeight="false" outlineLevel="0" collapsed="false">
      <c r="A102" s="94" t="s">
        <v>1394</v>
      </c>
      <c r="B102" s="94" t="str">
        <f aca="false">_xlfn.TEXTJOIN(", ",TRUE(),IF(COUNTIF(B104:B111,"Bride")&gt;0,"Bride",""),IF(COUNTIF(B104:B111,"Groom")&gt;0,"Groom",""),IF(COUNTIF(B104:B111,"Both")&gt;0,"Both",""))</f>
        <v/>
      </c>
      <c r="C102" s="94"/>
      <c r="D102" s="94"/>
      <c r="G102" s="94" t="s">
        <v>1394</v>
      </c>
      <c r="H102" s="94" t="str">
        <f aca="false">_xlfn.TEXTJOIN(", ",TRUE(),IF(COUNTIF(B104:B111,"Bride")&gt;0,"Bride",""),IF(COUNTIF(B104:B111,"Groom")&gt;0,"Groom",""),IF(COUNTIF(B104:B111,"Both")&gt;0,"Both",""))</f>
        <v/>
      </c>
      <c r="I102" s="94"/>
      <c r="J102" s="94"/>
    </row>
    <row r="103" customFormat="false" ht="19.5" hidden="false" customHeight="true" outlineLevel="0" collapsed="false">
      <c r="A103" s="64" t="s">
        <v>1246</v>
      </c>
      <c r="B103" s="64" t="s">
        <v>1361</v>
      </c>
      <c r="C103" s="64" t="s">
        <v>1395</v>
      </c>
      <c r="D103" s="64"/>
      <c r="G103" s="64" t="s">
        <v>1246</v>
      </c>
      <c r="H103" s="64" t="s">
        <v>1361</v>
      </c>
      <c r="I103" s="64" t="s">
        <v>1395</v>
      </c>
      <c r="J103" s="64"/>
    </row>
    <row r="104" customFormat="false" ht="15" hidden="false" customHeight="false" outlineLevel="0" collapsed="false">
      <c r="A104" s="95"/>
      <c r="B104" s="95" t="str">
        <f aca="false">IFERROR(INDEX('Guest List'!$B$7:$B$206,MATCH(A104,'Guest List'!$A$7:$A$206,0)),"")</f>
        <v/>
      </c>
      <c r="C104" s="95" t="n">
        <v>1</v>
      </c>
      <c r="D104" s="95"/>
      <c r="G104" s="95"/>
      <c r="H104" s="95" t="str">
        <f aca="false">IFERROR(INDEX('Guest List'!$B$7:$B$206,MATCH(G104,'Guest List'!$A$7:$A$206,0)),"")</f>
        <v/>
      </c>
      <c r="I104" s="95" t="n">
        <v>1</v>
      </c>
      <c r="J104" s="95"/>
    </row>
    <row r="105" customFormat="false" ht="15" hidden="false" customHeight="false" outlineLevel="0" collapsed="false">
      <c r="A105" s="95"/>
      <c r="B105" s="95" t="str">
        <f aca="false">IFERROR(INDEX('Guest List'!$B$7:$B$206,MATCH(A105,'Guest List'!$A$7:$A$206,0)),"")</f>
        <v/>
      </c>
      <c r="C105" s="95" t="n">
        <v>2</v>
      </c>
      <c r="D105" s="95"/>
      <c r="G105" s="95"/>
      <c r="H105" s="95" t="str">
        <f aca="false">IFERROR(INDEX('Guest List'!$B$7:$B$206,MATCH(G105,'Guest List'!$A$7:$A$206,0)),"")</f>
        <v/>
      </c>
      <c r="I105" s="95" t="n">
        <v>2</v>
      </c>
      <c r="J105" s="95"/>
    </row>
    <row r="106" customFormat="false" ht="15" hidden="false" customHeight="false" outlineLevel="0" collapsed="false">
      <c r="A106" s="95"/>
      <c r="B106" s="95" t="str">
        <f aca="false">IFERROR(INDEX('Guest List'!$B$7:$B$206,MATCH(A106,'Guest List'!$A$7:$A$206,0)),"")</f>
        <v/>
      </c>
      <c r="C106" s="95" t="n">
        <v>3</v>
      </c>
      <c r="D106" s="95"/>
      <c r="G106" s="95"/>
      <c r="H106" s="95" t="str">
        <f aca="false">IFERROR(INDEX('Guest List'!$B$7:$B$206,MATCH(G106,'Guest List'!$A$7:$A$206,0)),"")</f>
        <v/>
      </c>
      <c r="I106" s="95" t="n">
        <v>3</v>
      </c>
      <c r="J106" s="95"/>
    </row>
    <row r="107" customFormat="false" ht="15" hidden="false" customHeight="false" outlineLevel="0" collapsed="false">
      <c r="A107" s="95"/>
      <c r="B107" s="95" t="str">
        <f aca="false">IFERROR(INDEX('Guest List'!$B$7:$B$206,MATCH(A107,'Guest List'!$A$7:$A$206,0)),"")</f>
        <v/>
      </c>
      <c r="C107" s="95" t="n">
        <v>4</v>
      </c>
      <c r="D107" s="95"/>
      <c r="G107" s="95"/>
      <c r="H107" s="95" t="str">
        <f aca="false">IFERROR(INDEX('Guest List'!$B$7:$B$206,MATCH(G107,'Guest List'!$A$7:$A$206,0)),"")</f>
        <v/>
      </c>
      <c r="I107" s="95" t="n">
        <v>4</v>
      </c>
      <c r="J107" s="95"/>
    </row>
    <row r="108" customFormat="false" ht="15" hidden="false" customHeight="false" outlineLevel="0" collapsed="false">
      <c r="A108" s="95"/>
      <c r="B108" s="95" t="str">
        <f aca="false">IFERROR(INDEX('Guest List'!$B$7:$B$206,MATCH(A108,'Guest List'!$A$7:$A$206,0)),"")</f>
        <v/>
      </c>
      <c r="C108" s="95" t="n">
        <v>5</v>
      </c>
      <c r="D108" s="95"/>
      <c r="G108" s="95"/>
      <c r="H108" s="95" t="str">
        <f aca="false">IFERROR(INDEX('Guest List'!$B$7:$B$206,MATCH(G108,'Guest List'!$A$7:$A$206,0)),"")</f>
        <v/>
      </c>
      <c r="I108" s="95" t="n">
        <v>5</v>
      </c>
      <c r="J108" s="95"/>
    </row>
    <row r="109" customFormat="false" ht="15" hidden="false" customHeight="false" outlineLevel="0" collapsed="false">
      <c r="A109" s="95"/>
      <c r="B109" s="95" t="str">
        <f aca="false">IFERROR(INDEX('Guest List'!$B$7:$B$206,MATCH(A109,'Guest List'!$A$7:$A$206,0)),"")</f>
        <v/>
      </c>
      <c r="C109" s="95" t="n">
        <v>6</v>
      </c>
      <c r="D109" s="95"/>
      <c r="G109" s="95"/>
      <c r="H109" s="95" t="str">
        <f aca="false">IFERROR(INDEX('Guest List'!$B$7:$B$206,MATCH(G109,'Guest List'!$A$7:$A$206,0)),"")</f>
        <v/>
      </c>
      <c r="I109" s="95" t="n">
        <v>6</v>
      </c>
      <c r="J109" s="95"/>
    </row>
    <row r="110" customFormat="false" ht="15" hidden="false" customHeight="false" outlineLevel="0" collapsed="false">
      <c r="A110" s="95"/>
      <c r="B110" s="95" t="str">
        <f aca="false">IFERROR(INDEX('Guest List'!$B$7:$B$206,MATCH(A110,'Guest List'!$A$7:$A$206,0)),"")</f>
        <v/>
      </c>
      <c r="C110" s="95" t="n">
        <v>7</v>
      </c>
      <c r="D110" s="95"/>
      <c r="G110" s="95"/>
      <c r="H110" s="95" t="str">
        <f aca="false">IFERROR(INDEX('Guest List'!$B$7:$B$206,MATCH(G110,'Guest List'!$A$7:$A$206,0)),"")</f>
        <v/>
      </c>
      <c r="I110" s="95" t="n">
        <v>7</v>
      </c>
      <c r="J110" s="95"/>
    </row>
    <row r="111" customFormat="false" ht="15" hidden="false" customHeight="false" outlineLevel="0" collapsed="false">
      <c r="A111" s="95"/>
      <c r="B111" s="95" t="str">
        <f aca="false">IFERROR(INDEX('Guest List'!$B$7:$B$206,MATCH(A111,'Guest List'!$A$7:$A$206,0)),"")</f>
        <v/>
      </c>
      <c r="C111" s="95" t="n">
        <v>8</v>
      </c>
      <c r="D111" s="95"/>
      <c r="G111" s="95"/>
      <c r="H111" s="95" t="str">
        <f aca="false">IFERROR(INDEX('Guest List'!$B$7:$B$206,MATCH(G111,'Guest List'!$A$7:$A$206,0)),"")</f>
        <v/>
      </c>
      <c r="I111" s="95" t="n">
        <v>8</v>
      </c>
      <c r="J111" s="95"/>
    </row>
  </sheetData>
  <mergeCells count="25">
    <mergeCell ref="A1:J1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6:F6"/>
    <mergeCell ref="A8:D8"/>
    <mergeCell ref="A32:D32"/>
    <mergeCell ref="G32:J32"/>
    <mergeCell ref="A49:D49"/>
    <mergeCell ref="G49:J49"/>
    <mergeCell ref="A66:D66"/>
    <mergeCell ref="G66:J66"/>
    <mergeCell ref="A83:D83"/>
    <mergeCell ref="G83:J83"/>
    <mergeCell ref="A100:D100"/>
    <mergeCell ref="G100:J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DFD0"/>
    <pageSetUpPr fitToPage="fals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12" min="5" style="0" width="13"/>
  </cols>
  <sheetData>
    <row r="1" customFormat="false" ht="27.75" hidden="false" customHeight="true" outlineLevel="0" collapsed="false">
      <c r="A1" s="60" t="s">
        <v>1404</v>
      </c>
      <c r="B1" s="60"/>
      <c r="C1" s="60"/>
      <c r="D1" s="60"/>
      <c r="E1" s="60"/>
      <c r="F1" s="60"/>
      <c r="G1" s="60"/>
      <c r="H1" s="60"/>
      <c r="I1" s="60"/>
      <c r="J1" s="60"/>
    </row>
    <row r="3" customFormat="false" ht="15" hidden="false" customHeight="false" outlineLevel="0" collapsed="false">
      <c r="A3" s="21" t="s">
        <v>1384</v>
      </c>
      <c r="B3" s="21"/>
      <c r="C3" s="21" t="s">
        <v>67</v>
      </c>
      <c r="D3" s="21"/>
      <c r="E3" s="21" t="s">
        <v>1385</v>
      </c>
      <c r="F3" s="21"/>
      <c r="G3" s="21" t="s">
        <v>69</v>
      </c>
      <c r="H3" s="21"/>
      <c r="I3" s="21" t="s">
        <v>70</v>
      </c>
      <c r="J3" s="21"/>
      <c r="K3" s="21" t="s">
        <v>1386</v>
      </c>
      <c r="L3" s="21"/>
    </row>
    <row r="4" customFormat="false" ht="18.55" hidden="false" customHeight="false" outlineLevel="0" collapsed="false">
      <c r="A4" s="90" t="n">
        <f aca="false">4*8</f>
        <v>32</v>
      </c>
      <c r="B4" s="90"/>
      <c r="C4" s="90" t="n">
        <f aca="false">COUNTIFS('Guest List'!$F$7:$F$206,"Yes")</f>
        <v>2</v>
      </c>
      <c r="D4" s="90"/>
      <c r="E4" s="90" t="n">
        <f aca="false">COUNTIFS(D10:D29,"&lt;&gt;")</f>
        <v>0</v>
      </c>
      <c r="F4" s="90"/>
      <c r="G4" s="90" t="n">
        <f aca="false">COUNTIFS('Guest List'!$F$7:$F$206,"Awaited")</f>
        <v>2</v>
      </c>
      <c r="H4" s="90"/>
      <c r="I4" s="90" t="n">
        <f aca="false">A4-E4</f>
        <v>32</v>
      </c>
      <c r="J4" s="90"/>
      <c r="K4" s="92" t="n">
        <f aca="false">IFERROR(E4/C4,0)</f>
        <v>0</v>
      </c>
      <c r="L4" s="92"/>
    </row>
    <row r="6" customFormat="false" ht="15" hidden="false" customHeight="false" outlineLevel="0" collapsed="false">
      <c r="A6" s="50" t="s">
        <v>1387</v>
      </c>
      <c r="B6" s="50"/>
      <c r="C6" s="50"/>
      <c r="D6" s="50"/>
      <c r="E6" s="50"/>
      <c r="F6" s="50"/>
    </row>
    <row r="8" customFormat="false" ht="15" hidden="false" customHeight="false" outlineLevel="0" collapsed="false">
      <c r="A8" s="28" t="s">
        <v>1388</v>
      </c>
      <c r="B8" s="28"/>
      <c r="C8" s="28"/>
      <c r="D8" s="28"/>
    </row>
    <row r="9" customFormat="false" ht="19.5" hidden="false" customHeight="true" outlineLevel="0" collapsed="false">
      <c r="A9" s="44" t="s">
        <v>1246</v>
      </c>
      <c r="B9" s="44" t="s">
        <v>1361</v>
      </c>
      <c r="C9" s="44" t="s">
        <v>1365</v>
      </c>
      <c r="D9" s="44" t="s">
        <v>1389</v>
      </c>
    </row>
    <row r="10" customFormat="false" ht="15" hidden="false" customHeight="false" outlineLevel="0" collapsed="false">
      <c r="A10" s="45" t="str">
        <f aca="false">IF('Guest List'!$F7="Yes",'Guest List'!$A7,"")</f>
        <v>Alex Johnson</v>
      </c>
      <c r="B10" s="45" t="str">
        <f aca="false">IF(A10&lt;&gt;"",'Guest List'!$B7,"")</f>
        <v>Bride</v>
      </c>
      <c r="C10" s="45" t="str">
        <f aca="false">IF(A10&lt;&gt;"",'Guest List'!$F7,"")</f>
        <v>Yes</v>
      </c>
      <c r="D10" s="45"/>
    </row>
    <row r="11" customFormat="false" ht="15" hidden="false" customHeight="false" outlineLevel="0" collapsed="false">
      <c r="A11" s="47" t="str">
        <f aca="false">IF('Guest List'!$F8="Yes",'Guest List'!$A8,"")</f>
        <v/>
      </c>
      <c r="B11" s="47" t="str">
        <f aca="false">IF(A11&lt;&gt;"",'Guest List'!$B8,"")</f>
        <v/>
      </c>
      <c r="C11" s="47" t="str">
        <f aca="false">IF(A11&lt;&gt;"",'Guest List'!$F8,"")</f>
        <v/>
      </c>
      <c r="D11" s="47"/>
    </row>
    <row r="12" customFormat="false" ht="15" hidden="false" customHeight="false" outlineLevel="0" collapsed="false">
      <c r="A12" s="45" t="str">
        <f aca="false">IF('Guest List'!$F9="Yes",'Guest List'!$A9,"")</f>
        <v/>
      </c>
      <c r="B12" s="45" t="str">
        <f aca="false">IF(A12&lt;&gt;"",'Guest List'!$B9,"")</f>
        <v/>
      </c>
      <c r="C12" s="45" t="str">
        <f aca="false">IF(A12&lt;&gt;"",'Guest List'!$F9,"")</f>
        <v/>
      </c>
      <c r="D12" s="45"/>
    </row>
    <row r="13" customFormat="false" ht="15" hidden="false" customHeight="false" outlineLevel="0" collapsed="false">
      <c r="A13" s="47" t="str">
        <f aca="false">IF('Guest List'!$F10="Yes",'Guest List'!$A10,"")</f>
        <v>Morgan Kim</v>
      </c>
      <c r="B13" s="47" t="str">
        <f aca="false">IF(A13&lt;&gt;"",'Guest List'!$B10,"")</f>
        <v>Bride</v>
      </c>
      <c r="C13" s="47" t="str">
        <f aca="false">IF(A13&lt;&gt;"",'Guest List'!$F10,"")</f>
        <v>Yes</v>
      </c>
      <c r="D13" s="47"/>
    </row>
    <row r="14" customFormat="false" ht="15" hidden="false" customHeight="false" outlineLevel="0" collapsed="false">
      <c r="A14" s="45" t="str">
        <f aca="false">IF('Guest List'!$F11="Yes",'Guest List'!$A11,"")</f>
        <v/>
      </c>
      <c r="B14" s="45" t="str">
        <f aca="false">IF(A14&lt;&gt;"",'Guest List'!$B11,"")</f>
        <v/>
      </c>
      <c r="C14" s="45" t="str">
        <f aca="false">IF(A14&lt;&gt;"",'Guest List'!$F11,"")</f>
        <v/>
      </c>
      <c r="D14" s="45"/>
    </row>
    <row r="15" customFormat="false" ht="15" hidden="false" customHeight="false" outlineLevel="0" collapsed="false">
      <c r="A15" s="47" t="str">
        <f aca="false">IF('Guest List'!$F12="Yes",'Guest List'!$A12,"")</f>
        <v/>
      </c>
      <c r="B15" s="47" t="str">
        <f aca="false">IF(A15&lt;&gt;"",'Guest List'!$B12,"")</f>
        <v/>
      </c>
      <c r="C15" s="47" t="str">
        <f aca="false">IF(A15&lt;&gt;"",'Guest List'!$F12,"")</f>
        <v/>
      </c>
      <c r="D15" s="47"/>
    </row>
    <row r="16" customFormat="false" ht="15" hidden="false" customHeight="false" outlineLevel="0" collapsed="false">
      <c r="A16" s="45" t="str">
        <f aca="false">IF('Guest List'!$F13="Yes",'Guest List'!$A13,"")</f>
        <v/>
      </c>
      <c r="B16" s="45" t="str">
        <f aca="false">IF(A16&lt;&gt;"",'Guest List'!$B13,"")</f>
        <v/>
      </c>
      <c r="C16" s="45" t="str">
        <f aca="false">IF(A16&lt;&gt;"",'Guest List'!$F13,"")</f>
        <v/>
      </c>
      <c r="D16" s="45"/>
    </row>
    <row r="17" customFormat="false" ht="15" hidden="false" customHeight="false" outlineLevel="0" collapsed="false">
      <c r="A17" s="47" t="str">
        <f aca="false">IF('Guest List'!$F14="Yes",'Guest List'!$A14,"")</f>
        <v/>
      </c>
      <c r="B17" s="47" t="str">
        <f aca="false">IF(A17&lt;&gt;"",'Guest List'!$B14,"")</f>
        <v/>
      </c>
      <c r="C17" s="47" t="str">
        <f aca="false">IF(A17&lt;&gt;"",'Guest List'!$F14,"")</f>
        <v/>
      </c>
      <c r="D17" s="47"/>
    </row>
    <row r="18" customFormat="false" ht="15" hidden="false" customHeight="false" outlineLevel="0" collapsed="false">
      <c r="A18" s="45" t="str">
        <f aca="false">IF('Guest List'!$F15="Yes",'Guest List'!$A15,"")</f>
        <v/>
      </c>
      <c r="B18" s="45" t="str">
        <f aca="false">IF(A18&lt;&gt;"",'Guest List'!$B15,"")</f>
        <v/>
      </c>
      <c r="C18" s="45" t="str">
        <f aca="false">IF(A18&lt;&gt;"",'Guest List'!$F15,"")</f>
        <v/>
      </c>
      <c r="D18" s="45"/>
    </row>
    <row r="19" customFormat="false" ht="15" hidden="false" customHeight="false" outlineLevel="0" collapsed="false">
      <c r="A19" s="47" t="str">
        <f aca="false">IF('Guest List'!$F16="Yes",'Guest List'!$A16,"")</f>
        <v/>
      </c>
      <c r="B19" s="47" t="str">
        <f aca="false">IF(A19&lt;&gt;"",'Guest List'!$B16,"")</f>
        <v/>
      </c>
      <c r="C19" s="47" t="str">
        <f aca="false">IF(A19&lt;&gt;"",'Guest List'!$F16,"")</f>
        <v/>
      </c>
      <c r="D19" s="47"/>
    </row>
    <row r="20" customFormat="false" ht="15" hidden="false" customHeight="false" outlineLevel="0" collapsed="false">
      <c r="A20" s="45" t="str">
        <f aca="false">IF('Guest List'!$F17="Yes",'Guest List'!$A17,"")</f>
        <v/>
      </c>
      <c r="B20" s="45" t="str">
        <f aca="false">IF(A20&lt;&gt;"",'Guest List'!$B17,"")</f>
        <v/>
      </c>
      <c r="C20" s="45" t="str">
        <f aca="false">IF(A20&lt;&gt;"",'Guest List'!$F17,"")</f>
        <v/>
      </c>
      <c r="D20" s="45"/>
    </row>
    <row r="21" customFormat="false" ht="15" hidden="false" customHeight="false" outlineLevel="0" collapsed="false">
      <c r="A21" s="47" t="str">
        <f aca="false">IF('Guest List'!$F18="Yes",'Guest List'!$A18,"")</f>
        <v/>
      </c>
      <c r="B21" s="47" t="str">
        <f aca="false">IF(A21&lt;&gt;"",'Guest List'!$B18,"")</f>
        <v/>
      </c>
      <c r="C21" s="47" t="str">
        <f aca="false">IF(A21&lt;&gt;"",'Guest List'!$F18,"")</f>
        <v/>
      </c>
      <c r="D21" s="47"/>
    </row>
    <row r="22" customFormat="false" ht="15" hidden="false" customHeight="false" outlineLevel="0" collapsed="false">
      <c r="A22" s="45" t="str">
        <f aca="false">IF('Guest List'!$F19="Yes",'Guest List'!$A19,"")</f>
        <v/>
      </c>
      <c r="B22" s="45" t="str">
        <f aca="false">IF(A22&lt;&gt;"",'Guest List'!$B19,"")</f>
        <v/>
      </c>
      <c r="C22" s="45" t="str">
        <f aca="false">IF(A22&lt;&gt;"",'Guest List'!$F19,"")</f>
        <v/>
      </c>
      <c r="D22" s="45"/>
    </row>
    <row r="23" customFormat="false" ht="15" hidden="false" customHeight="false" outlineLevel="0" collapsed="false">
      <c r="A23" s="47" t="str">
        <f aca="false">IF('Guest List'!$F20="Yes",'Guest List'!$A20,"")</f>
        <v/>
      </c>
      <c r="B23" s="47" t="str">
        <f aca="false">IF(A23&lt;&gt;"",'Guest List'!$B20,"")</f>
        <v/>
      </c>
      <c r="C23" s="47" t="str">
        <f aca="false">IF(A23&lt;&gt;"",'Guest List'!$F20,"")</f>
        <v/>
      </c>
      <c r="D23" s="47"/>
    </row>
    <row r="24" customFormat="false" ht="15" hidden="false" customHeight="false" outlineLevel="0" collapsed="false">
      <c r="A24" s="45" t="str">
        <f aca="false">IF('Guest List'!$F21="Yes",'Guest List'!$A21,"")</f>
        <v/>
      </c>
      <c r="B24" s="45" t="str">
        <f aca="false">IF(A24&lt;&gt;"",'Guest List'!$B21,"")</f>
        <v/>
      </c>
      <c r="C24" s="45" t="str">
        <f aca="false">IF(A24&lt;&gt;"",'Guest List'!$F21,"")</f>
        <v/>
      </c>
      <c r="D24" s="45"/>
    </row>
    <row r="25" customFormat="false" ht="15" hidden="false" customHeight="false" outlineLevel="0" collapsed="false">
      <c r="A25" s="47" t="str">
        <f aca="false">IF('Guest List'!$F22="Yes",'Guest List'!$A22,"")</f>
        <v/>
      </c>
      <c r="B25" s="47" t="str">
        <f aca="false">IF(A25&lt;&gt;"",'Guest List'!$B22,"")</f>
        <v/>
      </c>
      <c r="C25" s="47" t="str">
        <f aca="false">IF(A25&lt;&gt;"",'Guest List'!$F22,"")</f>
        <v/>
      </c>
      <c r="D25" s="47"/>
    </row>
    <row r="26" customFormat="false" ht="15" hidden="false" customHeight="false" outlineLevel="0" collapsed="false">
      <c r="A26" s="45" t="str">
        <f aca="false">IF('Guest List'!$F23="Yes",'Guest List'!$A23,"")</f>
        <v/>
      </c>
      <c r="B26" s="45" t="str">
        <f aca="false">IF(A26&lt;&gt;"",'Guest List'!$B23,"")</f>
        <v/>
      </c>
      <c r="C26" s="45" t="str">
        <f aca="false">IF(A26&lt;&gt;"",'Guest List'!$F23,"")</f>
        <v/>
      </c>
      <c r="D26" s="45"/>
    </row>
    <row r="27" customFormat="false" ht="15" hidden="false" customHeight="false" outlineLevel="0" collapsed="false">
      <c r="A27" s="47" t="str">
        <f aca="false">IF('Guest List'!$F24="Yes",'Guest List'!$A24,"")</f>
        <v/>
      </c>
      <c r="B27" s="47" t="str">
        <f aca="false">IF(A27&lt;&gt;"",'Guest List'!$B24,"")</f>
        <v/>
      </c>
      <c r="C27" s="47" t="str">
        <f aca="false">IF(A27&lt;&gt;"",'Guest List'!$F24,"")</f>
        <v/>
      </c>
      <c r="D27" s="47"/>
    </row>
    <row r="28" customFormat="false" ht="15" hidden="false" customHeight="false" outlineLevel="0" collapsed="false">
      <c r="A28" s="45" t="str">
        <f aca="false">IF('Guest List'!$F25="Yes",'Guest List'!$A25,"")</f>
        <v/>
      </c>
      <c r="B28" s="45" t="str">
        <f aca="false">IF(A28&lt;&gt;"",'Guest List'!$B25,"")</f>
        <v/>
      </c>
      <c r="C28" s="45" t="str">
        <f aca="false">IF(A28&lt;&gt;"",'Guest List'!$F25,"")</f>
        <v/>
      </c>
      <c r="D28" s="45"/>
    </row>
    <row r="29" customFormat="false" ht="15" hidden="false" customHeight="false" outlineLevel="0" collapsed="false">
      <c r="A29" s="47" t="str">
        <f aca="false">IF('Guest List'!$F26="Yes",'Guest List'!$A26,"")</f>
        <v/>
      </c>
      <c r="B29" s="47" t="str">
        <f aca="false">IF(A29&lt;&gt;"",'Guest List'!$B26,"")</f>
        <v/>
      </c>
      <c r="C29" s="47" t="str">
        <f aca="false">IF(A29&lt;&gt;"",'Guest List'!$F26,"")</f>
        <v/>
      </c>
      <c r="D29" s="47"/>
    </row>
    <row r="31" customFormat="false" ht="16.15" hidden="false" customHeight="false" outlineLevel="0" collapsed="false">
      <c r="A31" s="30" t="s">
        <v>1390</v>
      </c>
    </row>
    <row r="32" customFormat="false" ht="15" hidden="false" customHeight="true" outlineLevel="0" collapsed="false">
      <c r="A32" s="96" t="s">
        <v>1391</v>
      </c>
      <c r="B32" s="96"/>
      <c r="C32" s="96"/>
      <c r="D32" s="96"/>
      <c r="G32" s="96" t="s">
        <v>1392</v>
      </c>
      <c r="H32" s="96"/>
      <c r="I32" s="96"/>
      <c r="J32" s="96"/>
    </row>
    <row r="33" customFormat="false" ht="15" hidden="false" customHeight="false" outlineLevel="0" collapsed="false">
      <c r="A33" s="94" t="s">
        <v>1287</v>
      </c>
      <c r="B33" s="94" t="n">
        <v>8</v>
      </c>
      <c r="C33" s="94" t="s">
        <v>1393</v>
      </c>
      <c r="D33" s="94" t="n">
        <f aca="false">COUNTIFS(A36:A43,"&lt;&gt;")</f>
        <v>0</v>
      </c>
      <c r="G33" s="94" t="s">
        <v>1287</v>
      </c>
      <c r="H33" s="94" t="n">
        <v>8</v>
      </c>
      <c r="I33" s="94" t="s">
        <v>1393</v>
      </c>
      <c r="J33" s="94" t="n">
        <f aca="false">COUNTIFS(A36:A43,"&lt;&gt;")</f>
        <v>0</v>
      </c>
    </row>
    <row r="34" customFormat="false" ht="15" hidden="false" customHeight="false" outlineLevel="0" collapsed="false">
      <c r="A34" s="94" t="s">
        <v>1394</v>
      </c>
      <c r="B34" s="94" t="str">
        <f aca="false">_xlfn.TEXTJOIN(", ",TRUE(),IF(COUNTIF(B36:B43,"Bride")&gt;0,"Bride",""),IF(COUNTIF(B36:B43,"Groom")&gt;0,"Groom",""),IF(COUNTIF(B36:B43,"Both")&gt;0,"Both",""))</f>
        <v/>
      </c>
      <c r="C34" s="94"/>
      <c r="D34" s="94"/>
      <c r="G34" s="94" t="s">
        <v>1394</v>
      </c>
      <c r="H34" s="94" t="str">
        <f aca="false">_xlfn.TEXTJOIN(", ",TRUE(),IF(COUNTIF(B36:B43,"Bride")&gt;0,"Bride",""),IF(COUNTIF(B36:B43,"Groom")&gt;0,"Groom",""),IF(COUNTIF(B36:B43,"Both")&gt;0,"Both",""))</f>
        <v/>
      </c>
      <c r="I34" s="94"/>
      <c r="J34" s="94"/>
    </row>
    <row r="35" customFormat="false" ht="19.5" hidden="false" customHeight="true" outlineLevel="0" collapsed="false">
      <c r="A35" s="61" t="s">
        <v>1246</v>
      </c>
      <c r="B35" s="61" t="s">
        <v>1361</v>
      </c>
      <c r="C35" s="61" t="s">
        <v>1395</v>
      </c>
      <c r="D35" s="61"/>
      <c r="G35" s="61" t="s">
        <v>1246</v>
      </c>
      <c r="H35" s="61" t="s">
        <v>1361</v>
      </c>
      <c r="I35" s="61" t="s">
        <v>1395</v>
      </c>
      <c r="J35" s="61"/>
    </row>
    <row r="36" customFormat="false" ht="15" hidden="false" customHeight="false" outlineLevel="0" collapsed="false">
      <c r="A36" s="95"/>
      <c r="B36" s="95" t="str">
        <f aca="false">IFERROR(INDEX('Guest List'!$B$7:$B$206,MATCH(A36,'Guest List'!$A$7:$A$206,0)),"")</f>
        <v/>
      </c>
      <c r="C36" s="95" t="n">
        <v>1</v>
      </c>
      <c r="D36" s="95"/>
      <c r="G36" s="95"/>
      <c r="H36" s="95" t="str">
        <f aca="false">IFERROR(INDEX('Guest List'!$B$7:$B$206,MATCH(G36,'Guest List'!$A$7:$A$206,0)),"")</f>
        <v/>
      </c>
      <c r="I36" s="95" t="n">
        <v>1</v>
      </c>
      <c r="J36" s="95"/>
    </row>
    <row r="37" customFormat="false" ht="15" hidden="false" customHeight="false" outlineLevel="0" collapsed="false">
      <c r="A37" s="95"/>
      <c r="B37" s="95" t="str">
        <f aca="false">IFERROR(INDEX('Guest List'!$B$7:$B$206,MATCH(A37,'Guest List'!$A$7:$A$206,0)),"")</f>
        <v/>
      </c>
      <c r="C37" s="95" t="n">
        <v>2</v>
      </c>
      <c r="D37" s="95"/>
      <c r="G37" s="95"/>
      <c r="H37" s="95" t="str">
        <f aca="false">IFERROR(INDEX('Guest List'!$B$7:$B$206,MATCH(G37,'Guest List'!$A$7:$A$206,0)),"")</f>
        <v/>
      </c>
      <c r="I37" s="95" t="n">
        <v>2</v>
      </c>
      <c r="J37" s="95"/>
    </row>
    <row r="38" customFormat="false" ht="15" hidden="false" customHeight="false" outlineLevel="0" collapsed="false">
      <c r="A38" s="95"/>
      <c r="B38" s="95" t="str">
        <f aca="false">IFERROR(INDEX('Guest List'!$B$7:$B$206,MATCH(A38,'Guest List'!$A$7:$A$206,0)),"")</f>
        <v/>
      </c>
      <c r="C38" s="95" t="n">
        <v>3</v>
      </c>
      <c r="D38" s="95"/>
      <c r="G38" s="95"/>
      <c r="H38" s="95" t="str">
        <f aca="false">IFERROR(INDEX('Guest List'!$B$7:$B$206,MATCH(G38,'Guest List'!$A$7:$A$206,0)),"")</f>
        <v/>
      </c>
      <c r="I38" s="95" t="n">
        <v>3</v>
      </c>
      <c r="J38" s="95"/>
    </row>
    <row r="39" customFormat="false" ht="15" hidden="false" customHeight="false" outlineLevel="0" collapsed="false">
      <c r="A39" s="95"/>
      <c r="B39" s="95" t="str">
        <f aca="false">IFERROR(INDEX('Guest List'!$B$7:$B$206,MATCH(A39,'Guest List'!$A$7:$A$206,0)),"")</f>
        <v/>
      </c>
      <c r="C39" s="95" t="n">
        <v>4</v>
      </c>
      <c r="D39" s="95"/>
      <c r="G39" s="95"/>
      <c r="H39" s="95" t="str">
        <f aca="false">IFERROR(INDEX('Guest List'!$B$7:$B$206,MATCH(G39,'Guest List'!$A$7:$A$206,0)),"")</f>
        <v/>
      </c>
      <c r="I39" s="95" t="n">
        <v>4</v>
      </c>
      <c r="J39" s="95"/>
    </row>
    <row r="40" customFormat="false" ht="15" hidden="false" customHeight="false" outlineLevel="0" collapsed="false">
      <c r="A40" s="95"/>
      <c r="B40" s="95" t="str">
        <f aca="false">IFERROR(INDEX('Guest List'!$B$7:$B$206,MATCH(A40,'Guest List'!$A$7:$A$206,0)),"")</f>
        <v/>
      </c>
      <c r="C40" s="95" t="n">
        <v>5</v>
      </c>
      <c r="D40" s="95"/>
      <c r="G40" s="95"/>
      <c r="H40" s="95" t="str">
        <f aca="false">IFERROR(INDEX('Guest List'!$B$7:$B$206,MATCH(G40,'Guest List'!$A$7:$A$206,0)),"")</f>
        <v/>
      </c>
      <c r="I40" s="95" t="n">
        <v>5</v>
      </c>
      <c r="J40" s="95"/>
    </row>
    <row r="41" customFormat="false" ht="15" hidden="false" customHeight="false" outlineLevel="0" collapsed="false">
      <c r="A41" s="95"/>
      <c r="B41" s="95" t="str">
        <f aca="false">IFERROR(INDEX('Guest List'!$B$7:$B$206,MATCH(A41,'Guest List'!$A$7:$A$206,0)),"")</f>
        <v/>
      </c>
      <c r="C41" s="95" t="n">
        <v>6</v>
      </c>
      <c r="D41" s="95"/>
      <c r="G41" s="95"/>
      <c r="H41" s="95" t="str">
        <f aca="false">IFERROR(INDEX('Guest List'!$B$7:$B$206,MATCH(G41,'Guest List'!$A$7:$A$206,0)),"")</f>
        <v/>
      </c>
      <c r="I41" s="95" t="n">
        <v>6</v>
      </c>
      <c r="J41" s="95"/>
    </row>
    <row r="42" customFormat="false" ht="15" hidden="false" customHeight="false" outlineLevel="0" collapsed="false">
      <c r="A42" s="95"/>
      <c r="B42" s="95" t="str">
        <f aca="false">IFERROR(INDEX('Guest List'!$B$7:$B$206,MATCH(A42,'Guest List'!$A$7:$A$206,0)),"")</f>
        <v/>
      </c>
      <c r="C42" s="95" t="n">
        <v>7</v>
      </c>
      <c r="D42" s="95"/>
      <c r="G42" s="95"/>
      <c r="H42" s="95" t="str">
        <f aca="false">IFERROR(INDEX('Guest List'!$B$7:$B$206,MATCH(G42,'Guest List'!$A$7:$A$206,0)),"")</f>
        <v/>
      </c>
      <c r="I42" s="95" t="n">
        <v>7</v>
      </c>
      <c r="J42" s="95"/>
    </row>
    <row r="43" customFormat="false" ht="15" hidden="false" customHeight="false" outlineLevel="0" collapsed="false">
      <c r="A43" s="95"/>
      <c r="B43" s="95" t="str">
        <f aca="false">IFERROR(INDEX('Guest List'!$B$7:$B$206,MATCH(A43,'Guest List'!$A$7:$A$206,0)),"")</f>
        <v/>
      </c>
      <c r="C43" s="95" t="n">
        <v>8</v>
      </c>
      <c r="D43" s="95"/>
      <c r="G43" s="95"/>
      <c r="H43" s="95" t="str">
        <f aca="false">IFERROR(INDEX('Guest List'!$B$7:$B$206,MATCH(G43,'Guest List'!$A$7:$A$206,0)),"")</f>
        <v/>
      </c>
      <c r="I43" s="95" t="n">
        <v>8</v>
      </c>
      <c r="J43" s="95"/>
    </row>
    <row r="49" customFormat="false" ht="15" hidden="false" customHeight="true" outlineLevel="0" collapsed="false">
      <c r="A49" s="96" t="s">
        <v>1396</v>
      </c>
      <c r="B49" s="96"/>
      <c r="C49" s="96"/>
      <c r="D49" s="96"/>
      <c r="G49" s="96" t="s">
        <v>1397</v>
      </c>
      <c r="H49" s="96"/>
      <c r="I49" s="96"/>
      <c r="J49" s="96"/>
    </row>
    <row r="50" customFormat="false" ht="15" hidden="false" customHeight="false" outlineLevel="0" collapsed="false">
      <c r="A50" s="94" t="s">
        <v>1287</v>
      </c>
      <c r="B50" s="94" t="n">
        <v>8</v>
      </c>
      <c r="C50" s="94" t="s">
        <v>1393</v>
      </c>
      <c r="D50" s="94" t="n">
        <f aca="false">COUNTIFS(A53:A60,"&lt;&gt;")</f>
        <v>0</v>
      </c>
      <c r="G50" s="94" t="s">
        <v>1287</v>
      </c>
      <c r="H50" s="94" t="n">
        <v>8</v>
      </c>
      <c r="I50" s="94" t="s">
        <v>1393</v>
      </c>
      <c r="J50" s="94" t="n">
        <f aca="false">COUNTIFS(A53:A60,"&lt;&gt;")</f>
        <v>0</v>
      </c>
    </row>
    <row r="51" customFormat="false" ht="15" hidden="false" customHeight="false" outlineLevel="0" collapsed="false">
      <c r="A51" s="94" t="s">
        <v>1394</v>
      </c>
      <c r="B51" s="94" t="str">
        <f aca="false">_xlfn.TEXTJOIN(", ",TRUE(),IF(COUNTIF(B53:B60,"Bride")&gt;0,"Bride",""),IF(COUNTIF(B53:B60,"Groom")&gt;0,"Groom",""),IF(COUNTIF(B53:B60,"Both")&gt;0,"Both",""))</f>
        <v/>
      </c>
      <c r="C51" s="94"/>
      <c r="D51" s="94"/>
      <c r="G51" s="94" t="s">
        <v>1394</v>
      </c>
      <c r="H51" s="94" t="str">
        <f aca="false">_xlfn.TEXTJOIN(", ",TRUE(),IF(COUNTIF(B53:B60,"Bride")&gt;0,"Bride",""),IF(COUNTIF(B53:B60,"Groom")&gt;0,"Groom",""),IF(COUNTIF(B53:B60,"Both")&gt;0,"Both",""))</f>
        <v/>
      </c>
      <c r="I51" s="94"/>
      <c r="J51" s="94"/>
    </row>
    <row r="52" customFormat="false" ht="19.5" hidden="false" customHeight="true" outlineLevel="0" collapsed="false">
      <c r="A52" s="61" t="s">
        <v>1246</v>
      </c>
      <c r="B52" s="61" t="s">
        <v>1361</v>
      </c>
      <c r="C52" s="61" t="s">
        <v>1395</v>
      </c>
      <c r="D52" s="61"/>
      <c r="G52" s="61" t="s">
        <v>1246</v>
      </c>
      <c r="H52" s="61" t="s">
        <v>1361</v>
      </c>
      <c r="I52" s="61" t="s">
        <v>1395</v>
      </c>
      <c r="J52" s="61"/>
    </row>
    <row r="53" customFormat="false" ht="15" hidden="false" customHeight="false" outlineLevel="0" collapsed="false">
      <c r="A53" s="95"/>
      <c r="B53" s="95" t="str">
        <f aca="false">IFERROR(INDEX('Guest List'!$B$7:$B$206,MATCH(A53,'Guest List'!$A$7:$A$206,0)),"")</f>
        <v/>
      </c>
      <c r="C53" s="95" t="n">
        <v>1</v>
      </c>
      <c r="D53" s="95"/>
      <c r="G53" s="95"/>
      <c r="H53" s="95" t="str">
        <f aca="false">IFERROR(INDEX('Guest List'!$B$7:$B$206,MATCH(G53,'Guest List'!$A$7:$A$206,0)),"")</f>
        <v/>
      </c>
      <c r="I53" s="95" t="n">
        <v>1</v>
      </c>
      <c r="J53" s="95"/>
    </row>
    <row r="54" customFormat="false" ht="15" hidden="false" customHeight="false" outlineLevel="0" collapsed="false">
      <c r="A54" s="95"/>
      <c r="B54" s="95" t="str">
        <f aca="false">IFERROR(INDEX('Guest List'!$B$7:$B$206,MATCH(A54,'Guest List'!$A$7:$A$206,0)),"")</f>
        <v/>
      </c>
      <c r="C54" s="95" t="n">
        <v>2</v>
      </c>
      <c r="D54" s="95"/>
      <c r="G54" s="95"/>
      <c r="H54" s="95" t="str">
        <f aca="false">IFERROR(INDEX('Guest List'!$B$7:$B$206,MATCH(G54,'Guest List'!$A$7:$A$206,0)),"")</f>
        <v/>
      </c>
      <c r="I54" s="95" t="n">
        <v>2</v>
      </c>
      <c r="J54" s="95"/>
    </row>
    <row r="55" customFormat="false" ht="15" hidden="false" customHeight="false" outlineLevel="0" collapsed="false">
      <c r="A55" s="95"/>
      <c r="B55" s="95" t="str">
        <f aca="false">IFERROR(INDEX('Guest List'!$B$7:$B$206,MATCH(A55,'Guest List'!$A$7:$A$206,0)),"")</f>
        <v/>
      </c>
      <c r="C55" s="95" t="n">
        <v>3</v>
      </c>
      <c r="D55" s="95"/>
      <c r="G55" s="95"/>
      <c r="H55" s="95" t="str">
        <f aca="false">IFERROR(INDEX('Guest List'!$B$7:$B$206,MATCH(G55,'Guest List'!$A$7:$A$206,0)),"")</f>
        <v/>
      </c>
      <c r="I55" s="95" t="n">
        <v>3</v>
      </c>
      <c r="J55" s="95"/>
    </row>
    <row r="56" customFormat="false" ht="15" hidden="false" customHeight="false" outlineLevel="0" collapsed="false">
      <c r="A56" s="95"/>
      <c r="B56" s="95" t="str">
        <f aca="false">IFERROR(INDEX('Guest List'!$B$7:$B$206,MATCH(A56,'Guest List'!$A$7:$A$206,0)),"")</f>
        <v/>
      </c>
      <c r="C56" s="95" t="n">
        <v>4</v>
      </c>
      <c r="D56" s="95"/>
      <c r="G56" s="95"/>
      <c r="H56" s="95" t="str">
        <f aca="false">IFERROR(INDEX('Guest List'!$B$7:$B$206,MATCH(G56,'Guest List'!$A$7:$A$206,0)),"")</f>
        <v/>
      </c>
      <c r="I56" s="95" t="n">
        <v>4</v>
      </c>
      <c r="J56" s="95"/>
    </row>
    <row r="57" customFormat="false" ht="15" hidden="false" customHeight="false" outlineLevel="0" collapsed="false">
      <c r="A57" s="95"/>
      <c r="B57" s="95" t="str">
        <f aca="false">IFERROR(INDEX('Guest List'!$B$7:$B$206,MATCH(A57,'Guest List'!$A$7:$A$206,0)),"")</f>
        <v/>
      </c>
      <c r="C57" s="95" t="n">
        <v>5</v>
      </c>
      <c r="D57" s="95"/>
      <c r="G57" s="95"/>
      <c r="H57" s="95" t="str">
        <f aca="false">IFERROR(INDEX('Guest List'!$B$7:$B$206,MATCH(G57,'Guest List'!$A$7:$A$206,0)),"")</f>
        <v/>
      </c>
      <c r="I57" s="95" t="n">
        <v>5</v>
      </c>
      <c r="J57" s="95"/>
    </row>
    <row r="58" customFormat="false" ht="15" hidden="false" customHeight="false" outlineLevel="0" collapsed="false">
      <c r="A58" s="95"/>
      <c r="B58" s="95" t="str">
        <f aca="false">IFERROR(INDEX('Guest List'!$B$7:$B$206,MATCH(A58,'Guest List'!$A$7:$A$206,0)),"")</f>
        <v/>
      </c>
      <c r="C58" s="95" t="n">
        <v>6</v>
      </c>
      <c r="D58" s="95"/>
      <c r="G58" s="95"/>
      <c r="H58" s="95" t="str">
        <f aca="false">IFERROR(INDEX('Guest List'!$B$7:$B$206,MATCH(G58,'Guest List'!$A$7:$A$206,0)),"")</f>
        <v/>
      </c>
      <c r="I58" s="95" t="n">
        <v>6</v>
      </c>
      <c r="J58" s="95"/>
    </row>
    <row r="59" customFormat="false" ht="15" hidden="false" customHeight="false" outlineLevel="0" collapsed="false">
      <c r="A59" s="95"/>
      <c r="B59" s="95" t="str">
        <f aca="false">IFERROR(INDEX('Guest List'!$B$7:$B$206,MATCH(A59,'Guest List'!$A$7:$A$206,0)),"")</f>
        <v/>
      </c>
      <c r="C59" s="95" t="n">
        <v>7</v>
      </c>
      <c r="D59" s="95"/>
      <c r="G59" s="95"/>
      <c r="H59" s="95" t="str">
        <f aca="false">IFERROR(INDEX('Guest List'!$B$7:$B$206,MATCH(G59,'Guest List'!$A$7:$A$206,0)),"")</f>
        <v/>
      </c>
      <c r="I59" s="95" t="n">
        <v>7</v>
      </c>
      <c r="J59" s="95"/>
    </row>
    <row r="60" customFormat="false" ht="15" hidden="false" customHeight="false" outlineLevel="0" collapsed="false">
      <c r="A60" s="95"/>
      <c r="B60" s="95" t="str">
        <f aca="false">IFERROR(INDEX('Guest List'!$B$7:$B$206,MATCH(A60,'Guest List'!$A$7:$A$206,0)),"")</f>
        <v/>
      </c>
      <c r="C60" s="95" t="n">
        <v>8</v>
      </c>
      <c r="D60" s="95"/>
      <c r="G60" s="95"/>
      <c r="H60" s="95" t="str">
        <f aca="false">IFERROR(INDEX('Guest List'!$B$7:$B$206,MATCH(G60,'Guest List'!$A$7:$A$206,0)),"")</f>
        <v/>
      </c>
      <c r="I60" s="95" t="n">
        <v>8</v>
      </c>
      <c r="J60" s="95"/>
    </row>
  </sheetData>
  <mergeCells count="19">
    <mergeCell ref="A1:J1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6:F6"/>
    <mergeCell ref="A8:D8"/>
    <mergeCell ref="A32:D32"/>
    <mergeCell ref="G32:J32"/>
    <mergeCell ref="A49:D49"/>
    <mergeCell ref="G49:J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D9DE"/>
    <pageSetUpPr fitToPage="false"/>
  </sheetPr>
  <dimension ref="A1:H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89" t="s">
        <v>1405</v>
      </c>
      <c r="B1" s="89"/>
      <c r="C1" s="89"/>
      <c r="D1" s="89"/>
      <c r="E1" s="89"/>
      <c r="F1" s="89"/>
      <c r="G1" s="89"/>
      <c r="H1" s="89"/>
    </row>
    <row r="3" customFormat="false" ht="19.5" hidden="false" customHeight="true" outlineLevel="0" collapsed="false">
      <c r="A3" s="66" t="s">
        <v>1151</v>
      </c>
      <c r="B3" s="66" t="s">
        <v>1406</v>
      </c>
      <c r="C3" s="66" t="s">
        <v>1407</v>
      </c>
      <c r="D3" s="66" t="s">
        <v>1408</v>
      </c>
      <c r="E3" s="66" t="s">
        <v>123</v>
      </c>
      <c r="F3" s="66" t="s">
        <v>1409</v>
      </c>
      <c r="G3" s="66" t="s">
        <v>1410</v>
      </c>
      <c r="H3" s="66" t="s">
        <v>1411</v>
      </c>
    </row>
    <row r="4" customFormat="false" ht="15" hidden="false" customHeight="false" outlineLevel="0" collapsed="false">
      <c r="A4" s="45"/>
      <c r="B4" s="45"/>
      <c r="C4" s="45"/>
      <c r="D4" s="74" t="n">
        <v>0</v>
      </c>
      <c r="E4" s="45" t="s">
        <v>127</v>
      </c>
      <c r="F4" s="55" t="n">
        <f aca="false">FALSE()</f>
        <v>0</v>
      </c>
      <c r="G4" s="45"/>
      <c r="H4" s="55" t="n">
        <f aca="false">FALSE()</f>
        <v>0</v>
      </c>
    </row>
    <row r="5" customFormat="false" ht="15" hidden="false" customHeight="false" outlineLevel="0" collapsed="false">
      <c r="A5" s="47"/>
      <c r="B5" s="47"/>
      <c r="C5" s="47"/>
      <c r="D5" s="75" t="n">
        <v>0</v>
      </c>
      <c r="E5" s="47" t="s">
        <v>127</v>
      </c>
      <c r="F5" s="53" t="n">
        <f aca="false">FALSE()</f>
        <v>0</v>
      </c>
      <c r="G5" s="47"/>
      <c r="H5" s="53" t="n">
        <f aca="false">FALSE()</f>
        <v>0</v>
      </c>
    </row>
    <row r="6" customFormat="false" ht="15" hidden="false" customHeight="false" outlineLevel="0" collapsed="false">
      <c r="A6" s="45"/>
      <c r="B6" s="45"/>
      <c r="C6" s="45"/>
      <c r="D6" s="74" t="n">
        <v>0</v>
      </c>
      <c r="E6" s="45" t="s">
        <v>127</v>
      </c>
      <c r="F6" s="55" t="n">
        <f aca="false">FALSE()</f>
        <v>0</v>
      </c>
      <c r="G6" s="45"/>
      <c r="H6" s="55" t="n">
        <f aca="false">FALSE()</f>
        <v>0</v>
      </c>
    </row>
    <row r="7" customFormat="false" ht="15" hidden="false" customHeight="false" outlineLevel="0" collapsed="false">
      <c r="A7" s="47"/>
      <c r="B7" s="47"/>
      <c r="C7" s="47"/>
      <c r="D7" s="75" t="n">
        <v>0</v>
      </c>
      <c r="E7" s="47" t="s">
        <v>127</v>
      </c>
      <c r="F7" s="53" t="n">
        <f aca="false">FALSE()</f>
        <v>0</v>
      </c>
      <c r="G7" s="47"/>
      <c r="H7" s="53" t="n">
        <f aca="false">FALSE()</f>
        <v>0</v>
      </c>
    </row>
    <row r="8" customFormat="false" ht="15" hidden="false" customHeight="false" outlineLevel="0" collapsed="false">
      <c r="A8" s="45"/>
      <c r="B8" s="45"/>
      <c r="C8" s="45"/>
      <c r="D8" s="74" t="n">
        <v>0</v>
      </c>
      <c r="E8" s="45" t="s">
        <v>127</v>
      </c>
      <c r="F8" s="55" t="n">
        <f aca="false">FALSE()</f>
        <v>0</v>
      </c>
      <c r="G8" s="45"/>
      <c r="H8" s="55" t="n">
        <f aca="false">FALSE()</f>
        <v>0</v>
      </c>
    </row>
    <row r="9" customFormat="false" ht="15" hidden="false" customHeight="false" outlineLevel="0" collapsed="false">
      <c r="A9" s="47"/>
      <c r="B9" s="47"/>
      <c r="C9" s="47"/>
      <c r="D9" s="75" t="n">
        <v>0</v>
      </c>
      <c r="E9" s="47" t="s">
        <v>127</v>
      </c>
      <c r="F9" s="53" t="n">
        <f aca="false">FALSE()</f>
        <v>0</v>
      </c>
      <c r="G9" s="47"/>
      <c r="H9" s="53" t="n">
        <f aca="false">FALSE()</f>
        <v>0</v>
      </c>
    </row>
    <row r="10" customFormat="false" ht="15" hidden="false" customHeight="false" outlineLevel="0" collapsed="false">
      <c r="A10" s="45"/>
      <c r="B10" s="45"/>
      <c r="C10" s="45"/>
      <c r="D10" s="74" t="n">
        <v>0</v>
      </c>
      <c r="E10" s="45" t="s">
        <v>127</v>
      </c>
      <c r="F10" s="55" t="n">
        <f aca="false">FALSE()</f>
        <v>0</v>
      </c>
      <c r="G10" s="45"/>
      <c r="H10" s="55" t="n">
        <f aca="false">FALSE()</f>
        <v>0</v>
      </c>
    </row>
    <row r="11" customFormat="false" ht="15" hidden="false" customHeight="false" outlineLevel="0" collapsed="false">
      <c r="A11" s="47"/>
      <c r="B11" s="47"/>
      <c r="C11" s="47"/>
      <c r="D11" s="75" t="n">
        <v>0</v>
      </c>
      <c r="E11" s="47" t="s">
        <v>127</v>
      </c>
      <c r="F11" s="53" t="n">
        <f aca="false">FALSE()</f>
        <v>0</v>
      </c>
      <c r="G11" s="47"/>
      <c r="H11" s="53" t="n">
        <f aca="false">FALSE()</f>
        <v>0</v>
      </c>
    </row>
    <row r="12" customFormat="false" ht="15" hidden="false" customHeight="false" outlineLevel="0" collapsed="false">
      <c r="A12" s="45"/>
      <c r="B12" s="45"/>
      <c r="C12" s="45"/>
      <c r="D12" s="74" t="n">
        <v>0</v>
      </c>
      <c r="E12" s="45" t="s">
        <v>127</v>
      </c>
      <c r="F12" s="55" t="n">
        <f aca="false">FALSE()</f>
        <v>0</v>
      </c>
      <c r="G12" s="45"/>
      <c r="H12" s="55" t="n">
        <f aca="false">FALSE()</f>
        <v>0</v>
      </c>
    </row>
    <row r="13" customFormat="false" ht="15" hidden="false" customHeight="false" outlineLevel="0" collapsed="false">
      <c r="A13" s="47"/>
      <c r="B13" s="47"/>
      <c r="C13" s="47"/>
      <c r="D13" s="75" t="n">
        <v>0</v>
      </c>
      <c r="E13" s="47" t="s">
        <v>127</v>
      </c>
      <c r="F13" s="53" t="n">
        <f aca="false">FALSE()</f>
        <v>0</v>
      </c>
      <c r="G13" s="47"/>
      <c r="H13" s="53" t="n">
        <f aca="false">FALSE()</f>
        <v>0</v>
      </c>
    </row>
    <row r="14" customFormat="false" ht="15" hidden="false" customHeight="false" outlineLevel="0" collapsed="false">
      <c r="A14" s="45"/>
      <c r="B14" s="45"/>
      <c r="C14" s="45"/>
      <c r="D14" s="74" t="n">
        <v>0</v>
      </c>
      <c r="E14" s="45" t="s">
        <v>127</v>
      </c>
      <c r="F14" s="55" t="n">
        <f aca="false">FALSE()</f>
        <v>0</v>
      </c>
      <c r="G14" s="45"/>
      <c r="H14" s="55" t="n">
        <f aca="false">FALSE()</f>
        <v>0</v>
      </c>
    </row>
    <row r="15" customFormat="false" ht="15" hidden="false" customHeight="false" outlineLevel="0" collapsed="false">
      <c r="A15" s="47"/>
      <c r="B15" s="47"/>
      <c r="C15" s="47"/>
      <c r="D15" s="75" t="n">
        <v>0</v>
      </c>
      <c r="E15" s="47" t="s">
        <v>127</v>
      </c>
      <c r="F15" s="53" t="n">
        <f aca="false">FALSE()</f>
        <v>0</v>
      </c>
      <c r="G15" s="47"/>
      <c r="H15" s="53" t="n">
        <f aca="false">FALSE()</f>
        <v>0</v>
      </c>
    </row>
    <row r="16" customFormat="false" ht="15" hidden="false" customHeight="false" outlineLevel="0" collapsed="false">
      <c r="A16" s="45"/>
      <c r="B16" s="45"/>
      <c r="C16" s="45"/>
      <c r="D16" s="74" t="n">
        <v>0</v>
      </c>
      <c r="E16" s="45" t="s">
        <v>127</v>
      </c>
      <c r="F16" s="55" t="n">
        <f aca="false">FALSE()</f>
        <v>0</v>
      </c>
      <c r="G16" s="45"/>
      <c r="H16" s="55" t="n">
        <f aca="false">FALSE()</f>
        <v>0</v>
      </c>
    </row>
    <row r="17" customFormat="false" ht="15" hidden="false" customHeight="false" outlineLevel="0" collapsed="false">
      <c r="A17" s="47"/>
      <c r="B17" s="47"/>
      <c r="C17" s="47"/>
      <c r="D17" s="75" t="n">
        <v>0</v>
      </c>
      <c r="E17" s="47" t="s">
        <v>127</v>
      </c>
      <c r="F17" s="53" t="n">
        <f aca="false">FALSE()</f>
        <v>0</v>
      </c>
      <c r="G17" s="47"/>
      <c r="H17" s="53" t="n">
        <f aca="false">FALSE()</f>
        <v>0</v>
      </c>
    </row>
    <row r="18" customFormat="false" ht="15" hidden="false" customHeight="false" outlineLevel="0" collapsed="false">
      <c r="A18" s="45"/>
      <c r="B18" s="45"/>
      <c r="C18" s="45"/>
      <c r="D18" s="74" t="n">
        <v>0</v>
      </c>
      <c r="E18" s="45" t="s">
        <v>127</v>
      </c>
      <c r="F18" s="55" t="n">
        <f aca="false">FALSE()</f>
        <v>0</v>
      </c>
      <c r="G18" s="45"/>
      <c r="H18" s="55" t="n">
        <f aca="false">FALSE()</f>
        <v>0</v>
      </c>
    </row>
    <row r="19" customFormat="false" ht="15" hidden="false" customHeight="false" outlineLevel="0" collapsed="false">
      <c r="A19" s="47"/>
      <c r="B19" s="47"/>
      <c r="C19" s="47"/>
      <c r="D19" s="75" t="n">
        <v>0</v>
      </c>
      <c r="E19" s="47" t="s">
        <v>127</v>
      </c>
      <c r="F19" s="53" t="n">
        <f aca="false">FALSE()</f>
        <v>0</v>
      </c>
      <c r="G19" s="47"/>
      <c r="H19" s="53" t="n">
        <f aca="false">FALSE()</f>
        <v>0</v>
      </c>
    </row>
    <row r="20" customFormat="false" ht="15" hidden="false" customHeight="false" outlineLevel="0" collapsed="false">
      <c r="A20" s="45"/>
      <c r="B20" s="45"/>
      <c r="C20" s="45"/>
      <c r="D20" s="74" t="n">
        <v>0</v>
      </c>
      <c r="E20" s="45" t="s">
        <v>127</v>
      </c>
      <c r="F20" s="55" t="n">
        <f aca="false">FALSE()</f>
        <v>0</v>
      </c>
      <c r="G20" s="45"/>
      <c r="H20" s="55" t="n">
        <f aca="false">FALSE()</f>
        <v>0</v>
      </c>
    </row>
    <row r="21" customFormat="false" ht="15" hidden="false" customHeight="false" outlineLevel="0" collapsed="false">
      <c r="A21" s="47"/>
      <c r="B21" s="47"/>
      <c r="C21" s="47"/>
      <c r="D21" s="75" t="n">
        <v>0</v>
      </c>
      <c r="E21" s="47" t="s">
        <v>127</v>
      </c>
      <c r="F21" s="53" t="n">
        <f aca="false">FALSE()</f>
        <v>0</v>
      </c>
      <c r="G21" s="47"/>
      <c r="H21" s="53" t="n">
        <f aca="false">FALSE()</f>
        <v>0</v>
      </c>
    </row>
    <row r="22" customFormat="false" ht="15" hidden="false" customHeight="false" outlineLevel="0" collapsed="false">
      <c r="A22" s="45"/>
      <c r="B22" s="45"/>
      <c r="C22" s="45"/>
      <c r="D22" s="74" t="n">
        <v>0</v>
      </c>
      <c r="E22" s="45" t="s">
        <v>127</v>
      </c>
      <c r="F22" s="55" t="n">
        <f aca="false">FALSE()</f>
        <v>0</v>
      </c>
      <c r="G22" s="45"/>
      <c r="H22" s="55" t="n">
        <f aca="false">FALSE()</f>
        <v>0</v>
      </c>
    </row>
    <row r="23" customFormat="false" ht="15" hidden="false" customHeight="false" outlineLevel="0" collapsed="false">
      <c r="A23" s="47"/>
      <c r="B23" s="47"/>
      <c r="C23" s="47"/>
      <c r="D23" s="75" t="n">
        <v>0</v>
      </c>
      <c r="E23" s="47" t="s">
        <v>127</v>
      </c>
      <c r="F23" s="53" t="n">
        <f aca="false">FALSE()</f>
        <v>0</v>
      </c>
      <c r="G23" s="47"/>
      <c r="H23" s="53" t="n">
        <f aca="false">FALSE()</f>
        <v>0</v>
      </c>
    </row>
    <row r="24" customFormat="false" ht="15" hidden="false" customHeight="false" outlineLevel="0" collapsed="false">
      <c r="A24" s="45"/>
      <c r="B24" s="45"/>
      <c r="C24" s="45"/>
      <c r="D24" s="74" t="n">
        <v>0</v>
      </c>
      <c r="E24" s="45" t="s">
        <v>127</v>
      </c>
      <c r="F24" s="55" t="n">
        <f aca="false">FALSE()</f>
        <v>0</v>
      </c>
      <c r="G24" s="45"/>
      <c r="H24" s="55" t="n">
        <f aca="false">FALSE()</f>
        <v>0</v>
      </c>
    </row>
    <row r="25" customFormat="false" ht="15" hidden="false" customHeight="false" outlineLevel="0" collapsed="false">
      <c r="A25" s="47"/>
      <c r="B25" s="47"/>
      <c r="C25" s="47"/>
      <c r="D25" s="75" t="n">
        <v>0</v>
      </c>
      <c r="E25" s="47" t="s">
        <v>127</v>
      </c>
      <c r="F25" s="53" t="n">
        <f aca="false">FALSE()</f>
        <v>0</v>
      </c>
      <c r="G25" s="47"/>
      <c r="H25" s="53" t="n">
        <f aca="false">FALSE()</f>
        <v>0</v>
      </c>
    </row>
    <row r="26" customFormat="false" ht="15" hidden="false" customHeight="false" outlineLevel="0" collapsed="false">
      <c r="A26" s="45"/>
      <c r="B26" s="45"/>
      <c r="C26" s="45"/>
      <c r="D26" s="74" t="n">
        <v>0</v>
      </c>
      <c r="E26" s="45" t="s">
        <v>127</v>
      </c>
      <c r="F26" s="55" t="n">
        <f aca="false">FALSE()</f>
        <v>0</v>
      </c>
      <c r="G26" s="45"/>
      <c r="H26" s="55" t="n">
        <f aca="false">FALSE()</f>
        <v>0</v>
      </c>
    </row>
    <row r="27" customFormat="false" ht="15" hidden="false" customHeight="false" outlineLevel="0" collapsed="false">
      <c r="A27" s="47"/>
      <c r="B27" s="47"/>
      <c r="C27" s="47"/>
      <c r="D27" s="75" t="n">
        <v>0</v>
      </c>
      <c r="E27" s="47" t="s">
        <v>127</v>
      </c>
      <c r="F27" s="53" t="n">
        <f aca="false">FALSE()</f>
        <v>0</v>
      </c>
      <c r="G27" s="47"/>
      <c r="H27" s="53" t="n">
        <f aca="false">FALSE()</f>
        <v>0</v>
      </c>
    </row>
    <row r="28" customFormat="false" ht="15" hidden="false" customHeight="false" outlineLevel="0" collapsed="false">
      <c r="A28" s="45"/>
      <c r="B28" s="45"/>
      <c r="C28" s="45"/>
      <c r="D28" s="74" t="n">
        <v>0</v>
      </c>
      <c r="E28" s="45" t="s">
        <v>127</v>
      </c>
      <c r="F28" s="55" t="n">
        <f aca="false">FALSE()</f>
        <v>0</v>
      </c>
      <c r="G28" s="45"/>
      <c r="H28" s="55" t="n">
        <f aca="false">FALSE()</f>
        <v>0</v>
      </c>
    </row>
    <row r="29" customFormat="false" ht="15" hidden="false" customHeight="false" outlineLevel="0" collapsed="false">
      <c r="A29" s="47"/>
      <c r="B29" s="47"/>
      <c r="C29" s="47"/>
      <c r="D29" s="75" t="n">
        <v>0</v>
      </c>
      <c r="E29" s="47" t="s">
        <v>127</v>
      </c>
      <c r="F29" s="53" t="n">
        <f aca="false">FALSE()</f>
        <v>0</v>
      </c>
      <c r="G29" s="47"/>
      <c r="H29" s="53" t="n">
        <f aca="false">FALSE()</f>
        <v>0</v>
      </c>
    </row>
    <row r="30" customFormat="false" ht="15" hidden="false" customHeight="false" outlineLevel="0" collapsed="false">
      <c r="A30" s="45"/>
      <c r="B30" s="45"/>
      <c r="C30" s="45"/>
      <c r="D30" s="74" t="n">
        <v>0</v>
      </c>
      <c r="E30" s="45" t="s">
        <v>127</v>
      </c>
      <c r="F30" s="55" t="n">
        <f aca="false">FALSE()</f>
        <v>0</v>
      </c>
      <c r="G30" s="45"/>
      <c r="H30" s="55" t="n">
        <f aca="false">FALSE()</f>
        <v>0</v>
      </c>
    </row>
    <row r="31" customFormat="false" ht="15" hidden="false" customHeight="false" outlineLevel="0" collapsed="false">
      <c r="A31" s="47"/>
      <c r="B31" s="47"/>
      <c r="C31" s="47"/>
      <c r="D31" s="75" t="n">
        <v>0</v>
      </c>
      <c r="E31" s="47" t="s">
        <v>127</v>
      </c>
      <c r="F31" s="53" t="n">
        <f aca="false">FALSE()</f>
        <v>0</v>
      </c>
      <c r="G31" s="47"/>
      <c r="H31" s="53" t="n">
        <f aca="false">FALSE()</f>
        <v>0</v>
      </c>
    </row>
    <row r="32" customFormat="false" ht="15" hidden="false" customHeight="false" outlineLevel="0" collapsed="false">
      <c r="A32" s="45"/>
      <c r="B32" s="45"/>
      <c r="C32" s="45"/>
      <c r="D32" s="74" t="n">
        <v>0</v>
      </c>
      <c r="E32" s="45" t="s">
        <v>127</v>
      </c>
      <c r="F32" s="55" t="n">
        <f aca="false">FALSE()</f>
        <v>0</v>
      </c>
      <c r="G32" s="45"/>
      <c r="H32" s="55" t="n">
        <f aca="false">FALSE()</f>
        <v>0</v>
      </c>
    </row>
    <row r="33" customFormat="false" ht="15" hidden="false" customHeight="false" outlineLevel="0" collapsed="false">
      <c r="A33" s="47"/>
      <c r="B33" s="47"/>
      <c r="C33" s="47"/>
      <c r="D33" s="75" t="n">
        <v>0</v>
      </c>
      <c r="E33" s="47" t="s">
        <v>127</v>
      </c>
      <c r="F33" s="53" t="n">
        <f aca="false">FALSE()</f>
        <v>0</v>
      </c>
      <c r="G33" s="47"/>
      <c r="H33" s="53" t="n">
        <f aca="false">FALSE()</f>
        <v>0</v>
      </c>
    </row>
    <row r="34" customFormat="false" ht="15" hidden="false" customHeight="false" outlineLevel="0" collapsed="false">
      <c r="A34" s="45"/>
      <c r="B34" s="45"/>
      <c r="C34" s="45"/>
      <c r="D34" s="74" t="n">
        <v>0</v>
      </c>
      <c r="E34" s="45" t="s">
        <v>127</v>
      </c>
      <c r="F34" s="55" t="n">
        <f aca="false">FALSE()</f>
        <v>0</v>
      </c>
      <c r="G34" s="45"/>
      <c r="H34" s="55" t="n">
        <f aca="false">FALSE()</f>
        <v>0</v>
      </c>
    </row>
    <row r="35" customFormat="false" ht="15" hidden="false" customHeight="false" outlineLevel="0" collapsed="false">
      <c r="A35" s="47"/>
      <c r="B35" s="47"/>
      <c r="C35" s="47"/>
      <c r="D35" s="75" t="n">
        <v>0</v>
      </c>
      <c r="E35" s="47" t="s">
        <v>127</v>
      </c>
      <c r="F35" s="53" t="n">
        <f aca="false">FALSE()</f>
        <v>0</v>
      </c>
      <c r="G35" s="47"/>
      <c r="H35" s="53" t="n">
        <f aca="false">FALSE()</f>
        <v>0</v>
      </c>
    </row>
    <row r="36" customFormat="false" ht="15" hidden="false" customHeight="false" outlineLevel="0" collapsed="false">
      <c r="A36" s="45"/>
      <c r="B36" s="45"/>
      <c r="C36" s="45"/>
      <c r="D36" s="74" t="n">
        <v>0</v>
      </c>
      <c r="E36" s="45" t="s">
        <v>127</v>
      </c>
      <c r="F36" s="55" t="n">
        <f aca="false">FALSE()</f>
        <v>0</v>
      </c>
      <c r="G36" s="45"/>
      <c r="H36" s="55" t="n">
        <f aca="false">FALSE()</f>
        <v>0</v>
      </c>
    </row>
    <row r="37" customFormat="false" ht="15" hidden="false" customHeight="false" outlineLevel="0" collapsed="false">
      <c r="A37" s="47"/>
      <c r="B37" s="47"/>
      <c r="C37" s="47"/>
      <c r="D37" s="75" t="n">
        <v>0</v>
      </c>
      <c r="E37" s="47" t="s">
        <v>127</v>
      </c>
      <c r="F37" s="53" t="n">
        <f aca="false">FALSE()</f>
        <v>0</v>
      </c>
      <c r="G37" s="47"/>
      <c r="H37" s="53" t="n">
        <f aca="false">FALSE()</f>
        <v>0</v>
      </c>
    </row>
    <row r="38" customFormat="false" ht="15" hidden="false" customHeight="false" outlineLevel="0" collapsed="false">
      <c r="A38" s="45"/>
      <c r="B38" s="45"/>
      <c r="C38" s="45"/>
      <c r="D38" s="74" t="n">
        <v>0</v>
      </c>
      <c r="E38" s="45" t="s">
        <v>127</v>
      </c>
      <c r="F38" s="55" t="n">
        <f aca="false">FALSE()</f>
        <v>0</v>
      </c>
      <c r="G38" s="45"/>
      <c r="H38" s="55" t="n">
        <f aca="false">FALSE()</f>
        <v>0</v>
      </c>
    </row>
    <row r="39" customFormat="false" ht="15" hidden="false" customHeight="false" outlineLevel="0" collapsed="false">
      <c r="A39" s="47"/>
      <c r="B39" s="47"/>
      <c r="C39" s="47"/>
      <c r="D39" s="75" t="n">
        <v>0</v>
      </c>
      <c r="E39" s="47" t="s">
        <v>127</v>
      </c>
      <c r="F39" s="53" t="n">
        <f aca="false">FALSE()</f>
        <v>0</v>
      </c>
      <c r="G39" s="47"/>
      <c r="H39" s="53" t="n">
        <f aca="false">FALSE()</f>
        <v>0</v>
      </c>
    </row>
    <row r="40" customFormat="false" ht="15" hidden="false" customHeight="false" outlineLevel="0" collapsed="false">
      <c r="A40" s="45"/>
      <c r="B40" s="45"/>
      <c r="C40" s="45"/>
      <c r="D40" s="74" t="n">
        <v>0</v>
      </c>
      <c r="E40" s="45" t="s">
        <v>127</v>
      </c>
      <c r="F40" s="55" t="n">
        <f aca="false">FALSE()</f>
        <v>0</v>
      </c>
      <c r="G40" s="45"/>
      <c r="H40" s="55" t="n">
        <f aca="false">FALSE()</f>
        <v>0</v>
      </c>
    </row>
    <row r="41" customFormat="false" ht="15" hidden="false" customHeight="false" outlineLevel="0" collapsed="false">
      <c r="A41" s="47"/>
      <c r="B41" s="47"/>
      <c r="C41" s="47"/>
      <c r="D41" s="75" t="n">
        <v>0</v>
      </c>
      <c r="E41" s="47" t="s">
        <v>127</v>
      </c>
      <c r="F41" s="53" t="n">
        <f aca="false">FALSE()</f>
        <v>0</v>
      </c>
      <c r="G41" s="47"/>
      <c r="H41" s="53" t="n">
        <f aca="false">FALSE()</f>
        <v>0</v>
      </c>
    </row>
    <row r="42" customFormat="false" ht="15" hidden="false" customHeight="false" outlineLevel="0" collapsed="false">
      <c r="A42" s="45"/>
      <c r="B42" s="45"/>
      <c r="C42" s="45"/>
      <c r="D42" s="74" t="n">
        <v>0</v>
      </c>
      <c r="E42" s="45" t="s">
        <v>127</v>
      </c>
      <c r="F42" s="55" t="n">
        <f aca="false">FALSE()</f>
        <v>0</v>
      </c>
      <c r="G42" s="45"/>
      <c r="H42" s="55" t="n">
        <f aca="false">FALSE()</f>
        <v>0</v>
      </c>
    </row>
    <row r="43" customFormat="false" ht="15" hidden="false" customHeight="false" outlineLevel="0" collapsed="false">
      <c r="A43" s="47"/>
      <c r="B43" s="47"/>
      <c r="C43" s="47"/>
      <c r="D43" s="75" t="n">
        <v>0</v>
      </c>
      <c r="E43" s="47" t="s">
        <v>127</v>
      </c>
      <c r="F43" s="53" t="n">
        <f aca="false">FALSE()</f>
        <v>0</v>
      </c>
      <c r="G43" s="47"/>
      <c r="H43" s="53" t="n">
        <f aca="false">FALSE()</f>
        <v>0</v>
      </c>
    </row>
    <row r="44" customFormat="false" ht="15" hidden="false" customHeight="false" outlineLevel="0" collapsed="false">
      <c r="A44" s="45"/>
      <c r="B44" s="45"/>
      <c r="C44" s="45"/>
      <c r="D44" s="74" t="n">
        <v>0</v>
      </c>
      <c r="E44" s="45" t="s">
        <v>127</v>
      </c>
      <c r="F44" s="55" t="n">
        <f aca="false">FALSE()</f>
        <v>0</v>
      </c>
      <c r="G44" s="45"/>
      <c r="H44" s="55" t="n">
        <f aca="false">FALSE()</f>
        <v>0</v>
      </c>
    </row>
    <row r="45" customFormat="false" ht="15" hidden="false" customHeight="false" outlineLevel="0" collapsed="false">
      <c r="A45" s="47"/>
      <c r="B45" s="47"/>
      <c r="C45" s="47"/>
      <c r="D45" s="75" t="n">
        <v>0</v>
      </c>
      <c r="E45" s="47" t="s">
        <v>127</v>
      </c>
      <c r="F45" s="53" t="n">
        <f aca="false">FALSE()</f>
        <v>0</v>
      </c>
      <c r="G45" s="47"/>
      <c r="H45" s="53" t="n">
        <f aca="false">FALSE()</f>
        <v>0</v>
      </c>
    </row>
    <row r="46" customFormat="false" ht="15" hidden="false" customHeight="false" outlineLevel="0" collapsed="false">
      <c r="A46" s="45"/>
      <c r="B46" s="45"/>
      <c r="C46" s="45"/>
      <c r="D46" s="74" t="n">
        <v>0</v>
      </c>
      <c r="E46" s="45" t="s">
        <v>127</v>
      </c>
      <c r="F46" s="55" t="n">
        <f aca="false">FALSE()</f>
        <v>0</v>
      </c>
      <c r="G46" s="45"/>
      <c r="H46" s="55" t="n">
        <f aca="false">FALSE()</f>
        <v>0</v>
      </c>
    </row>
    <row r="47" customFormat="false" ht="15" hidden="false" customHeight="false" outlineLevel="0" collapsed="false">
      <c r="A47" s="47"/>
      <c r="B47" s="47"/>
      <c r="C47" s="47"/>
      <c r="D47" s="75" t="n">
        <v>0</v>
      </c>
      <c r="E47" s="47" t="s">
        <v>127</v>
      </c>
      <c r="F47" s="53" t="n">
        <f aca="false">FALSE()</f>
        <v>0</v>
      </c>
      <c r="G47" s="47"/>
      <c r="H47" s="53" t="n">
        <f aca="false">FALSE()</f>
        <v>0</v>
      </c>
    </row>
    <row r="48" customFormat="false" ht="15" hidden="false" customHeight="false" outlineLevel="0" collapsed="false">
      <c r="A48" s="45"/>
      <c r="B48" s="45"/>
      <c r="C48" s="45"/>
      <c r="D48" s="74" t="n">
        <v>0</v>
      </c>
      <c r="E48" s="45" t="s">
        <v>127</v>
      </c>
      <c r="F48" s="55" t="n">
        <f aca="false">FALSE()</f>
        <v>0</v>
      </c>
      <c r="G48" s="45"/>
      <c r="H48" s="55" t="n">
        <f aca="false">FALSE()</f>
        <v>0</v>
      </c>
    </row>
    <row r="49" customFormat="false" ht="15" hidden="false" customHeight="false" outlineLevel="0" collapsed="false">
      <c r="A49" s="47"/>
      <c r="B49" s="47"/>
      <c r="C49" s="47"/>
      <c r="D49" s="75" t="n">
        <v>0</v>
      </c>
      <c r="E49" s="47" t="s">
        <v>127</v>
      </c>
      <c r="F49" s="53" t="n">
        <f aca="false">FALSE()</f>
        <v>0</v>
      </c>
      <c r="G49" s="47"/>
      <c r="H49" s="53" t="n">
        <f aca="false">FALSE()</f>
        <v>0</v>
      </c>
    </row>
    <row r="50" customFormat="false" ht="15" hidden="false" customHeight="false" outlineLevel="0" collapsed="false">
      <c r="A50" s="45"/>
      <c r="B50" s="45"/>
      <c r="C50" s="45"/>
      <c r="D50" s="74" t="n">
        <v>0</v>
      </c>
      <c r="E50" s="45" t="s">
        <v>127</v>
      </c>
      <c r="F50" s="55" t="n">
        <f aca="false">FALSE()</f>
        <v>0</v>
      </c>
      <c r="G50" s="45"/>
      <c r="H50" s="55" t="n">
        <f aca="false">FALSE()</f>
        <v>0</v>
      </c>
    </row>
    <row r="51" customFormat="false" ht="15" hidden="false" customHeight="false" outlineLevel="0" collapsed="false">
      <c r="A51" s="47"/>
      <c r="B51" s="47"/>
      <c r="C51" s="47"/>
      <c r="D51" s="75" t="n">
        <v>0</v>
      </c>
      <c r="E51" s="47" t="s">
        <v>127</v>
      </c>
      <c r="F51" s="53" t="n">
        <f aca="false">FALSE()</f>
        <v>0</v>
      </c>
      <c r="G51" s="47"/>
      <c r="H51" s="53" t="n">
        <f aca="false">FALSE()</f>
        <v>0</v>
      </c>
    </row>
    <row r="52" customFormat="false" ht="15" hidden="false" customHeight="false" outlineLevel="0" collapsed="false">
      <c r="A52" s="45"/>
      <c r="B52" s="45"/>
      <c r="C52" s="45"/>
      <c r="D52" s="74" t="n">
        <v>0</v>
      </c>
      <c r="E52" s="45" t="s">
        <v>127</v>
      </c>
      <c r="F52" s="55" t="n">
        <f aca="false">FALSE()</f>
        <v>0</v>
      </c>
      <c r="G52" s="45"/>
      <c r="H52" s="55" t="n">
        <f aca="false">FALSE()</f>
        <v>0</v>
      </c>
    </row>
    <row r="53" customFormat="false" ht="15" hidden="false" customHeight="false" outlineLevel="0" collapsed="false">
      <c r="A53" s="47"/>
      <c r="B53" s="47"/>
      <c r="C53" s="47"/>
      <c r="D53" s="75" t="n">
        <v>0</v>
      </c>
      <c r="E53" s="47" t="s">
        <v>127</v>
      </c>
      <c r="F53" s="53" t="n">
        <f aca="false">FALSE()</f>
        <v>0</v>
      </c>
      <c r="G53" s="47"/>
      <c r="H53" s="53" t="n">
        <f aca="false">FALSE()</f>
        <v>0</v>
      </c>
    </row>
    <row r="54" customFormat="false" ht="15" hidden="false" customHeight="false" outlineLevel="0" collapsed="false">
      <c r="A54" s="45"/>
      <c r="B54" s="45"/>
      <c r="C54" s="45"/>
      <c r="D54" s="74" t="n">
        <v>0</v>
      </c>
      <c r="E54" s="45" t="s">
        <v>127</v>
      </c>
      <c r="F54" s="55" t="n">
        <f aca="false">FALSE()</f>
        <v>0</v>
      </c>
      <c r="G54" s="45"/>
      <c r="H54" s="55" t="n">
        <f aca="false">FALSE()</f>
        <v>0</v>
      </c>
    </row>
    <row r="55" customFormat="false" ht="15" hidden="false" customHeight="false" outlineLevel="0" collapsed="false">
      <c r="A55" s="47"/>
      <c r="B55" s="47"/>
      <c r="C55" s="47"/>
      <c r="D55" s="75" t="n">
        <v>0</v>
      </c>
      <c r="E55" s="47" t="s">
        <v>127</v>
      </c>
      <c r="F55" s="53" t="n">
        <f aca="false">FALSE()</f>
        <v>0</v>
      </c>
      <c r="G55" s="47"/>
      <c r="H55" s="53" t="n">
        <f aca="false">FALSE()</f>
        <v>0</v>
      </c>
    </row>
    <row r="56" customFormat="false" ht="15" hidden="false" customHeight="false" outlineLevel="0" collapsed="false">
      <c r="A56" s="45"/>
      <c r="B56" s="45"/>
      <c r="C56" s="45"/>
      <c r="D56" s="74" t="n">
        <v>0</v>
      </c>
      <c r="E56" s="45" t="s">
        <v>127</v>
      </c>
      <c r="F56" s="55" t="n">
        <f aca="false">FALSE()</f>
        <v>0</v>
      </c>
      <c r="G56" s="45"/>
      <c r="H56" s="55" t="n">
        <f aca="false">FALSE()</f>
        <v>0</v>
      </c>
    </row>
    <row r="57" customFormat="false" ht="15" hidden="false" customHeight="false" outlineLevel="0" collapsed="false">
      <c r="A57" s="47"/>
      <c r="B57" s="47"/>
      <c r="C57" s="47"/>
      <c r="D57" s="75" t="n">
        <v>0</v>
      </c>
      <c r="E57" s="47" t="s">
        <v>127</v>
      </c>
      <c r="F57" s="53" t="n">
        <f aca="false">FALSE()</f>
        <v>0</v>
      </c>
      <c r="G57" s="47"/>
      <c r="H57" s="53" t="n">
        <f aca="false">FALSE()</f>
        <v>0</v>
      </c>
    </row>
    <row r="58" customFormat="false" ht="15" hidden="false" customHeight="false" outlineLevel="0" collapsed="false">
      <c r="A58" s="45"/>
      <c r="B58" s="45"/>
      <c r="C58" s="45"/>
      <c r="D58" s="74" t="n">
        <v>0</v>
      </c>
      <c r="E58" s="45" t="s">
        <v>127</v>
      </c>
      <c r="F58" s="55" t="n">
        <f aca="false">FALSE()</f>
        <v>0</v>
      </c>
      <c r="G58" s="45"/>
      <c r="H58" s="55" t="n">
        <f aca="false">FALSE()</f>
        <v>0</v>
      </c>
    </row>
    <row r="59" customFormat="false" ht="15" hidden="false" customHeight="false" outlineLevel="0" collapsed="false">
      <c r="A59" s="47"/>
      <c r="B59" s="47"/>
      <c r="C59" s="47"/>
      <c r="D59" s="75" t="n">
        <v>0</v>
      </c>
      <c r="E59" s="47" t="s">
        <v>127</v>
      </c>
      <c r="F59" s="53" t="n">
        <f aca="false">FALSE()</f>
        <v>0</v>
      </c>
      <c r="G59" s="47"/>
      <c r="H59" s="53" t="n">
        <f aca="false">FALSE()</f>
        <v>0</v>
      </c>
    </row>
    <row r="60" customFormat="false" ht="15" hidden="false" customHeight="false" outlineLevel="0" collapsed="false">
      <c r="A60" s="45"/>
      <c r="B60" s="45"/>
      <c r="C60" s="45"/>
      <c r="D60" s="74" t="n">
        <v>0</v>
      </c>
      <c r="E60" s="45" t="s">
        <v>127</v>
      </c>
      <c r="F60" s="55" t="n">
        <f aca="false">FALSE()</f>
        <v>0</v>
      </c>
      <c r="G60" s="45"/>
      <c r="H60" s="55" t="n">
        <f aca="false">FALSE()</f>
        <v>0</v>
      </c>
    </row>
    <row r="61" customFormat="false" ht="15" hidden="false" customHeight="false" outlineLevel="0" collapsed="false">
      <c r="A61" s="47"/>
      <c r="B61" s="47"/>
      <c r="C61" s="47"/>
      <c r="D61" s="75" t="n">
        <v>0</v>
      </c>
      <c r="E61" s="47" t="s">
        <v>127</v>
      </c>
      <c r="F61" s="53" t="n">
        <f aca="false">FALSE()</f>
        <v>0</v>
      </c>
      <c r="G61" s="47"/>
      <c r="H61" s="53" t="n">
        <f aca="false">FALSE()</f>
        <v>0</v>
      </c>
    </row>
    <row r="62" customFormat="false" ht="15" hidden="false" customHeight="false" outlineLevel="0" collapsed="false">
      <c r="A62" s="45"/>
      <c r="B62" s="45"/>
      <c r="C62" s="45"/>
      <c r="D62" s="74" t="n">
        <v>0</v>
      </c>
      <c r="E62" s="45" t="s">
        <v>127</v>
      </c>
      <c r="F62" s="55" t="n">
        <f aca="false">FALSE()</f>
        <v>0</v>
      </c>
      <c r="G62" s="45"/>
      <c r="H62" s="55" t="n">
        <f aca="false">FALSE()</f>
        <v>0</v>
      </c>
    </row>
    <row r="63" customFormat="false" ht="15" hidden="false" customHeight="false" outlineLevel="0" collapsed="false">
      <c r="A63" s="47"/>
      <c r="B63" s="47"/>
      <c r="C63" s="47"/>
      <c r="D63" s="75" t="n">
        <v>0</v>
      </c>
      <c r="E63" s="47" t="s">
        <v>127</v>
      </c>
      <c r="F63" s="53" t="n">
        <f aca="false">FALSE()</f>
        <v>0</v>
      </c>
      <c r="G63" s="47"/>
      <c r="H63" s="53" t="n">
        <f aca="false">FALSE()</f>
        <v>0</v>
      </c>
    </row>
  </sheetData>
  <mergeCells count="1">
    <mergeCell ref="A1:H1"/>
  </mergeCells>
  <conditionalFormatting sqref="F4:F63">
    <cfRule type="expression" priority="2" aboveAverage="0" equalAverage="0" bottom="0" percent="0" rank="0" text="" dxfId="4">
      <formula>F4=1</formula>
    </cfRule>
  </conditionalFormatting>
  <conditionalFormatting sqref="H4:H63">
    <cfRule type="expression" priority="3" aboveAverage="0" equalAverage="0" bottom="0" percent="0" rank="0" text="" dxfId="4">
      <formula>H4=1</formula>
    </cfRule>
  </conditionalFormatting>
  <dataValidations count="3">
    <dataValidation allowBlank="true" errorStyle="stop" operator="between" showDropDown="false" showErrorMessage="false" showInputMessage="false" sqref="E4:E63" type="list">
      <formula1>Priority</formula1>
      <formula2>0</formula2>
    </dataValidation>
    <dataValidation allowBlank="true" errorStyle="stop" operator="between" showDropDown="false" showErrorMessage="false" showInputMessage="false" sqref="F4:F63" type="list">
      <formula1>TrueFalse</formula1>
      <formula2>0</formula2>
    </dataValidation>
    <dataValidation allowBlank="true" errorStyle="stop" operator="between" showDropDown="false" showErrorMessage="false" showInputMessage="false" sqref="H4:H63" type="list">
      <formula1>TrueFalse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3F0"/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4"/>
  </cols>
  <sheetData>
    <row r="1" customFormat="false" ht="27.75" hidden="false" customHeight="true" outlineLevel="0" collapsed="false">
      <c r="A1" s="49" t="s">
        <v>1412</v>
      </c>
      <c r="B1" s="49"/>
      <c r="C1" s="49"/>
      <c r="D1" s="49"/>
      <c r="E1" s="49"/>
      <c r="F1" s="49"/>
      <c r="G1" s="49"/>
      <c r="H1" s="49"/>
    </row>
    <row r="3" customFormat="false" ht="15" hidden="false" customHeight="false" outlineLevel="0" collapsed="false">
      <c r="A3" s="18" t="s">
        <v>1413</v>
      </c>
      <c r="B3" s="18"/>
      <c r="C3" s="18" t="s">
        <v>1414</v>
      </c>
      <c r="D3" s="18"/>
      <c r="E3" s="18" t="s">
        <v>1415</v>
      </c>
      <c r="F3" s="18"/>
      <c r="G3" s="18" t="s">
        <v>1416</v>
      </c>
      <c r="H3" s="18"/>
      <c r="J3" s="16" t="s">
        <v>76</v>
      </c>
      <c r="K3" s="16" t="s">
        <v>77</v>
      </c>
    </row>
    <row r="4" customFormat="false" ht="17.35" hidden="false" customHeight="false" outlineLevel="0" collapsed="false">
      <c r="A4" s="97" t="n">
        <f aca="false">IFERROR(COUNTIF(A9:A28,TRUE())/COUNTA(B9:B28),0)</f>
        <v>1</v>
      </c>
      <c r="B4" s="97"/>
      <c r="C4" s="98" t="n">
        <f aca="false">COUNTIF(C9:C28,"Bridesmaid")</f>
        <v>0</v>
      </c>
      <c r="D4" s="98"/>
      <c r="E4" s="98" t="n">
        <f aca="false">COUNTIF(C9:C28,"Groomsman")</f>
        <v>0</v>
      </c>
      <c r="F4" s="98"/>
      <c r="G4" s="98" t="n">
        <f aca="false">COUNTA(B9:B28)-COUNTIF(C9:C28,"Bridesmaid")-COUNTIF(C9:C28,"Groomsman")</f>
        <v>2</v>
      </c>
      <c r="H4" s="98"/>
      <c r="J4" s="17" t="s">
        <v>78</v>
      </c>
      <c r="K4" s="17" t="n">
        <f aca="false">COUNTIFS($G$9:$G$28,J4)</f>
        <v>20</v>
      </c>
    </row>
    <row r="5" customFormat="false" ht="15" hidden="false" customHeight="false" outlineLevel="0" collapsed="false">
      <c r="J5" s="0" t="s">
        <v>79</v>
      </c>
      <c r="K5" s="0" t="n">
        <f aca="false">COUNTIFS($G$9:$G$28,J5)</f>
        <v>0</v>
      </c>
    </row>
    <row r="6" customFormat="false" ht="15" hidden="false" customHeight="false" outlineLevel="0" collapsed="false">
      <c r="A6" s="50" t="s">
        <v>1417</v>
      </c>
      <c r="B6" s="50"/>
      <c r="C6" s="50"/>
      <c r="D6" s="50"/>
      <c r="E6" s="50"/>
      <c r="F6" s="50"/>
      <c r="G6" s="50"/>
      <c r="H6" s="50"/>
      <c r="J6" s="17" t="s">
        <v>80</v>
      </c>
      <c r="K6" s="17" t="n">
        <f aca="false">COUNTIFS($G$9:$G$28,J6)</f>
        <v>0</v>
      </c>
    </row>
    <row r="7" customFormat="false" ht="15" hidden="false" customHeight="false" outlineLevel="0" collapsed="false">
      <c r="J7" s="0" t="s">
        <v>81</v>
      </c>
      <c r="K7" s="0" t="n">
        <f aca="false">COUNTIFS($G$9:$G$28,J7)</f>
        <v>0</v>
      </c>
    </row>
    <row r="8" customFormat="false" ht="19.5" hidden="false" customHeight="true" outlineLevel="0" collapsed="false">
      <c r="A8" s="51" t="s">
        <v>1256</v>
      </c>
      <c r="B8" s="51" t="s">
        <v>1246</v>
      </c>
      <c r="C8" s="51" t="s">
        <v>1418</v>
      </c>
      <c r="D8" s="51" t="s">
        <v>1247</v>
      </c>
      <c r="E8" s="51" t="s">
        <v>1248</v>
      </c>
      <c r="F8" s="51" t="s">
        <v>1419</v>
      </c>
      <c r="G8" s="51" t="s">
        <v>76</v>
      </c>
      <c r="H8" s="51" t="s">
        <v>1153</v>
      </c>
      <c r="J8" s="17" t="s">
        <v>82</v>
      </c>
      <c r="K8" s="17" t="n">
        <f aca="false">COUNTIFS($G$9:$G$28,J8)</f>
        <v>0</v>
      </c>
    </row>
    <row r="9" customFormat="false" ht="15" hidden="false" customHeight="false" outlineLevel="0" collapsed="false">
      <c r="A9" s="55" t="n">
        <f aca="false">TRUE()</f>
        <v>1</v>
      </c>
      <c r="B9" s="45" t="s">
        <v>1373</v>
      </c>
      <c r="C9" s="45" t="s">
        <v>162</v>
      </c>
      <c r="D9" s="45"/>
      <c r="E9" s="45"/>
      <c r="F9" s="45"/>
      <c r="G9" s="45" t="s">
        <v>78</v>
      </c>
      <c r="H9" s="45"/>
      <c r="J9" s="17" t="s">
        <v>83</v>
      </c>
      <c r="K9" s="17" t="n">
        <f aca="false">COUNTIFS($G$9:$G$28,J9)</f>
        <v>0</v>
      </c>
    </row>
    <row r="10" customFormat="false" ht="15" hidden="false" customHeight="false" outlineLevel="0" collapsed="false">
      <c r="A10" s="53" t="n">
        <f aca="false">TRUE()</f>
        <v>1</v>
      </c>
      <c r="B10" s="47" t="s">
        <v>1370</v>
      </c>
      <c r="C10" s="47" t="s">
        <v>164</v>
      </c>
      <c r="D10" s="47"/>
      <c r="E10" s="47"/>
      <c r="F10" s="47"/>
      <c r="G10" s="47" t="s">
        <v>78</v>
      </c>
      <c r="H10" s="47"/>
    </row>
    <row r="11" customFormat="false" ht="15" hidden="false" customHeight="false" outlineLevel="0" collapsed="false">
      <c r="A11" s="55" t="n">
        <f aca="false">FALSE()</f>
        <v>0</v>
      </c>
      <c r="B11" s="45"/>
      <c r="C11" s="45"/>
      <c r="D11" s="45"/>
      <c r="E11" s="45"/>
      <c r="F11" s="45"/>
      <c r="G11" s="45" t="s">
        <v>78</v>
      </c>
      <c r="H11" s="45"/>
    </row>
    <row r="12" customFormat="false" ht="15" hidden="false" customHeight="false" outlineLevel="0" collapsed="false">
      <c r="A12" s="53" t="n">
        <f aca="false">FALSE()</f>
        <v>0</v>
      </c>
      <c r="B12" s="47"/>
      <c r="C12" s="47"/>
      <c r="D12" s="47"/>
      <c r="E12" s="47"/>
      <c r="F12" s="47"/>
      <c r="G12" s="47" t="s">
        <v>78</v>
      </c>
      <c r="H12" s="47"/>
    </row>
    <row r="13" customFormat="false" ht="15" hidden="false" customHeight="false" outlineLevel="0" collapsed="false">
      <c r="A13" s="55" t="n">
        <f aca="false">FALSE()</f>
        <v>0</v>
      </c>
      <c r="B13" s="45"/>
      <c r="C13" s="45"/>
      <c r="D13" s="45"/>
      <c r="E13" s="45"/>
      <c r="F13" s="45"/>
      <c r="G13" s="45" t="s">
        <v>78</v>
      </c>
      <c r="H13" s="45"/>
    </row>
    <row r="14" customFormat="false" ht="15" hidden="false" customHeight="false" outlineLevel="0" collapsed="false">
      <c r="A14" s="53" t="n">
        <f aca="false">FALSE()</f>
        <v>0</v>
      </c>
      <c r="B14" s="47"/>
      <c r="C14" s="47"/>
      <c r="D14" s="47"/>
      <c r="E14" s="47"/>
      <c r="F14" s="47"/>
      <c r="G14" s="47" t="s">
        <v>78</v>
      </c>
      <c r="H14" s="47"/>
    </row>
    <row r="15" customFormat="false" ht="15" hidden="false" customHeight="false" outlineLevel="0" collapsed="false">
      <c r="A15" s="55" t="n">
        <f aca="false">FALSE()</f>
        <v>0</v>
      </c>
      <c r="B15" s="45"/>
      <c r="C15" s="45"/>
      <c r="D15" s="45"/>
      <c r="E15" s="45"/>
      <c r="F15" s="45"/>
      <c r="G15" s="45" t="s">
        <v>78</v>
      </c>
      <c r="H15" s="45"/>
    </row>
    <row r="16" customFormat="false" ht="15" hidden="false" customHeight="false" outlineLevel="0" collapsed="false">
      <c r="A16" s="53" t="n">
        <f aca="false">FALSE()</f>
        <v>0</v>
      </c>
      <c r="B16" s="47"/>
      <c r="C16" s="47"/>
      <c r="D16" s="47"/>
      <c r="E16" s="47"/>
      <c r="F16" s="47"/>
      <c r="G16" s="47" t="s">
        <v>78</v>
      </c>
      <c r="H16" s="47"/>
    </row>
    <row r="17" customFormat="false" ht="15" hidden="false" customHeight="false" outlineLevel="0" collapsed="false">
      <c r="A17" s="55" t="n">
        <f aca="false">FALSE()</f>
        <v>0</v>
      </c>
      <c r="B17" s="45"/>
      <c r="C17" s="45"/>
      <c r="D17" s="45"/>
      <c r="E17" s="45"/>
      <c r="F17" s="45"/>
      <c r="G17" s="45" t="s">
        <v>78</v>
      </c>
      <c r="H17" s="45"/>
    </row>
    <row r="18" customFormat="false" ht="15" hidden="false" customHeight="false" outlineLevel="0" collapsed="false">
      <c r="A18" s="53" t="n">
        <f aca="false">FALSE()</f>
        <v>0</v>
      </c>
      <c r="B18" s="47"/>
      <c r="C18" s="47"/>
      <c r="D18" s="47"/>
      <c r="E18" s="47"/>
      <c r="F18" s="47"/>
      <c r="G18" s="47" t="s">
        <v>78</v>
      </c>
      <c r="H18" s="47"/>
    </row>
    <row r="19" customFormat="false" ht="15" hidden="false" customHeight="false" outlineLevel="0" collapsed="false">
      <c r="A19" s="55" t="n">
        <f aca="false">FALSE()</f>
        <v>0</v>
      </c>
      <c r="B19" s="45"/>
      <c r="C19" s="45"/>
      <c r="D19" s="45"/>
      <c r="E19" s="45"/>
      <c r="F19" s="45"/>
      <c r="G19" s="45" t="s">
        <v>78</v>
      </c>
      <c r="H19" s="45"/>
    </row>
    <row r="20" customFormat="false" ht="15" hidden="false" customHeight="false" outlineLevel="0" collapsed="false">
      <c r="A20" s="53" t="n">
        <f aca="false">FALSE()</f>
        <v>0</v>
      </c>
      <c r="B20" s="47"/>
      <c r="C20" s="47"/>
      <c r="D20" s="47"/>
      <c r="E20" s="47"/>
      <c r="F20" s="47"/>
      <c r="G20" s="47" t="s">
        <v>78</v>
      </c>
      <c r="H20" s="47"/>
    </row>
    <row r="21" customFormat="false" ht="15" hidden="false" customHeight="false" outlineLevel="0" collapsed="false">
      <c r="A21" s="55" t="n">
        <f aca="false">FALSE()</f>
        <v>0</v>
      </c>
      <c r="B21" s="45"/>
      <c r="C21" s="45"/>
      <c r="D21" s="45"/>
      <c r="E21" s="45"/>
      <c r="F21" s="45"/>
      <c r="G21" s="45" t="s">
        <v>78</v>
      </c>
      <c r="H21" s="45"/>
    </row>
    <row r="22" customFormat="false" ht="15" hidden="false" customHeight="false" outlineLevel="0" collapsed="false">
      <c r="A22" s="53" t="n">
        <f aca="false">FALSE()</f>
        <v>0</v>
      </c>
      <c r="B22" s="47"/>
      <c r="C22" s="47"/>
      <c r="D22" s="47"/>
      <c r="E22" s="47"/>
      <c r="F22" s="47"/>
      <c r="G22" s="47" t="s">
        <v>78</v>
      </c>
      <c r="H22" s="47"/>
    </row>
    <row r="23" customFormat="false" ht="15" hidden="false" customHeight="false" outlineLevel="0" collapsed="false">
      <c r="A23" s="55" t="n">
        <f aca="false">FALSE()</f>
        <v>0</v>
      </c>
      <c r="B23" s="45"/>
      <c r="C23" s="45"/>
      <c r="D23" s="45"/>
      <c r="E23" s="45"/>
      <c r="F23" s="45"/>
      <c r="G23" s="45" t="s">
        <v>78</v>
      </c>
      <c r="H23" s="45"/>
    </row>
    <row r="24" customFormat="false" ht="15" hidden="false" customHeight="false" outlineLevel="0" collapsed="false">
      <c r="A24" s="53" t="n">
        <f aca="false">FALSE()</f>
        <v>0</v>
      </c>
      <c r="B24" s="47"/>
      <c r="C24" s="47"/>
      <c r="D24" s="47"/>
      <c r="E24" s="47"/>
      <c r="F24" s="47"/>
      <c r="G24" s="47" t="s">
        <v>78</v>
      </c>
      <c r="H24" s="47"/>
    </row>
    <row r="25" customFormat="false" ht="15" hidden="false" customHeight="false" outlineLevel="0" collapsed="false">
      <c r="A25" s="55" t="n">
        <f aca="false">FALSE()</f>
        <v>0</v>
      </c>
      <c r="B25" s="45"/>
      <c r="C25" s="45"/>
      <c r="D25" s="45"/>
      <c r="E25" s="45"/>
      <c r="F25" s="45"/>
      <c r="G25" s="45" t="s">
        <v>78</v>
      </c>
      <c r="H25" s="45"/>
    </row>
    <row r="26" customFormat="false" ht="15" hidden="false" customHeight="false" outlineLevel="0" collapsed="false">
      <c r="A26" s="53" t="n">
        <f aca="false">FALSE()</f>
        <v>0</v>
      </c>
      <c r="B26" s="47"/>
      <c r="C26" s="47"/>
      <c r="D26" s="47"/>
      <c r="E26" s="47"/>
      <c r="F26" s="47"/>
      <c r="G26" s="47" t="s">
        <v>78</v>
      </c>
      <c r="H26" s="47"/>
    </row>
    <row r="27" customFormat="false" ht="15" hidden="false" customHeight="false" outlineLevel="0" collapsed="false">
      <c r="A27" s="55" t="n">
        <f aca="false">FALSE()</f>
        <v>0</v>
      </c>
      <c r="B27" s="45"/>
      <c r="C27" s="45"/>
      <c r="D27" s="45"/>
      <c r="E27" s="45"/>
      <c r="F27" s="45"/>
      <c r="G27" s="45" t="s">
        <v>78</v>
      </c>
      <c r="H27" s="45"/>
    </row>
    <row r="28" customFormat="false" ht="15" hidden="false" customHeight="false" outlineLevel="0" collapsed="false">
      <c r="A28" s="53" t="n">
        <f aca="false">FALSE()</f>
        <v>0</v>
      </c>
      <c r="B28" s="47"/>
      <c r="C28" s="47"/>
      <c r="D28" s="47"/>
      <c r="E28" s="47"/>
      <c r="F28" s="47"/>
      <c r="G28" s="47" t="s">
        <v>78</v>
      </c>
      <c r="H28" s="47"/>
    </row>
  </sheetData>
  <mergeCells count="10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H6"/>
  </mergeCells>
  <conditionalFormatting sqref="A9:A28">
    <cfRule type="expression" priority="2" aboveAverage="0" equalAverage="0" bottom="0" percent="0" rank="0" text="" dxfId="4">
      <formula>A9=1</formula>
    </cfRule>
  </conditionalFormatting>
  <conditionalFormatting sqref="G9:G28">
    <cfRule type="expression" priority="3" aboveAverage="0" equalAverage="0" bottom="0" percent="0" rank="0" text="" dxfId="5">
      <formula>EXACT(G9,"Not Started")</formula>
    </cfRule>
    <cfRule type="expression" priority="4" aboveAverage="0" equalAverage="0" bottom="0" percent="0" rank="0" text="" dxfId="6">
      <formula>EXACT(G9,"Ordered")</formula>
    </cfRule>
    <cfRule type="expression" priority="5" aboveAverage="0" equalAverage="0" bottom="0" percent="0" rank="0" text="" dxfId="7">
      <formula>EXACT(G9,"Received")</formula>
    </cfRule>
    <cfRule type="expression" priority="6" aboveAverage="0" equalAverage="0" bottom="0" percent="0" rank="0" text="" dxfId="8">
      <formula>EXACT(G9,"Fitting Scheduled")</formula>
    </cfRule>
    <cfRule type="expression" priority="7" aboveAverage="0" equalAverage="0" bottom="0" percent="0" rank="0" text="" dxfId="1">
      <formula>EXACT(G9,"Alterations Needed")</formula>
    </cfRule>
    <cfRule type="expression" priority="8" aboveAverage="0" equalAverage="0" bottom="0" percent="0" rank="0" text="" dxfId="4">
      <formula>EXACT(G9,"Ready")</formula>
    </cfRule>
  </conditionalFormatting>
  <dataValidations count="3">
    <dataValidation allowBlank="true" errorStyle="stop" operator="between" showDropDown="false" showErrorMessage="false" showInputMessage="false" sqref="A9:A28" type="list">
      <formula1>TrueFalse</formula1>
      <formula2>0</formula2>
    </dataValidation>
    <dataValidation allowBlank="true" errorStyle="stop" operator="between" showDropDown="false" showErrorMessage="false" showInputMessage="false" sqref="C9:C28" type="list">
      <formula1>WeddingPartyRole</formula1>
      <formula2>0</formula2>
    </dataValidation>
    <dataValidation allowBlank="true" errorStyle="stop" operator="between" showDropDown="false" showErrorMessage="false" showInputMessage="false" sqref="G9:G28" type="list">
      <formula1>AttireStatus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EFD6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0"/>
  </cols>
  <sheetData>
    <row r="1" customFormat="false" ht="27.75" hidden="false" customHeight="true" outlineLevel="0" collapsed="false">
      <c r="A1" s="68" t="s">
        <v>1420</v>
      </c>
      <c r="B1" s="68"/>
      <c r="C1" s="68"/>
      <c r="D1" s="68"/>
    </row>
    <row r="3" customFormat="false" ht="15" hidden="false" customHeight="false" outlineLevel="0" collapsed="false">
      <c r="A3" s="59" t="s">
        <v>1421</v>
      </c>
      <c r="B3" s="59"/>
      <c r="C3" s="6" t="s">
        <v>1422</v>
      </c>
      <c r="D3" s="6"/>
    </row>
    <row r="4" customFormat="false" ht="19.5" hidden="false" customHeight="true" outlineLevel="0" collapsed="false">
      <c r="A4" s="66" t="s">
        <v>1418</v>
      </c>
      <c r="B4" s="66" t="s">
        <v>1246</v>
      </c>
      <c r="C4" s="41" t="s">
        <v>1418</v>
      </c>
      <c r="D4" s="41" t="s">
        <v>1246</v>
      </c>
    </row>
    <row r="5" customFormat="false" ht="15" hidden="false" customHeight="false" outlineLevel="0" collapsed="false">
      <c r="A5" s="45"/>
      <c r="B5" s="45"/>
      <c r="C5" s="45"/>
      <c r="D5" s="45"/>
    </row>
    <row r="6" customFormat="false" ht="15" hidden="false" customHeight="false" outlineLevel="0" collapsed="false">
      <c r="A6" s="47"/>
      <c r="B6" s="47"/>
      <c r="C6" s="47"/>
      <c r="D6" s="47"/>
    </row>
    <row r="7" customFormat="false" ht="15" hidden="false" customHeight="false" outlineLevel="0" collapsed="false">
      <c r="A7" s="45"/>
      <c r="B7" s="45"/>
      <c r="C7" s="45"/>
      <c r="D7" s="45"/>
    </row>
    <row r="8" customFormat="false" ht="15" hidden="false" customHeight="false" outlineLevel="0" collapsed="false">
      <c r="A8" s="47"/>
      <c r="B8" s="47"/>
      <c r="C8" s="47"/>
      <c r="D8" s="47"/>
    </row>
    <row r="9" customFormat="false" ht="15" hidden="false" customHeight="false" outlineLevel="0" collapsed="false">
      <c r="A9" s="45"/>
      <c r="B9" s="45"/>
      <c r="C9" s="45"/>
      <c r="D9" s="45"/>
    </row>
    <row r="10" customFormat="false" ht="15" hidden="false" customHeight="false" outlineLevel="0" collapsed="false">
      <c r="A10" s="47"/>
      <c r="B10" s="47"/>
      <c r="C10" s="47"/>
      <c r="D10" s="47"/>
    </row>
    <row r="11" customFormat="false" ht="15" hidden="false" customHeight="false" outlineLevel="0" collapsed="false">
      <c r="A11" s="45"/>
      <c r="B11" s="45"/>
      <c r="C11" s="45"/>
      <c r="D11" s="45"/>
    </row>
    <row r="12" customFormat="false" ht="15" hidden="false" customHeight="false" outlineLevel="0" collapsed="false">
      <c r="A12" s="47"/>
      <c r="B12" s="47"/>
      <c r="C12" s="47"/>
      <c r="D12" s="47"/>
    </row>
    <row r="13" customFormat="false" ht="15" hidden="false" customHeight="false" outlineLevel="0" collapsed="false">
      <c r="A13" s="45"/>
      <c r="B13" s="45"/>
      <c r="C13" s="45"/>
      <c r="D13" s="45"/>
    </row>
    <row r="14" customFormat="false" ht="15" hidden="false" customHeight="false" outlineLevel="0" collapsed="false">
      <c r="A14" s="47"/>
      <c r="B14" s="47"/>
      <c r="C14" s="47"/>
      <c r="D14" s="47"/>
    </row>
    <row r="15" customFormat="false" ht="15" hidden="false" customHeight="false" outlineLevel="0" collapsed="false">
      <c r="A15" s="45"/>
      <c r="B15" s="45"/>
      <c r="C15" s="45"/>
      <c r="D15" s="45"/>
    </row>
    <row r="16" customFormat="false" ht="15" hidden="false" customHeight="false" outlineLevel="0" collapsed="false">
      <c r="A16" s="47"/>
      <c r="B16" s="47"/>
      <c r="C16" s="47"/>
      <c r="D16" s="47"/>
    </row>
    <row r="19" customFormat="false" ht="15" hidden="false" customHeight="false" outlineLevel="0" collapsed="false">
      <c r="A19" s="28" t="s">
        <v>1423</v>
      </c>
      <c r="B19" s="28"/>
      <c r="C19" s="28"/>
      <c r="D19" s="28"/>
    </row>
    <row r="20" customFormat="false" ht="15" hidden="false" customHeight="false" outlineLevel="0" collapsed="false">
      <c r="A20" s="99"/>
      <c r="B20" s="99"/>
      <c r="C20" s="99"/>
      <c r="D20" s="99"/>
    </row>
    <row r="21" customFormat="false" ht="15" hidden="false" customHeight="false" outlineLevel="0" collapsed="false">
      <c r="A21" s="99"/>
      <c r="B21" s="99"/>
      <c r="C21" s="99"/>
      <c r="D21" s="99"/>
    </row>
    <row r="22" customFormat="false" ht="15" hidden="false" customHeight="false" outlineLevel="0" collapsed="false">
      <c r="A22" s="99"/>
      <c r="B22" s="99"/>
      <c r="C22" s="99"/>
      <c r="D22" s="99"/>
    </row>
    <row r="23" customFormat="false" ht="15" hidden="false" customHeight="false" outlineLevel="0" collapsed="false">
      <c r="A23" s="99"/>
      <c r="B23" s="99"/>
      <c r="C23" s="99"/>
      <c r="D23" s="99"/>
    </row>
    <row r="24" customFormat="false" ht="15" hidden="false" customHeight="false" outlineLevel="0" collapsed="false">
      <c r="A24" s="99"/>
      <c r="B24" s="99"/>
      <c r="C24" s="99"/>
      <c r="D24" s="99"/>
    </row>
    <row r="25" customFormat="false" ht="15" hidden="false" customHeight="false" outlineLevel="0" collapsed="false">
      <c r="A25" s="99"/>
      <c r="B25" s="99"/>
      <c r="C25" s="99"/>
      <c r="D25" s="99"/>
    </row>
  </sheetData>
  <mergeCells count="4">
    <mergeCell ref="A1:D1"/>
    <mergeCell ref="A3:B3"/>
    <mergeCell ref="C3:D3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DFD0"/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60" t="s">
        <v>1424</v>
      </c>
      <c r="B1" s="60"/>
      <c r="C1" s="60"/>
      <c r="D1" s="60"/>
      <c r="E1" s="60"/>
      <c r="F1" s="60"/>
      <c r="G1" s="60"/>
      <c r="H1" s="60"/>
      <c r="I1" s="60"/>
    </row>
    <row r="3" customFormat="false" ht="15" hidden="false" customHeight="false" outlineLevel="0" collapsed="false">
      <c r="A3" s="21" t="s">
        <v>1425</v>
      </c>
      <c r="B3" s="21"/>
      <c r="C3" s="21" t="s">
        <v>1242</v>
      </c>
      <c r="D3" s="21"/>
      <c r="E3" s="21" t="s">
        <v>1426</v>
      </c>
      <c r="F3" s="21"/>
      <c r="G3" s="21" t="s">
        <v>1427</v>
      </c>
      <c r="H3" s="21"/>
      <c r="I3" s="21" t="s">
        <v>1428</v>
      </c>
      <c r="J3" s="21"/>
      <c r="K3" s="21" t="s">
        <v>1429</v>
      </c>
      <c r="L3" s="21"/>
    </row>
    <row r="4" customFormat="false" ht="17.35" hidden="false" customHeight="false" outlineLevel="0" collapsed="false">
      <c r="A4" s="98" t="n">
        <f aca="false">COUNTA(B7:B26)</f>
        <v>0</v>
      </c>
      <c r="B4" s="98"/>
      <c r="C4" s="78" t="n">
        <f aca="false">SUM(G7:G26)</f>
        <v>0</v>
      </c>
      <c r="D4" s="78"/>
      <c r="E4" s="98" t="n">
        <f aca="false">COUNTIF(H7:H26,"Need to Buy")</f>
        <v>20</v>
      </c>
      <c r="F4" s="98"/>
      <c r="G4" s="98" t="n">
        <f aca="false">COUNTIF(H7:H26,"Purchased")</f>
        <v>0</v>
      </c>
      <c r="H4" s="98"/>
      <c r="I4" s="98" t="n">
        <f aca="false">COUNTIFS(H7:H26,"Purchased",I7:I26,FALSE())</f>
        <v>0</v>
      </c>
      <c r="J4" s="98"/>
      <c r="K4" s="98" t="n">
        <f aca="false">COUNTIF(I7:I26,TRUE())</f>
        <v>0</v>
      </c>
      <c r="L4" s="98"/>
    </row>
    <row r="6" customFormat="false" ht="19.5" hidden="false" customHeight="true" outlineLevel="0" collapsed="false">
      <c r="A6" s="61" t="s">
        <v>1418</v>
      </c>
      <c r="B6" s="61" t="s">
        <v>1430</v>
      </c>
      <c r="C6" s="61" t="s">
        <v>1406</v>
      </c>
      <c r="D6" s="61" t="s">
        <v>1407</v>
      </c>
      <c r="E6" s="61" t="s">
        <v>1431</v>
      </c>
      <c r="F6" s="61" t="s">
        <v>1303</v>
      </c>
      <c r="G6" s="61" t="s">
        <v>1301</v>
      </c>
      <c r="H6" s="61" t="s">
        <v>1234</v>
      </c>
      <c r="I6" s="61" t="s">
        <v>1432</v>
      </c>
      <c r="J6" s="61" t="s">
        <v>1433</v>
      </c>
    </row>
    <row r="7" customFormat="false" ht="15" hidden="false" customHeight="false" outlineLevel="0" collapsed="false">
      <c r="A7" s="45"/>
      <c r="B7" s="45"/>
      <c r="C7" s="45"/>
      <c r="D7" s="45"/>
      <c r="E7" s="74" t="n">
        <v>0</v>
      </c>
      <c r="F7" s="45" t="n">
        <v>1</v>
      </c>
      <c r="G7" s="74" t="n">
        <f aca="false">E7*F7</f>
        <v>0</v>
      </c>
      <c r="H7" s="45" t="s">
        <v>1434</v>
      </c>
      <c r="I7" s="55" t="n">
        <f aca="false">FALSE()</f>
        <v>0</v>
      </c>
      <c r="J7" s="45"/>
    </row>
    <row r="8" customFormat="false" ht="15" hidden="false" customHeight="false" outlineLevel="0" collapsed="false">
      <c r="A8" s="47"/>
      <c r="B8" s="47"/>
      <c r="C8" s="47"/>
      <c r="D8" s="47"/>
      <c r="E8" s="75" t="n">
        <v>0</v>
      </c>
      <c r="F8" s="47" t="n">
        <v>1</v>
      </c>
      <c r="G8" s="75" t="n">
        <f aca="false">E8*F8</f>
        <v>0</v>
      </c>
      <c r="H8" s="47" t="s">
        <v>1434</v>
      </c>
      <c r="I8" s="53" t="n">
        <f aca="false">FALSE()</f>
        <v>0</v>
      </c>
      <c r="J8" s="47"/>
    </row>
    <row r="9" customFormat="false" ht="15" hidden="false" customHeight="false" outlineLevel="0" collapsed="false">
      <c r="A9" s="45"/>
      <c r="B9" s="45"/>
      <c r="C9" s="45"/>
      <c r="D9" s="45"/>
      <c r="E9" s="74" t="n">
        <v>0</v>
      </c>
      <c r="F9" s="45" t="n">
        <v>1</v>
      </c>
      <c r="G9" s="74" t="n">
        <f aca="false">E9*F9</f>
        <v>0</v>
      </c>
      <c r="H9" s="45" t="s">
        <v>1434</v>
      </c>
      <c r="I9" s="55" t="n">
        <f aca="false">FALSE()</f>
        <v>0</v>
      </c>
      <c r="J9" s="45"/>
    </row>
    <row r="10" customFormat="false" ht="15" hidden="false" customHeight="false" outlineLevel="0" collapsed="false">
      <c r="A10" s="47"/>
      <c r="B10" s="47"/>
      <c r="C10" s="47"/>
      <c r="D10" s="47"/>
      <c r="E10" s="75" t="n">
        <v>0</v>
      </c>
      <c r="F10" s="47" t="n">
        <v>1</v>
      </c>
      <c r="G10" s="75" t="n">
        <f aca="false">E10*F10</f>
        <v>0</v>
      </c>
      <c r="H10" s="47" t="s">
        <v>1434</v>
      </c>
      <c r="I10" s="53" t="n">
        <f aca="false">FALSE()</f>
        <v>0</v>
      </c>
      <c r="J10" s="47"/>
    </row>
    <row r="11" customFormat="false" ht="15" hidden="false" customHeight="false" outlineLevel="0" collapsed="false">
      <c r="A11" s="45"/>
      <c r="B11" s="45"/>
      <c r="C11" s="45"/>
      <c r="D11" s="45"/>
      <c r="E11" s="74" t="n">
        <v>0</v>
      </c>
      <c r="F11" s="45" t="n">
        <v>1</v>
      </c>
      <c r="G11" s="74" t="n">
        <f aca="false">E11*F11</f>
        <v>0</v>
      </c>
      <c r="H11" s="45" t="s">
        <v>1434</v>
      </c>
      <c r="I11" s="55" t="n">
        <f aca="false">FALSE()</f>
        <v>0</v>
      </c>
      <c r="J11" s="45"/>
    </row>
    <row r="12" customFormat="false" ht="15" hidden="false" customHeight="false" outlineLevel="0" collapsed="false">
      <c r="A12" s="47"/>
      <c r="B12" s="47"/>
      <c r="C12" s="47"/>
      <c r="D12" s="47"/>
      <c r="E12" s="75" t="n">
        <v>0</v>
      </c>
      <c r="F12" s="47" t="n">
        <v>1</v>
      </c>
      <c r="G12" s="75" t="n">
        <f aca="false">E12*F12</f>
        <v>0</v>
      </c>
      <c r="H12" s="47" t="s">
        <v>1434</v>
      </c>
      <c r="I12" s="53" t="n">
        <f aca="false">FALSE()</f>
        <v>0</v>
      </c>
      <c r="J12" s="47"/>
    </row>
    <row r="13" customFormat="false" ht="15" hidden="false" customHeight="false" outlineLevel="0" collapsed="false">
      <c r="A13" s="45"/>
      <c r="B13" s="45"/>
      <c r="C13" s="45"/>
      <c r="D13" s="45"/>
      <c r="E13" s="74" t="n">
        <v>0</v>
      </c>
      <c r="F13" s="45" t="n">
        <v>1</v>
      </c>
      <c r="G13" s="74" t="n">
        <f aca="false">E13*F13</f>
        <v>0</v>
      </c>
      <c r="H13" s="45" t="s">
        <v>1434</v>
      </c>
      <c r="I13" s="55" t="n">
        <f aca="false">FALSE()</f>
        <v>0</v>
      </c>
      <c r="J13" s="45"/>
    </row>
    <row r="14" customFormat="false" ht="15" hidden="false" customHeight="false" outlineLevel="0" collapsed="false">
      <c r="A14" s="47"/>
      <c r="B14" s="47"/>
      <c r="C14" s="47"/>
      <c r="D14" s="47"/>
      <c r="E14" s="75" t="n">
        <v>0</v>
      </c>
      <c r="F14" s="47" t="n">
        <v>1</v>
      </c>
      <c r="G14" s="75" t="n">
        <f aca="false">E14*F14</f>
        <v>0</v>
      </c>
      <c r="H14" s="47" t="s">
        <v>1434</v>
      </c>
      <c r="I14" s="53" t="n">
        <f aca="false">FALSE()</f>
        <v>0</v>
      </c>
      <c r="J14" s="47"/>
    </row>
    <row r="15" customFormat="false" ht="15" hidden="false" customHeight="false" outlineLevel="0" collapsed="false">
      <c r="A15" s="45"/>
      <c r="B15" s="45"/>
      <c r="C15" s="45"/>
      <c r="D15" s="45"/>
      <c r="E15" s="74" t="n">
        <v>0</v>
      </c>
      <c r="F15" s="45" t="n">
        <v>1</v>
      </c>
      <c r="G15" s="74" t="n">
        <f aca="false">E15*F15</f>
        <v>0</v>
      </c>
      <c r="H15" s="45" t="s">
        <v>1434</v>
      </c>
      <c r="I15" s="55" t="n">
        <f aca="false">FALSE()</f>
        <v>0</v>
      </c>
      <c r="J15" s="45"/>
    </row>
    <row r="16" customFormat="false" ht="15" hidden="false" customHeight="false" outlineLevel="0" collapsed="false">
      <c r="A16" s="47"/>
      <c r="B16" s="47"/>
      <c r="C16" s="47"/>
      <c r="D16" s="47"/>
      <c r="E16" s="75" t="n">
        <v>0</v>
      </c>
      <c r="F16" s="47" t="n">
        <v>1</v>
      </c>
      <c r="G16" s="75" t="n">
        <f aca="false">E16*F16</f>
        <v>0</v>
      </c>
      <c r="H16" s="47" t="s">
        <v>1434</v>
      </c>
      <c r="I16" s="53" t="n">
        <f aca="false">FALSE()</f>
        <v>0</v>
      </c>
      <c r="J16" s="47"/>
    </row>
    <row r="17" customFormat="false" ht="15" hidden="false" customHeight="false" outlineLevel="0" collapsed="false">
      <c r="A17" s="45"/>
      <c r="B17" s="45"/>
      <c r="C17" s="45"/>
      <c r="D17" s="45"/>
      <c r="E17" s="74" t="n">
        <v>0</v>
      </c>
      <c r="F17" s="45" t="n">
        <v>1</v>
      </c>
      <c r="G17" s="74" t="n">
        <f aca="false">E17*F17</f>
        <v>0</v>
      </c>
      <c r="H17" s="45" t="s">
        <v>1434</v>
      </c>
      <c r="I17" s="55" t="n">
        <f aca="false">FALSE()</f>
        <v>0</v>
      </c>
      <c r="J17" s="45"/>
    </row>
    <row r="18" customFormat="false" ht="15" hidden="false" customHeight="false" outlineLevel="0" collapsed="false">
      <c r="A18" s="47"/>
      <c r="B18" s="47"/>
      <c r="C18" s="47"/>
      <c r="D18" s="47"/>
      <c r="E18" s="75" t="n">
        <v>0</v>
      </c>
      <c r="F18" s="47" t="n">
        <v>1</v>
      </c>
      <c r="G18" s="75" t="n">
        <f aca="false">E18*F18</f>
        <v>0</v>
      </c>
      <c r="H18" s="47" t="s">
        <v>1434</v>
      </c>
      <c r="I18" s="53" t="n">
        <f aca="false">FALSE()</f>
        <v>0</v>
      </c>
      <c r="J18" s="47"/>
    </row>
    <row r="19" customFormat="false" ht="15" hidden="false" customHeight="false" outlineLevel="0" collapsed="false">
      <c r="A19" s="45"/>
      <c r="B19" s="45"/>
      <c r="C19" s="45"/>
      <c r="D19" s="45"/>
      <c r="E19" s="74" t="n">
        <v>0</v>
      </c>
      <c r="F19" s="45" t="n">
        <v>1</v>
      </c>
      <c r="G19" s="74" t="n">
        <f aca="false">E19*F19</f>
        <v>0</v>
      </c>
      <c r="H19" s="45" t="s">
        <v>1434</v>
      </c>
      <c r="I19" s="55" t="n">
        <f aca="false">FALSE()</f>
        <v>0</v>
      </c>
      <c r="J19" s="45"/>
    </row>
    <row r="20" customFormat="false" ht="15" hidden="false" customHeight="false" outlineLevel="0" collapsed="false">
      <c r="A20" s="47"/>
      <c r="B20" s="47"/>
      <c r="C20" s="47"/>
      <c r="D20" s="47"/>
      <c r="E20" s="75" t="n">
        <v>0</v>
      </c>
      <c r="F20" s="47" t="n">
        <v>1</v>
      </c>
      <c r="G20" s="75" t="n">
        <f aca="false">E20*F20</f>
        <v>0</v>
      </c>
      <c r="H20" s="47" t="s">
        <v>1434</v>
      </c>
      <c r="I20" s="53" t="n">
        <f aca="false">FALSE()</f>
        <v>0</v>
      </c>
      <c r="J20" s="47"/>
    </row>
    <row r="21" customFormat="false" ht="15" hidden="false" customHeight="false" outlineLevel="0" collapsed="false">
      <c r="A21" s="45"/>
      <c r="B21" s="45"/>
      <c r="C21" s="45"/>
      <c r="D21" s="45"/>
      <c r="E21" s="74" t="n">
        <v>0</v>
      </c>
      <c r="F21" s="45" t="n">
        <v>1</v>
      </c>
      <c r="G21" s="74" t="n">
        <f aca="false">E21*F21</f>
        <v>0</v>
      </c>
      <c r="H21" s="45" t="s">
        <v>1434</v>
      </c>
      <c r="I21" s="55" t="n">
        <f aca="false">FALSE()</f>
        <v>0</v>
      </c>
      <c r="J21" s="45"/>
    </row>
    <row r="22" customFormat="false" ht="15" hidden="false" customHeight="false" outlineLevel="0" collapsed="false">
      <c r="A22" s="47"/>
      <c r="B22" s="47"/>
      <c r="C22" s="47"/>
      <c r="D22" s="47"/>
      <c r="E22" s="75" t="n">
        <v>0</v>
      </c>
      <c r="F22" s="47" t="n">
        <v>1</v>
      </c>
      <c r="G22" s="75" t="n">
        <f aca="false">E22*F22</f>
        <v>0</v>
      </c>
      <c r="H22" s="47" t="s">
        <v>1434</v>
      </c>
      <c r="I22" s="53" t="n">
        <f aca="false">FALSE()</f>
        <v>0</v>
      </c>
      <c r="J22" s="47"/>
    </row>
    <row r="23" customFormat="false" ht="15" hidden="false" customHeight="false" outlineLevel="0" collapsed="false">
      <c r="A23" s="45"/>
      <c r="B23" s="45"/>
      <c r="C23" s="45"/>
      <c r="D23" s="45"/>
      <c r="E23" s="74" t="n">
        <v>0</v>
      </c>
      <c r="F23" s="45" t="n">
        <v>1</v>
      </c>
      <c r="G23" s="74" t="n">
        <f aca="false">E23*F23</f>
        <v>0</v>
      </c>
      <c r="H23" s="45" t="s">
        <v>1434</v>
      </c>
      <c r="I23" s="55" t="n">
        <f aca="false">FALSE()</f>
        <v>0</v>
      </c>
      <c r="J23" s="45"/>
    </row>
    <row r="24" customFormat="false" ht="15" hidden="false" customHeight="false" outlineLevel="0" collapsed="false">
      <c r="A24" s="47"/>
      <c r="B24" s="47"/>
      <c r="C24" s="47"/>
      <c r="D24" s="47"/>
      <c r="E24" s="75" t="n">
        <v>0</v>
      </c>
      <c r="F24" s="47" t="n">
        <v>1</v>
      </c>
      <c r="G24" s="75" t="n">
        <f aca="false">E24*F24</f>
        <v>0</v>
      </c>
      <c r="H24" s="47" t="s">
        <v>1434</v>
      </c>
      <c r="I24" s="53" t="n">
        <f aca="false">FALSE()</f>
        <v>0</v>
      </c>
      <c r="J24" s="47"/>
    </row>
    <row r="25" customFormat="false" ht="15" hidden="false" customHeight="false" outlineLevel="0" collapsed="false">
      <c r="A25" s="45"/>
      <c r="B25" s="45"/>
      <c r="C25" s="45"/>
      <c r="D25" s="45"/>
      <c r="E25" s="74" t="n">
        <v>0</v>
      </c>
      <c r="F25" s="45" t="n">
        <v>1</v>
      </c>
      <c r="G25" s="74" t="n">
        <f aca="false">E25*F25</f>
        <v>0</v>
      </c>
      <c r="H25" s="45" t="s">
        <v>1434</v>
      </c>
      <c r="I25" s="55" t="n">
        <f aca="false">FALSE()</f>
        <v>0</v>
      </c>
      <c r="J25" s="45"/>
    </row>
    <row r="26" customFormat="false" ht="15" hidden="false" customHeight="false" outlineLevel="0" collapsed="false">
      <c r="A26" s="47"/>
      <c r="B26" s="47"/>
      <c r="C26" s="47"/>
      <c r="D26" s="47"/>
      <c r="E26" s="75" t="n">
        <v>0</v>
      </c>
      <c r="F26" s="47" t="n">
        <v>1</v>
      </c>
      <c r="G26" s="75" t="n">
        <f aca="false">E26*F26</f>
        <v>0</v>
      </c>
      <c r="H26" s="47" t="s">
        <v>1434</v>
      </c>
      <c r="I26" s="53" t="n">
        <f aca="false">FALSE()</f>
        <v>0</v>
      </c>
      <c r="J26" s="47"/>
    </row>
  </sheetData>
  <mergeCells count="13">
    <mergeCell ref="A1:I1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</mergeCells>
  <conditionalFormatting sqref="H7:H26">
    <cfRule type="expression" priority="2" aboveAverage="0" equalAverage="0" bottom="0" percent="0" rank="0" text="" dxfId="4">
      <formula>EXACT(H7,"Purchased")</formula>
    </cfRule>
    <cfRule type="expression" priority="3" aboveAverage="0" equalAverage="0" bottom="0" percent="0" rank="0" text="" dxfId="0">
      <formula>EXACT(H7,"Need to Buy")</formula>
    </cfRule>
  </conditionalFormatting>
  <conditionalFormatting sqref="I7:I26">
    <cfRule type="expression" priority="4" aboveAverage="0" equalAverage="0" bottom="0" percent="0" rank="0" text="" dxfId="4">
      <formula>I7=1</formula>
    </cfRule>
  </conditionalFormatting>
  <dataValidations count="2">
    <dataValidation allowBlank="true" errorStyle="stop" operator="between" showDropDown="false" showErrorMessage="false" showInputMessage="false" sqref="H7:H26" type="list">
      <formula1>GiftStatus</formula1>
      <formula2>0</formula2>
    </dataValidation>
    <dataValidation allowBlank="true" errorStyle="stop" operator="between" showDropDown="false" showErrorMessage="false" showInputMessage="false" sqref="I7:I26" type="list">
      <formula1>TrueFalse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3F0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6"/>
  </cols>
  <sheetData>
    <row r="1" customFormat="false" ht="27.75" hidden="false" customHeight="true" outlineLevel="0" collapsed="false">
      <c r="A1" s="49" t="s">
        <v>1435</v>
      </c>
      <c r="B1" s="49"/>
      <c r="C1" s="49"/>
      <c r="D1" s="49"/>
      <c r="E1" s="49"/>
      <c r="F1" s="49"/>
    </row>
    <row r="3" customFormat="false" ht="15" hidden="false" customHeight="false" outlineLevel="0" collapsed="false">
      <c r="A3" s="50" t="s">
        <v>1436</v>
      </c>
      <c r="B3" s="50"/>
      <c r="C3" s="50"/>
      <c r="D3" s="50"/>
      <c r="E3" s="50"/>
      <c r="F3" s="50"/>
    </row>
    <row r="5" customFormat="false" ht="15" hidden="false" customHeight="true" outlineLevel="0" collapsed="false">
      <c r="A5" s="7" t="s">
        <v>1437</v>
      </c>
      <c r="B5" s="7"/>
      <c r="C5" s="7" t="s">
        <v>1437</v>
      </c>
      <c r="D5" s="7"/>
      <c r="E5" s="7" t="s">
        <v>1437</v>
      </c>
      <c r="F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</row>
    <row r="11" customFormat="false" ht="15" hidden="false" customHeight="false" outlineLevel="0" collapsed="false">
      <c r="A11" s="100" t="s">
        <v>1438</v>
      </c>
      <c r="B11" s="100"/>
      <c r="C11" s="100" t="s">
        <v>1438</v>
      </c>
      <c r="D11" s="100"/>
      <c r="E11" s="100" t="s">
        <v>1438</v>
      </c>
      <c r="F11" s="100"/>
    </row>
    <row r="13" customFormat="false" ht="15" hidden="false" customHeight="true" outlineLevel="0" collapsed="false">
      <c r="A13" s="7" t="s">
        <v>1437</v>
      </c>
      <c r="B13" s="7"/>
      <c r="C13" s="7" t="s">
        <v>1437</v>
      </c>
      <c r="D13" s="7"/>
      <c r="E13" s="7" t="s">
        <v>1437</v>
      </c>
      <c r="F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</row>
    <row r="19" customFormat="false" ht="15" hidden="false" customHeight="false" outlineLevel="0" collapsed="false">
      <c r="A19" s="100" t="s">
        <v>1438</v>
      </c>
      <c r="B19" s="100"/>
      <c r="C19" s="100" t="s">
        <v>1438</v>
      </c>
      <c r="D19" s="100"/>
      <c r="E19" s="100" t="s">
        <v>1438</v>
      </c>
      <c r="F19" s="100"/>
    </row>
  </sheetData>
  <mergeCells count="14">
    <mergeCell ref="A1:F1"/>
    <mergeCell ref="A3:F3"/>
    <mergeCell ref="A5:B10"/>
    <mergeCell ref="C5:D10"/>
    <mergeCell ref="E5:F10"/>
    <mergeCell ref="A11:B11"/>
    <mergeCell ref="C11:D11"/>
    <mergeCell ref="E11:F11"/>
    <mergeCell ref="A13:B18"/>
    <mergeCell ref="C13:D18"/>
    <mergeCell ref="E13:F18"/>
    <mergeCell ref="A19:B19"/>
    <mergeCell ref="C19:D19"/>
    <mergeCell ref="E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8D8"/>
    <pageSetUpPr fitToPage="false"/>
  </sheetPr>
  <dimension ref="A1:L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62" t="s">
        <v>1439</v>
      </c>
      <c r="B1" s="62"/>
      <c r="C1" s="62"/>
      <c r="D1" s="62"/>
      <c r="E1" s="62"/>
      <c r="F1" s="62"/>
      <c r="G1" s="62"/>
      <c r="H1" s="62"/>
    </row>
    <row r="3" customFormat="false" ht="15" hidden="false" customHeight="false" outlineLevel="0" collapsed="false">
      <c r="A3" s="20" t="s">
        <v>1242</v>
      </c>
      <c r="B3" s="20"/>
      <c r="C3" s="20" t="s">
        <v>1357</v>
      </c>
      <c r="D3" s="20"/>
      <c r="E3" s="20" t="s">
        <v>1440</v>
      </c>
      <c r="F3" s="20"/>
      <c r="G3" s="20" t="s">
        <v>1441</v>
      </c>
      <c r="H3" s="20"/>
      <c r="K3" s="16" t="s">
        <v>1000</v>
      </c>
      <c r="L3" s="16" t="s">
        <v>1442</v>
      </c>
    </row>
    <row r="4" customFormat="false" ht="17.35" hidden="false" customHeight="false" outlineLevel="0" collapsed="false">
      <c r="A4" s="78" t="n">
        <f aca="false">SUMIFS(H7:H46,D7:D46,"Confirmed")</f>
        <v>0</v>
      </c>
      <c r="B4" s="78"/>
      <c r="C4" s="98" t="n">
        <f aca="false">COUNTIF(D7:D46,"Confirmed")</f>
        <v>0</v>
      </c>
      <c r="D4" s="98"/>
      <c r="E4" s="98" t="n">
        <f aca="false">COUNTIF(D7:D46,"To Be Decided")</f>
        <v>40</v>
      </c>
      <c r="F4" s="98"/>
      <c r="G4" s="98" t="n">
        <f aca="false">COUNTIF(D7:D46,"Cancelled")</f>
        <v>0</v>
      </c>
      <c r="H4" s="98"/>
      <c r="K4" s="17" t="s">
        <v>1022</v>
      </c>
      <c r="L4" s="17" t="n">
        <f aca="false">SUMIFS($H$7:$H$46,$B$7:$B$46,K4,$D$7:$D$46,"Confirmed")</f>
        <v>0</v>
      </c>
    </row>
    <row r="5" customFormat="false" ht="15" hidden="false" customHeight="false" outlineLevel="0" collapsed="false">
      <c r="K5" s="0" t="s">
        <v>1025</v>
      </c>
      <c r="L5" s="0" t="n">
        <f aca="false">SUMIFS($H$7:$H$46,$B$7:$B$46,K5,$D$7:$D$46,"Confirmed")</f>
        <v>0</v>
      </c>
    </row>
    <row r="6" customFormat="false" ht="19.5" hidden="false" customHeight="true" outlineLevel="0" collapsed="false">
      <c r="A6" s="64" t="s">
        <v>1151</v>
      </c>
      <c r="B6" s="64" t="s">
        <v>1443</v>
      </c>
      <c r="C6" s="64" t="s">
        <v>1444</v>
      </c>
      <c r="D6" s="64" t="s">
        <v>1234</v>
      </c>
      <c r="E6" s="64" t="s">
        <v>1445</v>
      </c>
      <c r="F6" s="64" t="s">
        <v>1431</v>
      </c>
      <c r="G6" s="64" t="s">
        <v>1446</v>
      </c>
      <c r="H6" s="64" t="s">
        <v>1301</v>
      </c>
      <c r="I6" s="64" t="s">
        <v>1447</v>
      </c>
      <c r="K6" s="17" t="s">
        <v>1448</v>
      </c>
      <c r="L6" s="17" t="n">
        <f aca="false">SUMIFS($H$7:$H$46,$B$7:$B$46,K6,$D$7:$D$46,"Confirmed")</f>
        <v>0</v>
      </c>
    </row>
    <row r="7" customFormat="false" ht="15" hidden="false" customHeight="false" outlineLevel="0" collapsed="false">
      <c r="A7" s="45"/>
      <c r="B7" s="45"/>
      <c r="C7" s="45"/>
      <c r="D7" s="45" t="s">
        <v>1449</v>
      </c>
      <c r="E7" s="45"/>
      <c r="F7" s="74" t="n">
        <v>0</v>
      </c>
      <c r="G7" s="45" t="n">
        <v>1</v>
      </c>
      <c r="H7" s="74" t="n">
        <f aca="false">F7*G7</f>
        <v>0</v>
      </c>
      <c r="I7" s="45"/>
      <c r="K7" s="17" t="s">
        <v>1450</v>
      </c>
      <c r="L7" s="17" t="n">
        <f aca="false">SUMIFS($H$7:$H$46,$B$7:$B$46,K7,$D$7:$D$46,"Confirmed")</f>
        <v>0</v>
      </c>
    </row>
    <row r="8" customFormat="false" ht="15" hidden="false" customHeight="false" outlineLevel="0" collapsed="false">
      <c r="A8" s="47"/>
      <c r="B8" s="47"/>
      <c r="C8" s="47"/>
      <c r="D8" s="47" t="s">
        <v>1449</v>
      </c>
      <c r="E8" s="47"/>
      <c r="F8" s="75" t="n">
        <v>0</v>
      </c>
      <c r="G8" s="47" t="n">
        <v>1</v>
      </c>
      <c r="H8" s="75" t="n">
        <f aca="false">F8*G8</f>
        <v>0</v>
      </c>
      <c r="I8" s="47"/>
      <c r="K8" s="17" t="s">
        <v>1451</v>
      </c>
      <c r="L8" s="17" t="n">
        <f aca="false">SUMIFS($H$7:$H$46,$B$7:$B$46,K8,$D$7:$D$46,"Confirmed")</f>
        <v>0</v>
      </c>
    </row>
    <row r="9" customFormat="false" ht="15" hidden="false" customHeight="false" outlineLevel="0" collapsed="false">
      <c r="A9" s="45"/>
      <c r="B9" s="45"/>
      <c r="C9" s="45"/>
      <c r="D9" s="45" t="s">
        <v>1449</v>
      </c>
      <c r="E9" s="45"/>
      <c r="F9" s="74" t="n">
        <v>0</v>
      </c>
      <c r="G9" s="45" t="n">
        <v>1</v>
      </c>
      <c r="H9" s="74" t="n">
        <f aca="false">F9*G9</f>
        <v>0</v>
      </c>
      <c r="I9" s="45"/>
      <c r="K9" s="17" t="s">
        <v>1452</v>
      </c>
      <c r="L9" s="17" t="n">
        <f aca="false">SUMIFS($H$7:$H$46,$B$7:$B$46,K9,$D$7:$D$46,"Confirmed")</f>
        <v>0</v>
      </c>
    </row>
    <row r="10" customFormat="false" ht="15" hidden="false" customHeight="false" outlineLevel="0" collapsed="false">
      <c r="A10" s="47"/>
      <c r="B10" s="47"/>
      <c r="C10" s="47"/>
      <c r="D10" s="47" t="s">
        <v>1449</v>
      </c>
      <c r="E10" s="47"/>
      <c r="F10" s="75" t="n">
        <v>0</v>
      </c>
      <c r="G10" s="47" t="n">
        <v>1</v>
      </c>
      <c r="H10" s="75" t="n">
        <f aca="false">F10*G10</f>
        <v>0</v>
      </c>
      <c r="I10" s="47"/>
      <c r="K10" s="17" t="s">
        <v>1453</v>
      </c>
      <c r="L10" s="17" t="n">
        <f aca="false">SUMIFS($H$7:$H$46,$B$7:$B$46,K10,$D$7:$D$46,"Confirmed")</f>
        <v>0</v>
      </c>
    </row>
    <row r="11" customFormat="false" ht="15" hidden="false" customHeight="false" outlineLevel="0" collapsed="false">
      <c r="A11" s="45"/>
      <c r="B11" s="45"/>
      <c r="C11" s="45"/>
      <c r="D11" s="45" t="s">
        <v>1449</v>
      </c>
      <c r="E11" s="45"/>
      <c r="F11" s="74" t="n">
        <v>0</v>
      </c>
      <c r="G11" s="45" t="n">
        <v>1</v>
      </c>
      <c r="H11" s="74" t="n">
        <f aca="false">F11*G11</f>
        <v>0</v>
      </c>
      <c r="I11" s="45"/>
      <c r="K11" s="17" t="s">
        <v>1454</v>
      </c>
      <c r="L11" s="17" t="n">
        <f aca="false">SUMIFS($H$7:$H$46,$B$7:$B$46,K11,$D$7:$D$46,"Confirmed")</f>
        <v>0</v>
      </c>
    </row>
    <row r="12" customFormat="false" ht="15" hidden="false" customHeight="false" outlineLevel="0" collapsed="false">
      <c r="A12" s="47"/>
      <c r="B12" s="47"/>
      <c r="C12" s="47"/>
      <c r="D12" s="47" t="s">
        <v>1449</v>
      </c>
      <c r="E12" s="47"/>
      <c r="F12" s="75" t="n">
        <v>0</v>
      </c>
      <c r="G12" s="47" t="n">
        <v>1</v>
      </c>
      <c r="H12" s="75" t="n">
        <f aca="false">F12*G12</f>
        <v>0</v>
      </c>
      <c r="I12" s="47"/>
      <c r="K12" s="17" t="s">
        <v>168</v>
      </c>
      <c r="L12" s="17" t="n">
        <f aca="false">SUMIFS($H$7:$H$46,$B$7:$B$46,K12,$D$7:$D$46,"Confirmed")</f>
        <v>0</v>
      </c>
    </row>
    <row r="13" customFormat="false" ht="15" hidden="false" customHeight="false" outlineLevel="0" collapsed="false">
      <c r="A13" s="45"/>
      <c r="B13" s="45"/>
      <c r="C13" s="45"/>
      <c r="D13" s="45" t="s">
        <v>1449</v>
      </c>
      <c r="E13" s="45"/>
      <c r="F13" s="74" t="n">
        <v>0</v>
      </c>
      <c r="G13" s="45" t="n">
        <v>1</v>
      </c>
      <c r="H13" s="74" t="n">
        <f aca="false">F13*G13</f>
        <v>0</v>
      </c>
      <c r="I13" s="45"/>
    </row>
    <row r="14" customFormat="false" ht="15" hidden="false" customHeight="false" outlineLevel="0" collapsed="false">
      <c r="A14" s="47"/>
      <c r="B14" s="47"/>
      <c r="C14" s="47"/>
      <c r="D14" s="47" t="s">
        <v>1449</v>
      </c>
      <c r="E14" s="47"/>
      <c r="F14" s="75" t="n">
        <v>0</v>
      </c>
      <c r="G14" s="47" t="n">
        <v>1</v>
      </c>
      <c r="H14" s="75" t="n">
        <f aca="false">F14*G14</f>
        <v>0</v>
      </c>
      <c r="I14" s="47"/>
    </row>
    <row r="15" customFormat="false" ht="15" hidden="false" customHeight="false" outlineLevel="0" collapsed="false">
      <c r="A15" s="45"/>
      <c r="B15" s="45"/>
      <c r="C15" s="45"/>
      <c r="D15" s="45" t="s">
        <v>1449</v>
      </c>
      <c r="E15" s="45"/>
      <c r="F15" s="74" t="n">
        <v>0</v>
      </c>
      <c r="G15" s="45" t="n">
        <v>1</v>
      </c>
      <c r="H15" s="74" t="n">
        <f aca="false">F15*G15</f>
        <v>0</v>
      </c>
      <c r="I15" s="45"/>
    </row>
    <row r="16" customFormat="false" ht="15" hidden="false" customHeight="false" outlineLevel="0" collapsed="false">
      <c r="A16" s="47"/>
      <c r="B16" s="47"/>
      <c r="C16" s="47"/>
      <c r="D16" s="47" t="s">
        <v>1449</v>
      </c>
      <c r="E16" s="47"/>
      <c r="F16" s="75" t="n">
        <v>0</v>
      </c>
      <c r="G16" s="47" t="n">
        <v>1</v>
      </c>
      <c r="H16" s="75" t="n">
        <f aca="false">F16*G16</f>
        <v>0</v>
      </c>
      <c r="I16" s="47"/>
    </row>
    <row r="17" customFormat="false" ht="15" hidden="false" customHeight="false" outlineLevel="0" collapsed="false">
      <c r="A17" s="45"/>
      <c r="B17" s="45"/>
      <c r="C17" s="45"/>
      <c r="D17" s="45" t="s">
        <v>1449</v>
      </c>
      <c r="E17" s="45"/>
      <c r="F17" s="74" t="n">
        <v>0</v>
      </c>
      <c r="G17" s="45" t="n">
        <v>1</v>
      </c>
      <c r="H17" s="74" t="n">
        <f aca="false">F17*G17</f>
        <v>0</v>
      </c>
      <c r="I17" s="45"/>
    </row>
    <row r="18" customFormat="false" ht="15" hidden="false" customHeight="false" outlineLevel="0" collapsed="false">
      <c r="A18" s="47"/>
      <c r="B18" s="47"/>
      <c r="C18" s="47"/>
      <c r="D18" s="47" t="s">
        <v>1449</v>
      </c>
      <c r="E18" s="47"/>
      <c r="F18" s="75" t="n">
        <v>0</v>
      </c>
      <c r="G18" s="47" t="n">
        <v>1</v>
      </c>
      <c r="H18" s="75" t="n">
        <f aca="false">F18*G18</f>
        <v>0</v>
      </c>
      <c r="I18" s="47"/>
    </row>
    <row r="19" customFormat="false" ht="15" hidden="false" customHeight="false" outlineLevel="0" collapsed="false">
      <c r="A19" s="45"/>
      <c r="B19" s="45"/>
      <c r="C19" s="45"/>
      <c r="D19" s="45" t="s">
        <v>1449</v>
      </c>
      <c r="E19" s="45"/>
      <c r="F19" s="74" t="n">
        <v>0</v>
      </c>
      <c r="G19" s="45" t="n">
        <v>1</v>
      </c>
      <c r="H19" s="74" t="n">
        <f aca="false">F19*G19</f>
        <v>0</v>
      </c>
      <c r="I19" s="45"/>
    </row>
    <row r="20" customFormat="false" ht="15" hidden="false" customHeight="false" outlineLevel="0" collapsed="false">
      <c r="A20" s="47"/>
      <c r="B20" s="47"/>
      <c r="C20" s="47"/>
      <c r="D20" s="47" t="s">
        <v>1449</v>
      </c>
      <c r="E20" s="47"/>
      <c r="F20" s="75" t="n">
        <v>0</v>
      </c>
      <c r="G20" s="47" t="n">
        <v>1</v>
      </c>
      <c r="H20" s="75" t="n">
        <f aca="false">F20*G20</f>
        <v>0</v>
      </c>
      <c r="I20" s="47"/>
    </row>
    <row r="21" customFormat="false" ht="15" hidden="false" customHeight="false" outlineLevel="0" collapsed="false">
      <c r="A21" s="45"/>
      <c r="B21" s="45"/>
      <c r="C21" s="45"/>
      <c r="D21" s="45" t="s">
        <v>1449</v>
      </c>
      <c r="E21" s="45"/>
      <c r="F21" s="74" t="n">
        <v>0</v>
      </c>
      <c r="G21" s="45" t="n">
        <v>1</v>
      </c>
      <c r="H21" s="74" t="n">
        <f aca="false">F21*G21</f>
        <v>0</v>
      </c>
      <c r="I21" s="45"/>
    </row>
    <row r="22" customFormat="false" ht="15" hidden="false" customHeight="false" outlineLevel="0" collapsed="false">
      <c r="A22" s="47"/>
      <c r="B22" s="47"/>
      <c r="C22" s="47"/>
      <c r="D22" s="47" t="s">
        <v>1449</v>
      </c>
      <c r="E22" s="47"/>
      <c r="F22" s="75" t="n">
        <v>0</v>
      </c>
      <c r="G22" s="47" t="n">
        <v>1</v>
      </c>
      <c r="H22" s="75" t="n">
        <f aca="false">F22*G22</f>
        <v>0</v>
      </c>
      <c r="I22" s="47"/>
    </row>
    <row r="23" customFormat="false" ht="15" hidden="false" customHeight="false" outlineLevel="0" collapsed="false">
      <c r="A23" s="45"/>
      <c r="B23" s="45"/>
      <c r="C23" s="45"/>
      <c r="D23" s="45" t="s">
        <v>1449</v>
      </c>
      <c r="E23" s="45"/>
      <c r="F23" s="74" t="n">
        <v>0</v>
      </c>
      <c r="G23" s="45" t="n">
        <v>1</v>
      </c>
      <c r="H23" s="74" t="n">
        <f aca="false">F23*G23</f>
        <v>0</v>
      </c>
      <c r="I23" s="45"/>
    </row>
    <row r="24" customFormat="false" ht="15" hidden="false" customHeight="false" outlineLevel="0" collapsed="false">
      <c r="A24" s="47"/>
      <c r="B24" s="47"/>
      <c r="C24" s="47"/>
      <c r="D24" s="47" t="s">
        <v>1449</v>
      </c>
      <c r="E24" s="47"/>
      <c r="F24" s="75" t="n">
        <v>0</v>
      </c>
      <c r="G24" s="47" t="n">
        <v>1</v>
      </c>
      <c r="H24" s="75" t="n">
        <f aca="false">F24*G24</f>
        <v>0</v>
      </c>
      <c r="I24" s="47"/>
    </row>
    <row r="25" customFormat="false" ht="15" hidden="false" customHeight="false" outlineLevel="0" collapsed="false">
      <c r="A25" s="45"/>
      <c r="B25" s="45"/>
      <c r="C25" s="45"/>
      <c r="D25" s="45" t="s">
        <v>1449</v>
      </c>
      <c r="E25" s="45"/>
      <c r="F25" s="74" t="n">
        <v>0</v>
      </c>
      <c r="G25" s="45" t="n">
        <v>1</v>
      </c>
      <c r="H25" s="74" t="n">
        <f aca="false">F25*G25</f>
        <v>0</v>
      </c>
      <c r="I25" s="45"/>
    </row>
    <row r="26" customFormat="false" ht="15" hidden="false" customHeight="false" outlineLevel="0" collapsed="false">
      <c r="A26" s="47"/>
      <c r="B26" s="47"/>
      <c r="C26" s="47"/>
      <c r="D26" s="47" t="s">
        <v>1449</v>
      </c>
      <c r="E26" s="47"/>
      <c r="F26" s="75" t="n">
        <v>0</v>
      </c>
      <c r="G26" s="47" t="n">
        <v>1</v>
      </c>
      <c r="H26" s="75" t="n">
        <f aca="false">F26*G26</f>
        <v>0</v>
      </c>
      <c r="I26" s="47"/>
    </row>
    <row r="27" customFormat="false" ht="15" hidden="false" customHeight="false" outlineLevel="0" collapsed="false">
      <c r="A27" s="45"/>
      <c r="B27" s="45"/>
      <c r="C27" s="45"/>
      <c r="D27" s="45" t="s">
        <v>1449</v>
      </c>
      <c r="E27" s="45"/>
      <c r="F27" s="74" t="n">
        <v>0</v>
      </c>
      <c r="G27" s="45" t="n">
        <v>1</v>
      </c>
      <c r="H27" s="74" t="n">
        <f aca="false">F27*G27</f>
        <v>0</v>
      </c>
      <c r="I27" s="45"/>
    </row>
    <row r="28" customFormat="false" ht="15" hidden="false" customHeight="false" outlineLevel="0" collapsed="false">
      <c r="A28" s="47"/>
      <c r="B28" s="47"/>
      <c r="C28" s="47"/>
      <c r="D28" s="47" t="s">
        <v>1449</v>
      </c>
      <c r="E28" s="47"/>
      <c r="F28" s="75" t="n">
        <v>0</v>
      </c>
      <c r="G28" s="47" t="n">
        <v>1</v>
      </c>
      <c r="H28" s="75" t="n">
        <f aca="false">F28*G28</f>
        <v>0</v>
      </c>
      <c r="I28" s="47"/>
    </row>
    <row r="29" customFormat="false" ht="15" hidden="false" customHeight="false" outlineLevel="0" collapsed="false">
      <c r="A29" s="45"/>
      <c r="B29" s="45"/>
      <c r="C29" s="45"/>
      <c r="D29" s="45" t="s">
        <v>1449</v>
      </c>
      <c r="E29" s="45"/>
      <c r="F29" s="74" t="n">
        <v>0</v>
      </c>
      <c r="G29" s="45" t="n">
        <v>1</v>
      </c>
      <c r="H29" s="74" t="n">
        <f aca="false">F29*G29</f>
        <v>0</v>
      </c>
      <c r="I29" s="45"/>
    </row>
    <row r="30" customFormat="false" ht="15" hidden="false" customHeight="false" outlineLevel="0" collapsed="false">
      <c r="A30" s="47"/>
      <c r="B30" s="47"/>
      <c r="C30" s="47"/>
      <c r="D30" s="47" t="s">
        <v>1449</v>
      </c>
      <c r="E30" s="47"/>
      <c r="F30" s="75" t="n">
        <v>0</v>
      </c>
      <c r="G30" s="47" t="n">
        <v>1</v>
      </c>
      <c r="H30" s="75" t="n">
        <f aca="false">F30*G30</f>
        <v>0</v>
      </c>
      <c r="I30" s="47"/>
    </row>
    <row r="31" customFormat="false" ht="15" hidden="false" customHeight="false" outlineLevel="0" collapsed="false">
      <c r="A31" s="45"/>
      <c r="B31" s="45"/>
      <c r="C31" s="45"/>
      <c r="D31" s="45" t="s">
        <v>1449</v>
      </c>
      <c r="E31" s="45"/>
      <c r="F31" s="74" t="n">
        <v>0</v>
      </c>
      <c r="G31" s="45" t="n">
        <v>1</v>
      </c>
      <c r="H31" s="74" t="n">
        <f aca="false">F31*G31</f>
        <v>0</v>
      </c>
      <c r="I31" s="45"/>
    </row>
    <row r="32" customFormat="false" ht="15" hidden="false" customHeight="false" outlineLevel="0" collapsed="false">
      <c r="A32" s="47"/>
      <c r="B32" s="47"/>
      <c r="C32" s="47"/>
      <c r="D32" s="47" t="s">
        <v>1449</v>
      </c>
      <c r="E32" s="47"/>
      <c r="F32" s="75" t="n">
        <v>0</v>
      </c>
      <c r="G32" s="47" t="n">
        <v>1</v>
      </c>
      <c r="H32" s="75" t="n">
        <f aca="false">F32*G32</f>
        <v>0</v>
      </c>
      <c r="I32" s="47"/>
    </row>
    <row r="33" customFormat="false" ht="15" hidden="false" customHeight="false" outlineLevel="0" collapsed="false">
      <c r="A33" s="45"/>
      <c r="B33" s="45"/>
      <c r="C33" s="45"/>
      <c r="D33" s="45" t="s">
        <v>1449</v>
      </c>
      <c r="E33" s="45"/>
      <c r="F33" s="74" t="n">
        <v>0</v>
      </c>
      <c r="G33" s="45" t="n">
        <v>1</v>
      </c>
      <c r="H33" s="74" t="n">
        <f aca="false">F33*G33</f>
        <v>0</v>
      </c>
      <c r="I33" s="45"/>
    </row>
    <row r="34" customFormat="false" ht="15" hidden="false" customHeight="false" outlineLevel="0" collapsed="false">
      <c r="A34" s="47"/>
      <c r="B34" s="47"/>
      <c r="C34" s="47"/>
      <c r="D34" s="47" t="s">
        <v>1449</v>
      </c>
      <c r="E34" s="47"/>
      <c r="F34" s="75" t="n">
        <v>0</v>
      </c>
      <c r="G34" s="47" t="n">
        <v>1</v>
      </c>
      <c r="H34" s="75" t="n">
        <f aca="false">F34*G34</f>
        <v>0</v>
      </c>
      <c r="I34" s="47"/>
    </row>
    <row r="35" customFormat="false" ht="15" hidden="false" customHeight="false" outlineLevel="0" collapsed="false">
      <c r="A35" s="45"/>
      <c r="B35" s="45"/>
      <c r="C35" s="45"/>
      <c r="D35" s="45" t="s">
        <v>1449</v>
      </c>
      <c r="E35" s="45"/>
      <c r="F35" s="74" t="n">
        <v>0</v>
      </c>
      <c r="G35" s="45" t="n">
        <v>1</v>
      </c>
      <c r="H35" s="74" t="n">
        <f aca="false">F35*G35</f>
        <v>0</v>
      </c>
      <c r="I35" s="45"/>
    </row>
    <row r="36" customFormat="false" ht="15" hidden="false" customHeight="false" outlineLevel="0" collapsed="false">
      <c r="A36" s="47"/>
      <c r="B36" s="47"/>
      <c r="C36" s="47"/>
      <c r="D36" s="47" t="s">
        <v>1449</v>
      </c>
      <c r="E36" s="47"/>
      <c r="F36" s="75" t="n">
        <v>0</v>
      </c>
      <c r="G36" s="47" t="n">
        <v>1</v>
      </c>
      <c r="H36" s="75" t="n">
        <f aca="false">F36*G36</f>
        <v>0</v>
      </c>
      <c r="I36" s="47"/>
    </row>
    <row r="37" customFormat="false" ht="15" hidden="false" customHeight="false" outlineLevel="0" collapsed="false">
      <c r="A37" s="45"/>
      <c r="B37" s="45"/>
      <c r="C37" s="45"/>
      <c r="D37" s="45" t="s">
        <v>1449</v>
      </c>
      <c r="E37" s="45"/>
      <c r="F37" s="74" t="n">
        <v>0</v>
      </c>
      <c r="G37" s="45" t="n">
        <v>1</v>
      </c>
      <c r="H37" s="74" t="n">
        <f aca="false">F37*G37</f>
        <v>0</v>
      </c>
      <c r="I37" s="45"/>
    </row>
    <row r="38" customFormat="false" ht="15" hidden="false" customHeight="false" outlineLevel="0" collapsed="false">
      <c r="A38" s="47"/>
      <c r="B38" s="47"/>
      <c r="C38" s="47"/>
      <c r="D38" s="47" t="s">
        <v>1449</v>
      </c>
      <c r="E38" s="47"/>
      <c r="F38" s="75" t="n">
        <v>0</v>
      </c>
      <c r="G38" s="47" t="n">
        <v>1</v>
      </c>
      <c r="H38" s="75" t="n">
        <f aca="false">F38*G38</f>
        <v>0</v>
      </c>
      <c r="I38" s="47"/>
    </row>
    <row r="39" customFormat="false" ht="15" hidden="false" customHeight="false" outlineLevel="0" collapsed="false">
      <c r="A39" s="45"/>
      <c r="B39" s="45"/>
      <c r="C39" s="45"/>
      <c r="D39" s="45" t="s">
        <v>1449</v>
      </c>
      <c r="E39" s="45"/>
      <c r="F39" s="74" t="n">
        <v>0</v>
      </c>
      <c r="G39" s="45" t="n">
        <v>1</v>
      </c>
      <c r="H39" s="74" t="n">
        <f aca="false">F39*G39</f>
        <v>0</v>
      </c>
      <c r="I39" s="45"/>
    </row>
    <row r="40" customFormat="false" ht="15" hidden="false" customHeight="false" outlineLevel="0" collapsed="false">
      <c r="A40" s="47"/>
      <c r="B40" s="47"/>
      <c r="C40" s="47"/>
      <c r="D40" s="47" t="s">
        <v>1449</v>
      </c>
      <c r="E40" s="47"/>
      <c r="F40" s="75" t="n">
        <v>0</v>
      </c>
      <c r="G40" s="47" t="n">
        <v>1</v>
      </c>
      <c r="H40" s="75" t="n">
        <f aca="false">F40*G40</f>
        <v>0</v>
      </c>
      <c r="I40" s="47"/>
    </row>
    <row r="41" customFormat="false" ht="15" hidden="false" customHeight="false" outlineLevel="0" collapsed="false">
      <c r="A41" s="45"/>
      <c r="B41" s="45"/>
      <c r="C41" s="45"/>
      <c r="D41" s="45" t="s">
        <v>1449</v>
      </c>
      <c r="E41" s="45"/>
      <c r="F41" s="74" t="n">
        <v>0</v>
      </c>
      <c r="G41" s="45" t="n">
        <v>1</v>
      </c>
      <c r="H41" s="74" t="n">
        <f aca="false">F41*G41</f>
        <v>0</v>
      </c>
      <c r="I41" s="45"/>
    </row>
    <row r="42" customFormat="false" ht="15" hidden="false" customHeight="false" outlineLevel="0" collapsed="false">
      <c r="A42" s="47"/>
      <c r="B42" s="47"/>
      <c r="C42" s="47"/>
      <c r="D42" s="47" t="s">
        <v>1449</v>
      </c>
      <c r="E42" s="47"/>
      <c r="F42" s="75" t="n">
        <v>0</v>
      </c>
      <c r="G42" s="47" t="n">
        <v>1</v>
      </c>
      <c r="H42" s="75" t="n">
        <f aca="false">F42*G42</f>
        <v>0</v>
      </c>
      <c r="I42" s="47"/>
    </row>
    <row r="43" customFormat="false" ht="15" hidden="false" customHeight="false" outlineLevel="0" collapsed="false">
      <c r="A43" s="45"/>
      <c r="B43" s="45"/>
      <c r="C43" s="45"/>
      <c r="D43" s="45" t="s">
        <v>1449</v>
      </c>
      <c r="E43" s="45"/>
      <c r="F43" s="74" t="n">
        <v>0</v>
      </c>
      <c r="G43" s="45" t="n">
        <v>1</v>
      </c>
      <c r="H43" s="74" t="n">
        <f aca="false">F43*G43</f>
        <v>0</v>
      </c>
      <c r="I43" s="45"/>
    </row>
    <row r="44" customFormat="false" ht="15" hidden="false" customHeight="false" outlineLevel="0" collapsed="false">
      <c r="A44" s="47"/>
      <c r="B44" s="47"/>
      <c r="C44" s="47"/>
      <c r="D44" s="47" t="s">
        <v>1449</v>
      </c>
      <c r="E44" s="47"/>
      <c r="F44" s="75" t="n">
        <v>0</v>
      </c>
      <c r="G44" s="47" t="n">
        <v>1</v>
      </c>
      <c r="H44" s="75" t="n">
        <f aca="false">F44*G44</f>
        <v>0</v>
      </c>
      <c r="I44" s="47"/>
    </row>
    <row r="45" customFormat="false" ht="15" hidden="false" customHeight="false" outlineLevel="0" collapsed="false">
      <c r="A45" s="45"/>
      <c r="B45" s="45"/>
      <c r="C45" s="45"/>
      <c r="D45" s="45" t="s">
        <v>1449</v>
      </c>
      <c r="E45" s="45"/>
      <c r="F45" s="74" t="n">
        <v>0</v>
      </c>
      <c r="G45" s="45" t="n">
        <v>1</v>
      </c>
      <c r="H45" s="74" t="n">
        <f aca="false">F45*G45</f>
        <v>0</v>
      </c>
      <c r="I45" s="45"/>
    </row>
    <row r="46" customFormat="false" ht="15" hidden="false" customHeight="false" outlineLevel="0" collapsed="false">
      <c r="A46" s="47"/>
      <c r="B46" s="47"/>
      <c r="C46" s="47"/>
      <c r="D46" s="47" t="s">
        <v>1449</v>
      </c>
      <c r="E46" s="47"/>
      <c r="F46" s="75" t="n">
        <v>0</v>
      </c>
      <c r="G46" s="47" t="n">
        <v>1</v>
      </c>
      <c r="H46" s="75" t="n">
        <f aca="false">F46*G46</f>
        <v>0</v>
      </c>
      <c r="I46" s="47"/>
    </row>
  </sheetData>
  <mergeCells count="9">
    <mergeCell ref="A1:H1"/>
    <mergeCell ref="A3:B3"/>
    <mergeCell ref="C3:D3"/>
    <mergeCell ref="E3:F3"/>
    <mergeCell ref="G3:H3"/>
    <mergeCell ref="A4:B4"/>
    <mergeCell ref="C4:D4"/>
    <mergeCell ref="E4:F4"/>
    <mergeCell ref="G4:H4"/>
  </mergeCells>
  <conditionalFormatting sqref="D7:D46">
    <cfRule type="expression" priority="2" aboveAverage="0" equalAverage="0" bottom="0" percent="0" rank="0" text="" dxfId="4">
      <formula>EXACT(D7,"Confirmed")</formula>
    </cfRule>
    <cfRule type="expression" priority="3" aboveAverage="0" equalAverage="0" bottom="0" percent="0" rank="0" text="" dxfId="0">
      <formula>EXACT(D7,"To Be Decided")</formula>
    </cfRule>
    <cfRule type="expression" priority="4" aboveAverage="0" equalAverage="0" bottom="0" percent="0" rank="0" text="" dxfId="1">
      <formula>EXACT(D7,"Cancelled")</formula>
    </cfRule>
  </conditionalFormatting>
  <dataValidations count="3">
    <dataValidation allowBlank="true" errorStyle="stop" operator="between" showDropDown="false" showErrorMessage="false" showInputMessage="false" sqref="B7:B46" type="list">
      <formula1>DecorLocation</formula1>
      <formula2>0</formula2>
    </dataValidation>
    <dataValidation allowBlank="true" errorStyle="stop" operator="between" showDropDown="false" showErrorMessage="false" showInputMessage="false" sqref="D7:D46" type="list">
      <formula1>DecorStatus</formula1>
      <formula2>0</formula2>
    </dataValidation>
    <dataValidation allowBlank="true" errorStyle="stop" operator="between" showDropDown="false" showErrorMessage="false" showInputMessage="false" sqref="E7:E46" type="list">
      <formula1>BuyRent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D9DE"/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20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89" t="s">
        <v>1455</v>
      </c>
      <c r="B1" s="89"/>
      <c r="C1" s="89"/>
      <c r="D1" s="89"/>
      <c r="E1" s="89"/>
      <c r="F1" s="89"/>
      <c r="G1" s="89"/>
      <c r="H1" s="89"/>
    </row>
    <row r="3" customFormat="false" ht="15" hidden="false" customHeight="false" outlineLevel="0" collapsed="false">
      <c r="A3" s="19" t="s">
        <v>1456</v>
      </c>
      <c r="B3" s="19"/>
      <c r="C3" s="19"/>
      <c r="D3" s="19" t="s">
        <v>1242</v>
      </c>
      <c r="E3" s="19"/>
      <c r="F3" s="19"/>
      <c r="K3" s="16" t="s">
        <v>1219</v>
      </c>
      <c r="L3" s="16" t="s">
        <v>1244</v>
      </c>
    </row>
    <row r="4" customFormat="false" ht="18.55" hidden="false" customHeight="false" outlineLevel="0" collapsed="false">
      <c r="A4" s="90" t="n">
        <f aca="false">COUNTA(A7:A36)</f>
        <v>8</v>
      </c>
      <c r="B4" s="90"/>
      <c r="C4" s="90"/>
      <c r="D4" s="101" t="n">
        <f aca="false">SUM(E7:E36)</f>
        <v>0</v>
      </c>
      <c r="E4" s="101"/>
      <c r="F4" s="101"/>
      <c r="K4" s="0" t="str">
        <f aca="false">'Vendor Selection'!C6</f>
        <v>Name</v>
      </c>
      <c r="L4" s="80" t="n">
        <f aca="false">SUM(E7:E36)</f>
        <v>0</v>
      </c>
    </row>
    <row r="6" customFormat="false" ht="19.5" hidden="false" customHeight="true" outlineLevel="0" collapsed="false">
      <c r="A6" s="66" t="s">
        <v>1151</v>
      </c>
      <c r="B6" s="66" t="s">
        <v>1219</v>
      </c>
      <c r="C6" s="66" t="s">
        <v>1431</v>
      </c>
      <c r="D6" s="66" t="s">
        <v>1446</v>
      </c>
      <c r="E6" s="66" t="s">
        <v>1301</v>
      </c>
      <c r="F6" s="66" t="s">
        <v>1234</v>
      </c>
      <c r="G6" s="66" t="s">
        <v>1457</v>
      </c>
      <c r="H6" s="66" t="s">
        <v>1153</v>
      </c>
      <c r="I6" s="66" t="s">
        <v>1447</v>
      </c>
    </row>
    <row r="7" customFormat="false" ht="15" hidden="false" customHeight="false" outlineLevel="0" collapsed="false">
      <c r="A7" s="45" t="s">
        <v>1458</v>
      </c>
      <c r="B7" s="45"/>
      <c r="C7" s="74" t="n">
        <v>0</v>
      </c>
      <c r="D7" s="45" t="n">
        <v>1</v>
      </c>
      <c r="E7" s="74" t="n">
        <f aca="false">C7*D7</f>
        <v>0</v>
      </c>
      <c r="F7" s="45" t="s">
        <v>78</v>
      </c>
      <c r="G7" s="45"/>
      <c r="H7" s="45"/>
      <c r="I7" s="45"/>
    </row>
    <row r="8" customFormat="false" ht="15" hidden="false" customHeight="false" outlineLevel="0" collapsed="false">
      <c r="A8" s="47" t="s">
        <v>1459</v>
      </c>
      <c r="B8" s="47"/>
      <c r="C8" s="75" t="n">
        <v>0</v>
      </c>
      <c r="D8" s="47" t="n">
        <v>1</v>
      </c>
      <c r="E8" s="75" t="n">
        <f aca="false">C8*D8</f>
        <v>0</v>
      </c>
      <c r="F8" s="47" t="s">
        <v>78</v>
      </c>
      <c r="G8" s="47"/>
      <c r="H8" s="47"/>
      <c r="I8" s="47"/>
    </row>
    <row r="9" customFormat="false" ht="15" hidden="false" customHeight="false" outlineLevel="0" collapsed="false">
      <c r="A9" s="45" t="s">
        <v>1460</v>
      </c>
      <c r="B9" s="45"/>
      <c r="C9" s="74" t="n">
        <v>0</v>
      </c>
      <c r="D9" s="45" t="n">
        <v>1</v>
      </c>
      <c r="E9" s="74" t="n">
        <f aca="false">C9*D9</f>
        <v>0</v>
      </c>
      <c r="F9" s="45" t="s">
        <v>78</v>
      </c>
      <c r="G9" s="45"/>
      <c r="H9" s="45"/>
      <c r="I9" s="45"/>
    </row>
    <row r="10" customFormat="false" ht="15" hidden="false" customHeight="false" outlineLevel="0" collapsed="false">
      <c r="A10" s="47" t="s">
        <v>1461</v>
      </c>
      <c r="B10" s="47"/>
      <c r="C10" s="75" t="n">
        <v>0</v>
      </c>
      <c r="D10" s="47" t="n">
        <v>1</v>
      </c>
      <c r="E10" s="75" t="n">
        <f aca="false">C10*D10</f>
        <v>0</v>
      </c>
      <c r="F10" s="47" t="s">
        <v>78</v>
      </c>
      <c r="G10" s="47"/>
      <c r="H10" s="47"/>
      <c r="I10" s="47"/>
    </row>
    <row r="11" customFormat="false" ht="15" hidden="false" customHeight="false" outlineLevel="0" collapsed="false">
      <c r="A11" s="45" t="s">
        <v>1462</v>
      </c>
      <c r="B11" s="45"/>
      <c r="C11" s="74" t="n">
        <v>0</v>
      </c>
      <c r="D11" s="45" t="n">
        <v>1</v>
      </c>
      <c r="E11" s="74" t="n">
        <f aca="false">C11*D11</f>
        <v>0</v>
      </c>
      <c r="F11" s="45" t="s">
        <v>78</v>
      </c>
      <c r="G11" s="45"/>
      <c r="H11" s="45"/>
      <c r="I11" s="45"/>
    </row>
    <row r="12" customFormat="false" ht="15" hidden="false" customHeight="false" outlineLevel="0" collapsed="false">
      <c r="A12" s="47" t="s">
        <v>1350</v>
      </c>
      <c r="B12" s="47"/>
      <c r="C12" s="75" t="n">
        <v>0</v>
      </c>
      <c r="D12" s="47" t="n">
        <v>1</v>
      </c>
      <c r="E12" s="75" t="n">
        <f aca="false">C12*D12</f>
        <v>0</v>
      </c>
      <c r="F12" s="47" t="s">
        <v>78</v>
      </c>
      <c r="G12" s="47"/>
      <c r="H12" s="47"/>
      <c r="I12" s="47"/>
    </row>
    <row r="13" customFormat="false" ht="15" hidden="false" customHeight="false" outlineLevel="0" collapsed="false">
      <c r="A13" s="45" t="s">
        <v>1463</v>
      </c>
      <c r="B13" s="45"/>
      <c r="C13" s="74" t="n">
        <v>0</v>
      </c>
      <c r="D13" s="45" t="n">
        <v>1</v>
      </c>
      <c r="E13" s="74" t="n">
        <f aca="false">C13*D13</f>
        <v>0</v>
      </c>
      <c r="F13" s="45" t="s">
        <v>78</v>
      </c>
      <c r="G13" s="45"/>
      <c r="H13" s="45"/>
      <c r="I13" s="45"/>
    </row>
    <row r="14" customFormat="false" ht="15" hidden="false" customHeight="false" outlineLevel="0" collapsed="false">
      <c r="A14" s="47" t="s">
        <v>1464</v>
      </c>
      <c r="B14" s="47"/>
      <c r="C14" s="75" t="n">
        <v>0</v>
      </c>
      <c r="D14" s="47" t="n">
        <v>1</v>
      </c>
      <c r="E14" s="75" t="n">
        <f aca="false">C14*D14</f>
        <v>0</v>
      </c>
      <c r="F14" s="47" t="s">
        <v>78</v>
      </c>
      <c r="G14" s="47"/>
      <c r="H14" s="47"/>
      <c r="I14" s="47"/>
    </row>
    <row r="15" customFormat="false" ht="15" hidden="false" customHeight="false" outlineLevel="0" collapsed="false">
      <c r="A15" s="45"/>
      <c r="B15" s="45"/>
      <c r="C15" s="74" t="n">
        <v>0</v>
      </c>
      <c r="D15" s="45" t="n">
        <v>1</v>
      </c>
      <c r="E15" s="74" t="n">
        <f aca="false">C15*D15</f>
        <v>0</v>
      </c>
      <c r="F15" s="45" t="s">
        <v>78</v>
      </c>
      <c r="G15" s="45"/>
      <c r="H15" s="45"/>
      <c r="I15" s="45"/>
    </row>
    <row r="16" customFormat="false" ht="15" hidden="false" customHeight="false" outlineLevel="0" collapsed="false">
      <c r="A16" s="47"/>
      <c r="B16" s="47"/>
      <c r="C16" s="75" t="n">
        <v>0</v>
      </c>
      <c r="D16" s="47" t="n">
        <v>1</v>
      </c>
      <c r="E16" s="75" t="n">
        <f aca="false">C16*D16</f>
        <v>0</v>
      </c>
      <c r="F16" s="47" t="s">
        <v>78</v>
      </c>
      <c r="G16" s="47"/>
      <c r="H16" s="47"/>
      <c r="I16" s="47"/>
    </row>
    <row r="17" customFormat="false" ht="15" hidden="false" customHeight="false" outlineLevel="0" collapsed="false">
      <c r="A17" s="45"/>
      <c r="B17" s="45"/>
      <c r="C17" s="74" t="n">
        <v>0</v>
      </c>
      <c r="D17" s="45" t="n">
        <v>1</v>
      </c>
      <c r="E17" s="74" t="n">
        <f aca="false">C17*D17</f>
        <v>0</v>
      </c>
      <c r="F17" s="45" t="s">
        <v>78</v>
      </c>
      <c r="G17" s="45"/>
      <c r="H17" s="45"/>
      <c r="I17" s="45"/>
    </row>
    <row r="18" customFormat="false" ht="15" hidden="false" customHeight="false" outlineLevel="0" collapsed="false">
      <c r="A18" s="47"/>
      <c r="B18" s="47"/>
      <c r="C18" s="75" t="n">
        <v>0</v>
      </c>
      <c r="D18" s="47" t="n">
        <v>1</v>
      </c>
      <c r="E18" s="75" t="n">
        <f aca="false">C18*D18</f>
        <v>0</v>
      </c>
      <c r="F18" s="47" t="s">
        <v>78</v>
      </c>
      <c r="G18" s="47"/>
      <c r="H18" s="47"/>
      <c r="I18" s="47"/>
    </row>
    <row r="19" customFormat="false" ht="15" hidden="false" customHeight="false" outlineLevel="0" collapsed="false">
      <c r="A19" s="45"/>
      <c r="B19" s="45"/>
      <c r="C19" s="74" t="n">
        <v>0</v>
      </c>
      <c r="D19" s="45" t="n">
        <v>1</v>
      </c>
      <c r="E19" s="74" t="n">
        <f aca="false">C19*D19</f>
        <v>0</v>
      </c>
      <c r="F19" s="45" t="s">
        <v>78</v>
      </c>
      <c r="G19" s="45"/>
      <c r="H19" s="45"/>
      <c r="I19" s="45"/>
    </row>
    <row r="20" customFormat="false" ht="15" hidden="false" customHeight="false" outlineLevel="0" collapsed="false">
      <c r="A20" s="47"/>
      <c r="B20" s="47"/>
      <c r="C20" s="75" t="n">
        <v>0</v>
      </c>
      <c r="D20" s="47" t="n">
        <v>1</v>
      </c>
      <c r="E20" s="75" t="n">
        <f aca="false">C20*D20</f>
        <v>0</v>
      </c>
      <c r="F20" s="47" t="s">
        <v>78</v>
      </c>
      <c r="G20" s="47"/>
      <c r="H20" s="47"/>
      <c r="I20" s="47"/>
    </row>
    <row r="21" customFormat="false" ht="15" hidden="false" customHeight="false" outlineLevel="0" collapsed="false">
      <c r="A21" s="45"/>
      <c r="B21" s="45"/>
      <c r="C21" s="74" t="n">
        <v>0</v>
      </c>
      <c r="D21" s="45" t="n">
        <v>1</v>
      </c>
      <c r="E21" s="74" t="n">
        <f aca="false">C21*D21</f>
        <v>0</v>
      </c>
      <c r="F21" s="45" t="s">
        <v>78</v>
      </c>
      <c r="G21" s="45"/>
      <c r="H21" s="45"/>
      <c r="I21" s="45"/>
    </row>
    <row r="22" customFormat="false" ht="15" hidden="false" customHeight="false" outlineLevel="0" collapsed="false">
      <c r="A22" s="47"/>
      <c r="B22" s="47"/>
      <c r="C22" s="75" t="n">
        <v>0</v>
      </c>
      <c r="D22" s="47" t="n">
        <v>1</v>
      </c>
      <c r="E22" s="75" t="n">
        <f aca="false">C22*D22</f>
        <v>0</v>
      </c>
      <c r="F22" s="47" t="s">
        <v>78</v>
      </c>
      <c r="G22" s="47"/>
      <c r="H22" s="47"/>
      <c r="I22" s="47"/>
    </row>
    <row r="23" customFormat="false" ht="15" hidden="false" customHeight="false" outlineLevel="0" collapsed="false">
      <c r="A23" s="45"/>
      <c r="B23" s="45"/>
      <c r="C23" s="74" t="n">
        <v>0</v>
      </c>
      <c r="D23" s="45" t="n">
        <v>1</v>
      </c>
      <c r="E23" s="74" t="n">
        <f aca="false">C23*D23</f>
        <v>0</v>
      </c>
      <c r="F23" s="45" t="s">
        <v>78</v>
      </c>
      <c r="G23" s="45"/>
      <c r="H23" s="45"/>
      <c r="I23" s="45"/>
    </row>
    <row r="24" customFormat="false" ht="15" hidden="false" customHeight="false" outlineLevel="0" collapsed="false">
      <c r="A24" s="47"/>
      <c r="B24" s="47"/>
      <c r="C24" s="75" t="n">
        <v>0</v>
      </c>
      <c r="D24" s="47" t="n">
        <v>1</v>
      </c>
      <c r="E24" s="75" t="n">
        <f aca="false">C24*D24</f>
        <v>0</v>
      </c>
      <c r="F24" s="47" t="s">
        <v>78</v>
      </c>
      <c r="G24" s="47"/>
      <c r="H24" s="47"/>
      <c r="I24" s="47"/>
    </row>
    <row r="25" customFormat="false" ht="15" hidden="false" customHeight="false" outlineLevel="0" collapsed="false">
      <c r="A25" s="45"/>
      <c r="B25" s="45"/>
      <c r="C25" s="74" t="n">
        <v>0</v>
      </c>
      <c r="D25" s="45" t="n">
        <v>1</v>
      </c>
      <c r="E25" s="74" t="n">
        <f aca="false">C25*D25</f>
        <v>0</v>
      </c>
      <c r="F25" s="45" t="s">
        <v>78</v>
      </c>
      <c r="G25" s="45"/>
      <c r="H25" s="45"/>
      <c r="I25" s="45"/>
    </row>
    <row r="26" customFormat="false" ht="15" hidden="false" customHeight="false" outlineLevel="0" collapsed="false">
      <c r="A26" s="47"/>
      <c r="B26" s="47"/>
      <c r="C26" s="75" t="n">
        <v>0</v>
      </c>
      <c r="D26" s="47" t="n">
        <v>1</v>
      </c>
      <c r="E26" s="75" t="n">
        <f aca="false">C26*D26</f>
        <v>0</v>
      </c>
      <c r="F26" s="47" t="s">
        <v>78</v>
      </c>
      <c r="G26" s="47"/>
      <c r="H26" s="47"/>
      <c r="I26" s="47"/>
    </row>
    <row r="27" customFormat="false" ht="15" hidden="false" customHeight="false" outlineLevel="0" collapsed="false">
      <c r="A27" s="45"/>
      <c r="B27" s="45"/>
      <c r="C27" s="74" t="n">
        <v>0</v>
      </c>
      <c r="D27" s="45" t="n">
        <v>1</v>
      </c>
      <c r="E27" s="74" t="n">
        <f aca="false">C27*D27</f>
        <v>0</v>
      </c>
      <c r="F27" s="45" t="s">
        <v>78</v>
      </c>
      <c r="G27" s="45"/>
      <c r="H27" s="45"/>
      <c r="I27" s="45"/>
    </row>
    <row r="28" customFormat="false" ht="15" hidden="false" customHeight="false" outlineLevel="0" collapsed="false">
      <c r="A28" s="47"/>
      <c r="B28" s="47"/>
      <c r="C28" s="75" t="n">
        <v>0</v>
      </c>
      <c r="D28" s="47" t="n">
        <v>1</v>
      </c>
      <c r="E28" s="75" t="n">
        <f aca="false">C28*D28</f>
        <v>0</v>
      </c>
      <c r="F28" s="47" t="s">
        <v>78</v>
      </c>
      <c r="G28" s="47"/>
      <c r="H28" s="47"/>
      <c r="I28" s="47"/>
    </row>
    <row r="29" customFormat="false" ht="15" hidden="false" customHeight="false" outlineLevel="0" collapsed="false">
      <c r="A29" s="45"/>
      <c r="B29" s="45"/>
      <c r="C29" s="74" t="n">
        <v>0</v>
      </c>
      <c r="D29" s="45" t="n">
        <v>1</v>
      </c>
      <c r="E29" s="74" t="n">
        <f aca="false">C29*D29</f>
        <v>0</v>
      </c>
      <c r="F29" s="45" t="s">
        <v>78</v>
      </c>
      <c r="G29" s="45"/>
      <c r="H29" s="45"/>
      <c r="I29" s="45"/>
    </row>
    <row r="30" customFormat="false" ht="15" hidden="false" customHeight="false" outlineLevel="0" collapsed="false">
      <c r="A30" s="47"/>
      <c r="B30" s="47"/>
      <c r="C30" s="75" t="n">
        <v>0</v>
      </c>
      <c r="D30" s="47" t="n">
        <v>1</v>
      </c>
      <c r="E30" s="75" t="n">
        <f aca="false">C30*D30</f>
        <v>0</v>
      </c>
      <c r="F30" s="47" t="s">
        <v>78</v>
      </c>
      <c r="G30" s="47"/>
      <c r="H30" s="47"/>
      <c r="I30" s="47"/>
    </row>
    <row r="31" customFormat="false" ht="15" hidden="false" customHeight="false" outlineLevel="0" collapsed="false">
      <c r="A31" s="45"/>
      <c r="B31" s="45"/>
      <c r="C31" s="74" t="n">
        <v>0</v>
      </c>
      <c r="D31" s="45" t="n">
        <v>1</v>
      </c>
      <c r="E31" s="74" t="n">
        <f aca="false">C31*D31</f>
        <v>0</v>
      </c>
      <c r="F31" s="45" t="s">
        <v>78</v>
      </c>
      <c r="G31" s="45"/>
      <c r="H31" s="45"/>
      <c r="I31" s="45"/>
    </row>
    <row r="32" customFormat="false" ht="15" hidden="false" customHeight="false" outlineLevel="0" collapsed="false">
      <c r="A32" s="47"/>
      <c r="B32" s="47"/>
      <c r="C32" s="75" t="n">
        <v>0</v>
      </c>
      <c r="D32" s="47" t="n">
        <v>1</v>
      </c>
      <c r="E32" s="75" t="n">
        <f aca="false">C32*D32</f>
        <v>0</v>
      </c>
      <c r="F32" s="47" t="s">
        <v>78</v>
      </c>
      <c r="G32" s="47"/>
      <c r="H32" s="47"/>
      <c r="I32" s="47"/>
    </row>
    <row r="33" customFormat="false" ht="15" hidden="false" customHeight="false" outlineLevel="0" collapsed="false">
      <c r="A33" s="45"/>
      <c r="B33" s="45"/>
      <c r="C33" s="74" t="n">
        <v>0</v>
      </c>
      <c r="D33" s="45" t="n">
        <v>1</v>
      </c>
      <c r="E33" s="74" t="n">
        <f aca="false">C33*D33</f>
        <v>0</v>
      </c>
      <c r="F33" s="45" t="s">
        <v>78</v>
      </c>
      <c r="G33" s="45"/>
      <c r="H33" s="45"/>
      <c r="I33" s="45"/>
    </row>
    <row r="34" customFormat="false" ht="15" hidden="false" customHeight="false" outlineLevel="0" collapsed="false">
      <c r="A34" s="47"/>
      <c r="B34" s="47"/>
      <c r="C34" s="75" t="n">
        <v>0</v>
      </c>
      <c r="D34" s="47" t="n">
        <v>1</v>
      </c>
      <c r="E34" s="75" t="n">
        <f aca="false">C34*D34</f>
        <v>0</v>
      </c>
      <c r="F34" s="47" t="s">
        <v>78</v>
      </c>
      <c r="G34" s="47"/>
      <c r="H34" s="47"/>
      <c r="I34" s="47"/>
    </row>
    <row r="35" customFormat="false" ht="15" hidden="false" customHeight="false" outlineLevel="0" collapsed="false">
      <c r="A35" s="45"/>
      <c r="B35" s="45"/>
      <c r="C35" s="74" t="n">
        <v>0</v>
      </c>
      <c r="D35" s="45" t="n">
        <v>1</v>
      </c>
      <c r="E35" s="74" t="n">
        <f aca="false">C35*D35</f>
        <v>0</v>
      </c>
      <c r="F35" s="45" t="s">
        <v>78</v>
      </c>
      <c r="G35" s="45"/>
      <c r="H35" s="45"/>
      <c r="I35" s="45"/>
    </row>
    <row r="36" customFormat="false" ht="15" hidden="false" customHeight="false" outlineLevel="0" collapsed="false">
      <c r="A36" s="47"/>
      <c r="B36" s="47"/>
      <c r="C36" s="75" t="n">
        <v>0</v>
      </c>
      <c r="D36" s="47" t="n">
        <v>1</v>
      </c>
      <c r="E36" s="75" t="n">
        <f aca="false">C36*D36</f>
        <v>0</v>
      </c>
      <c r="F36" s="47" t="s">
        <v>78</v>
      </c>
      <c r="G36" s="47"/>
      <c r="H36" s="47"/>
      <c r="I36" s="47"/>
    </row>
  </sheetData>
  <mergeCells count="5">
    <mergeCell ref="A1:H1"/>
    <mergeCell ref="A3:C3"/>
    <mergeCell ref="D3:F3"/>
    <mergeCell ref="A4:C4"/>
    <mergeCell ref="D4:F4"/>
  </mergeCells>
  <conditionalFormatting sqref="F7:F36">
    <cfRule type="expression" priority="2" aboveAverage="0" equalAverage="0" bottom="0" percent="0" rank="0" text="" dxfId="4">
      <formula>EXACT(F7,"Delivered")</formula>
    </cfRule>
    <cfRule type="expression" priority="3" aboveAverage="0" equalAverage="0" bottom="0" percent="0" rank="0" text="" dxfId="1">
      <formula>EXACT(F7,"Not Started")</formula>
    </cfRule>
  </conditionalFormatting>
  <dataValidations count="1">
    <dataValidation allowBlank="true" errorStyle="stop" operator="between" showDropDown="false" showErrorMessage="false" showInputMessage="false" sqref="F7:F36" type="list">
      <formula1>FloralStatus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EFD6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68" t="s">
        <v>1465</v>
      </c>
      <c r="B1" s="68"/>
      <c r="C1" s="68"/>
      <c r="D1" s="68"/>
    </row>
    <row r="3" customFormat="false" ht="15" hidden="false" customHeight="false" outlineLevel="0" collapsed="false">
      <c r="A3" s="28" t="s">
        <v>1466</v>
      </c>
      <c r="B3" s="28"/>
      <c r="C3" s="28"/>
      <c r="D3" s="28"/>
    </row>
    <row r="4" customFormat="false" ht="19.5" hidden="false" customHeight="true" outlineLevel="0" collapsed="false">
      <c r="A4" s="44" t="s">
        <v>998</v>
      </c>
      <c r="B4" s="44" t="s">
        <v>1467</v>
      </c>
      <c r="C4" s="44" t="s">
        <v>1211</v>
      </c>
      <c r="D4" s="44" t="s">
        <v>1153</v>
      </c>
    </row>
    <row r="5" customFormat="false" ht="15" hidden="false" customHeight="false" outlineLevel="0" collapsed="false">
      <c r="A5" s="45"/>
      <c r="B5" s="45"/>
      <c r="C5" s="45"/>
      <c r="D5" s="45"/>
    </row>
    <row r="6" customFormat="false" ht="15" hidden="false" customHeight="false" outlineLevel="0" collapsed="false">
      <c r="A6" s="47"/>
      <c r="B6" s="47"/>
      <c r="C6" s="47"/>
      <c r="D6" s="47"/>
    </row>
    <row r="7" customFormat="false" ht="15" hidden="false" customHeight="false" outlineLevel="0" collapsed="false">
      <c r="A7" s="45"/>
      <c r="B7" s="45"/>
      <c r="C7" s="45"/>
      <c r="D7" s="45"/>
    </row>
    <row r="8" customFormat="false" ht="15" hidden="false" customHeight="false" outlineLevel="0" collapsed="false">
      <c r="A8" s="47"/>
      <c r="B8" s="47"/>
      <c r="C8" s="47"/>
      <c r="D8" s="47"/>
    </row>
    <row r="9" customFormat="false" ht="15" hidden="false" customHeight="false" outlineLevel="0" collapsed="false">
      <c r="A9" s="45"/>
      <c r="B9" s="45"/>
      <c r="C9" s="45"/>
      <c r="D9" s="45"/>
    </row>
    <row r="10" customFormat="false" ht="15" hidden="false" customHeight="false" outlineLevel="0" collapsed="false">
      <c r="A10" s="47"/>
      <c r="B10" s="47"/>
      <c r="C10" s="47"/>
      <c r="D10" s="47"/>
    </row>
    <row r="11" customFormat="false" ht="15" hidden="false" customHeight="false" outlineLevel="0" collapsed="false">
      <c r="A11" s="45"/>
      <c r="B11" s="45"/>
      <c r="C11" s="45"/>
      <c r="D11" s="45"/>
    </row>
    <row r="12" customFormat="false" ht="15" hidden="false" customHeight="false" outlineLevel="0" collapsed="false">
      <c r="A12" s="47"/>
      <c r="B12" s="47"/>
      <c r="C12" s="47"/>
      <c r="D12" s="47"/>
    </row>
    <row r="13" customFormat="false" ht="15" hidden="false" customHeight="false" outlineLevel="0" collapsed="false">
      <c r="A13" s="45"/>
      <c r="B13" s="45"/>
      <c r="C13" s="45"/>
      <c r="D13" s="45"/>
    </row>
    <row r="14" customFormat="false" ht="15" hidden="false" customHeight="false" outlineLevel="0" collapsed="false">
      <c r="A14" s="47"/>
      <c r="B14" s="47"/>
      <c r="C14" s="47"/>
      <c r="D14" s="47"/>
    </row>
    <row r="17" customFormat="false" ht="15" hidden="false" customHeight="false" outlineLevel="0" collapsed="false">
      <c r="A17" s="6" t="s">
        <v>1468</v>
      </c>
      <c r="B17" s="6"/>
      <c r="C17" s="6"/>
      <c r="D17" s="6"/>
      <c r="E17" s="6"/>
    </row>
    <row r="18" customFormat="false" ht="19.5" hidden="false" customHeight="true" outlineLevel="0" collapsed="false">
      <c r="A18" s="41" t="s">
        <v>1447</v>
      </c>
      <c r="B18" s="41" t="s">
        <v>998</v>
      </c>
      <c r="C18" s="41" t="s">
        <v>1467</v>
      </c>
      <c r="D18" s="41" t="s">
        <v>1211</v>
      </c>
      <c r="E18" s="41" t="s">
        <v>1153</v>
      </c>
    </row>
    <row r="19" customFormat="false" ht="15" hidden="false" customHeight="false" outlineLevel="0" collapsed="false">
      <c r="A19" s="45"/>
      <c r="B19" s="45"/>
      <c r="C19" s="45"/>
      <c r="D19" s="45"/>
      <c r="E19" s="45"/>
    </row>
    <row r="20" customFormat="false" ht="15" hidden="false" customHeight="false" outlineLevel="0" collapsed="false">
      <c r="A20" s="47"/>
      <c r="B20" s="47"/>
      <c r="C20" s="47"/>
      <c r="D20" s="47"/>
      <c r="E20" s="47"/>
    </row>
    <row r="21" customFormat="false" ht="15" hidden="false" customHeight="false" outlineLevel="0" collapsed="false">
      <c r="A21" s="45"/>
      <c r="B21" s="45"/>
      <c r="C21" s="45"/>
      <c r="D21" s="45"/>
      <c r="E21" s="45"/>
    </row>
    <row r="22" customFormat="false" ht="15" hidden="false" customHeight="false" outlineLevel="0" collapsed="false">
      <c r="A22" s="47"/>
      <c r="B22" s="47"/>
      <c r="C22" s="47"/>
      <c r="D22" s="47"/>
      <c r="E22" s="47"/>
    </row>
    <row r="23" customFormat="false" ht="15" hidden="false" customHeight="false" outlineLevel="0" collapsed="false">
      <c r="A23" s="45"/>
      <c r="B23" s="45"/>
      <c r="C23" s="45"/>
      <c r="D23" s="45"/>
      <c r="E23" s="45"/>
    </row>
    <row r="24" customFormat="false" ht="15" hidden="false" customHeight="false" outlineLevel="0" collapsed="false">
      <c r="A24" s="47"/>
      <c r="B24" s="47"/>
      <c r="C24" s="47"/>
      <c r="D24" s="47"/>
      <c r="E24" s="47"/>
    </row>
    <row r="25" customFormat="false" ht="15" hidden="false" customHeight="false" outlineLevel="0" collapsed="false">
      <c r="A25" s="45"/>
      <c r="B25" s="45"/>
      <c r="C25" s="45"/>
      <c r="D25" s="45"/>
      <c r="E25" s="45"/>
    </row>
    <row r="26" customFormat="false" ht="15" hidden="false" customHeight="false" outlineLevel="0" collapsed="false">
      <c r="A26" s="47"/>
      <c r="B26" s="47"/>
      <c r="C26" s="47"/>
      <c r="D26" s="47"/>
      <c r="E26" s="47"/>
    </row>
    <row r="27" customFormat="false" ht="15" hidden="false" customHeight="false" outlineLevel="0" collapsed="false">
      <c r="A27" s="45"/>
      <c r="B27" s="45"/>
      <c r="C27" s="45"/>
      <c r="D27" s="45"/>
      <c r="E27" s="45"/>
    </row>
    <row r="28" customFormat="false" ht="15" hidden="false" customHeight="false" outlineLevel="0" collapsed="false">
      <c r="A28" s="47"/>
      <c r="B28" s="47"/>
      <c r="C28" s="47"/>
      <c r="D28" s="47"/>
      <c r="E28" s="47"/>
    </row>
    <row r="29" customFormat="false" ht="15" hidden="false" customHeight="false" outlineLevel="0" collapsed="false">
      <c r="A29" s="45"/>
      <c r="B29" s="45"/>
      <c r="C29" s="45"/>
      <c r="D29" s="45"/>
      <c r="E29" s="45"/>
    </row>
    <row r="30" customFormat="false" ht="15" hidden="false" customHeight="false" outlineLevel="0" collapsed="false">
      <c r="A30" s="47"/>
      <c r="B30" s="47"/>
      <c r="C30" s="47"/>
      <c r="D30" s="47"/>
      <c r="E30" s="47"/>
    </row>
    <row r="31" customFormat="false" ht="15" hidden="false" customHeight="false" outlineLevel="0" collapsed="false">
      <c r="A31" s="45"/>
      <c r="B31" s="45"/>
      <c r="C31" s="45"/>
      <c r="D31" s="45"/>
      <c r="E31" s="45"/>
    </row>
    <row r="32" customFormat="false" ht="15" hidden="false" customHeight="false" outlineLevel="0" collapsed="false">
      <c r="A32" s="47"/>
      <c r="B32" s="47"/>
      <c r="C32" s="47"/>
      <c r="D32" s="47"/>
      <c r="E32" s="47"/>
    </row>
    <row r="33" customFormat="false" ht="15" hidden="false" customHeight="false" outlineLevel="0" collapsed="false">
      <c r="A33" s="45"/>
      <c r="B33" s="45"/>
      <c r="C33" s="45"/>
      <c r="D33" s="45"/>
      <c r="E33" s="45"/>
    </row>
  </sheetData>
  <mergeCells count="3">
    <mergeCell ref="A1:D1"/>
    <mergeCell ref="A3:D3"/>
    <mergeCell ref="A17:E17"/>
  </mergeCells>
  <dataValidations count="2">
    <dataValidation allowBlank="true" errorStyle="stop" operator="between" showDropDown="false" showErrorMessage="false" showInputMessage="false" sqref="C5:C14" type="list">
      <formula1>AttireCategory</formula1>
      <formula2>0</formula2>
    </dataValidation>
    <dataValidation allowBlank="true" errorStyle="stop" operator="between" showDropDown="false" showErrorMessage="false" showInputMessage="false" sqref="D19:D33" type="list">
      <formula1>AttireCategory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E6F0"/>
    <pageSetUpPr fitToPage="false"/>
  </sheetPr>
  <dimension ref="A1:E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7" topLeftCell="A3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5" min="4" style="0" width="20"/>
  </cols>
  <sheetData>
    <row r="1" customFormat="false" ht="27.75" hidden="false" customHeight="true" outlineLevel="0" collapsed="false">
      <c r="A1" s="102" t="s">
        <v>1469</v>
      </c>
      <c r="B1" s="102"/>
      <c r="C1" s="102"/>
      <c r="D1" s="102"/>
      <c r="E1" s="102"/>
    </row>
    <row r="3" customFormat="false" ht="15" hidden="false" customHeight="false" outlineLevel="0" collapsed="false">
      <c r="A3" s="28" t="s">
        <v>1470</v>
      </c>
      <c r="B3" s="28"/>
    </row>
    <row r="4" customFormat="false" ht="19.5" hidden="false" customHeight="true" outlineLevel="0" collapsed="false">
      <c r="A4" s="44" t="s">
        <v>1471</v>
      </c>
      <c r="B4" s="44" t="s">
        <v>1472</v>
      </c>
    </row>
    <row r="5" customFormat="false" ht="15" hidden="false" customHeight="false" outlineLevel="0" collapsed="false">
      <c r="A5" s="57" t="str">
        <f aca="false">IF('Guest List'!$F7="Yes",'Guest List'!$A7,"")</f>
        <v>Alex Johnson</v>
      </c>
      <c r="B5" s="57" t="str">
        <f aca="false">IF(A5="","",IF(COUNTIF(A38:A67,A5)&gt;0,"Yes","No"))</f>
        <v>No</v>
      </c>
    </row>
    <row r="6" customFormat="false" ht="15" hidden="false" customHeight="false" outlineLevel="0" collapsed="false">
      <c r="A6" s="57" t="str">
        <f aca="false">IF('Guest List'!$F8="Yes",'Guest List'!$A8,"")</f>
        <v/>
      </c>
      <c r="B6" s="57" t="str">
        <f aca="false">IF(A6="","",IF(COUNTIF(A38:A67,A6)&gt;0,"Yes","No"))</f>
        <v/>
      </c>
    </row>
    <row r="7" customFormat="false" ht="15" hidden="false" customHeight="false" outlineLevel="0" collapsed="false">
      <c r="A7" s="57" t="str">
        <f aca="false">IF('Guest List'!$F9="Yes",'Guest List'!$A9,"")</f>
        <v/>
      </c>
      <c r="B7" s="57" t="str">
        <f aca="false">IF(A7="","",IF(COUNTIF(A38:A67,A7)&gt;0,"Yes","No"))</f>
        <v/>
      </c>
    </row>
    <row r="8" customFormat="false" ht="15" hidden="false" customHeight="false" outlineLevel="0" collapsed="false">
      <c r="A8" s="57" t="str">
        <f aca="false">IF('Guest List'!$F10="Yes",'Guest List'!$A10,"")</f>
        <v>Morgan Kim</v>
      </c>
      <c r="B8" s="57" t="str">
        <f aca="false">IF(A8="","",IF(COUNTIF(A38:A67,A8)&gt;0,"Yes","No"))</f>
        <v>No</v>
      </c>
    </row>
    <row r="9" customFormat="false" ht="15" hidden="false" customHeight="false" outlineLevel="0" collapsed="false">
      <c r="A9" s="57" t="str">
        <f aca="false">IF('Guest List'!$F11="Yes",'Guest List'!$A11,"")</f>
        <v/>
      </c>
      <c r="B9" s="57" t="str">
        <f aca="false">IF(A9="","",IF(COUNTIF(A38:A67,A9)&gt;0,"Yes","No"))</f>
        <v/>
      </c>
    </row>
    <row r="10" customFormat="false" ht="15" hidden="false" customHeight="false" outlineLevel="0" collapsed="false">
      <c r="A10" s="57" t="str">
        <f aca="false">IF('Guest List'!$F12="Yes",'Guest List'!$A12,"")</f>
        <v/>
      </c>
      <c r="B10" s="57" t="str">
        <f aca="false">IF(A10="","",IF(COUNTIF(A38:A67,A10)&gt;0,"Yes","No"))</f>
        <v/>
      </c>
    </row>
    <row r="11" customFormat="false" ht="15" hidden="false" customHeight="false" outlineLevel="0" collapsed="false">
      <c r="A11" s="57" t="str">
        <f aca="false">IF('Guest List'!$F13="Yes",'Guest List'!$A13,"")</f>
        <v/>
      </c>
      <c r="B11" s="57" t="str">
        <f aca="false">IF(A11="","",IF(COUNTIF(A38:A67,A11)&gt;0,"Yes","No"))</f>
        <v/>
      </c>
    </row>
    <row r="12" customFormat="false" ht="15" hidden="false" customHeight="false" outlineLevel="0" collapsed="false">
      <c r="A12" s="57" t="str">
        <f aca="false">IF('Guest List'!$F14="Yes",'Guest List'!$A14,"")</f>
        <v/>
      </c>
      <c r="B12" s="57" t="str">
        <f aca="false">IF(A12="","",IF(COUNTIF(A38:A67,A12)&gt;0,"Yes","No"))</f>
        <v/>
      </c>
    </row>
    <row r="13" customFormat="false" ht="15" hidden="false" customHeight="false" outlineLevel="0" collapsed="false">
      <c r="A13" s="57" t="str">
        <f aca="false">IF('Guest List'!$F15="Yes",'Guest List'!$A15,"")</f>
        <v/>
      </c>
      <c r="B13" s="57" t="str">
        <f aca="false">IF(A13="","",IF(COUNTIF(A38:A67,A13)&gt;0,"Yes","No"))</f>
        <v/>
      </c>
    </row>
    <row r="14" customFormat="false" ht="15" hidden="false" customHeight="false" outlineLevel="0" collapsed="false">
      <c r="A14" s="57" t="str">
        <f aca="false">IF('Guest List'!$F16="Yes",'Guest List'!$A16,"")</f>
        <v/>
      </c>
      <c r="B14" s="57" t="str">
        <f aca="false">IF(A14="","",IF(COUNTIF(A38:A67,A14)&gt;0,"Yes","No"))</f>
        <v/>
      </c>
    </row>
    <row r="15" customFormat="false" ht="15" hidden="false" customHeight="false" outlineLevel="0" collapsed="false">
      <c r="A15" s="57" t="str">
        <f aca="false">IF('Guest List'!$F17="Yes",'Guest List'!$A17,"")</f>
        <v/>
      </c>
      <c r="B15" s="57" t="str">
        <f aca="false">IF(A15="","",IF(COUNTIF(A38:A67,A15)&gt;0,"Yes","No"))</f>
        <v/>
      </c>
    </row>
    <row r="16" customFormat="false" ht="15" hidden="false" customHeight="false" outlineLevel="0" collapsed="false">
      <c r="A16" s="57" t="str">
        <f aca="false">IF('Guest List'!$F18="Yes",'Guest List'!$A18,"")</f>
        <v/>
      </c>
      <c r="B16" s="57" t="str">
        <f aca="false">IF(A16="","",IF(COUNTIF(A38:A67,A16)&gt;0,"Yes","No"))</f>
        <v/>
      </c>
    </row>
    <row r="17" customFormat="false" ht="15" hidden="false" customHeight="false" outlineLevel="0" collapsed="false">
      <c r="A17" s="57" t="str">
        <f aca="false">IF('Guest List'!$F19="Yes",'Guest List'!$A19,"")</f>
        <v/>
      </c>
      <c r="B17" s="57" t="str">
        <f aca="false">IF(A17="","",IF(COUNTIF(A38:A67,A17)&gt;0,"Yes","No"))</f>
        <v/>
      </c>
    </row>
    <row r="18" customFormat="false" ht="15" hidden="false" customHeight="false" outlineLevel="0" collapsed="false">
      <c r="A18" s="57" t="str">
        <f aca="false">IF('Guest List'!$F20="Yes",'Guest List'!$A20,"")</f>
        <v/>
      </c>
      <c r="B18" s="57" t="str">
        <f aca="false">IF(A18="","",IF(COUNTIF(A38:A67,A18)&gt;0,"Yes","No"))</f>
        <v/>
      </c>
    </row>
    <row r="19" customFormat="false" ht="15" hidden="false" customHeight="false" outlineLevel="0" collapsed="false">
      <c r="A19" s="57" t="str">
        <f aca="false">IF('Guest List'!$F21="Yes",'Guest List'!$A21,"")</f>
        <v/>
      </c>
      <c r="B19" s="57" t="str">
        <f aca="false">IF(A19="","",IF(COUNTIF(A38:A67,A19)&gt;0,"Yes","No"))</f>
        <v/>
      </c>
    </row>
    <row r="20" customFormat="false" ht="15" hidden="false" customHeight="false" outlineLevel="0" collapsed="false">
      <c r="A20" s="57" t="str">
        <f aca="false">IF('Guest List'!$F22="Yes",'Guest List'!$A22,"")</f>
        <v/>
      </c>
      <c r="B20" s="57" t="str">
        <f aca="false">IF(A20="","",IF(COUNTIF(A38:A67,A20)&gt;0,"Yes","No"))</f>
        <v/>
      </c>
    </row>
    <row r="21" customFormat="false" ht="15" hidden="false" customHeight="false" outlineLevel="0" collapsed="false">
      <c r="A21" s="57" t="str">
        <f aca="false">IF('Guest List'!$F23="Yes",'Guest List'!$A23,"")</f>
        <v/>
      </c>
      <c r="B21" s="57" t="str">
        <f aca="false">IF(A21="","",IF(COUNTIF(A38:A67,A21)&gt;0,"Yes","No"))</f>
        <v/>
      </c>
    </row>
    <row r="22" customFormat="false" ht="15" hidden="false" customHeight="false" outlineLevel="0" collapsed="false">
      <c r="A22" s="57" t="str">
        <f aca="false">IF('Guest List'!$F24="Yes",'Guest List'!$A24,"")</f>
        <v/>
      </c>
      <c r="B22" s="57" t="str">
        <f aca="false">IF(A22="","",IF(COUNTIF(A38:A67,A22)&gt;0,"Yes","No"))</f>
        <v/>
      </c>
    </row>
    <row r="23" customFormat="false" ht="15" hidden="false" customHeight="false" outlineLevel="0" collapsed="false">
      <c r="A23" s="57" t="str">
        <f aca="false">IF('Guest List'!$F25="Yes",'Guest List'!$A25,"")</f>
        <v/>
      </c>
      <c r="B23" s="57" t="str">
        <f aca="false">IF(A23="","",IF(COUNTIF(A38:A67,A23)&gt;0,"Yes","No"))</f>
        <v/>
      </c>
    </row>
    <row r="24" customFormat="false" ht="15" hidden="false" customHeight="false" outlineLevel="0" collapsed="false">
      <c r="A24" s="57" t="str">
        <f aca="false">IF('Guest List'!$F26="Yes",'Guest List'!$A26,"")</f>
        <v/>
      </c>
      <c r="B24" s="57" t="str">
        <f aca="false">IF(A24="","",IF(COUNTIF(A38:A67,A24)&gt;0,"Yes","No"))</f>
        <v/>
      </c>
    </row>
    <row r="25" customFormat="false" ht="15" hidden="false" customHeight="false" outlineLevel="0" collapsed="false">
      <c r="A25" s="57" t="str">
        <f aca="false">IF('Guest List'!$F27="Yes",'Guest List'!$A27,"")</f>
        <v/>
      </c>
      <c r="B25" s="57" t="str">
        <f aca="false">IF(A25="","",IF(COUNTIF(A38:A67,A25)&gt;0,"Yes","No"))</f>
        <v/>
      </c>
    </row>
    <row r="26" customFormat="false" ht="15" hidden="false" customHeight="false" outlineLevel="0" collapsed="false">
      <c r="A26" s="57" t="str">
        <f aca="false">IF('Guest List'!$F28="Yes",'Guest List'!$A28,"")</f>
        <v/>
      </c>
      <c r="B26" s="57" t="str">
        <f aca="false">IF(A26="","",IF(COUNTIF(A38:A67,A26)&gt;0,"Yes","No"))</f>
        <v/>
      </c>
    </row>
    <row r="27" customFormat="false" ht="15" hidden="false" customHeight="false" outlineLevel="0" collapsed="false">
      <c r="A27" s="57" t="str">
        <f aca="false">IF('Guest List'!$F29="Yes",'Guest List'!$A29,"")</f>
        <v/>
      </c>
      <c r="B27" s="57" t="str">
        <f aca="false">IF(A27="","",IF(COUNTIF(A38:A67,A27)&gt;0,"Yes","No"))</f>
        <v/>
      </c>
    </row>
    <row r="28" customFormat="false" ht="15" hidden="false" customHeight="false" outlineLevel="0" collapsed="false">
      <c r="A28" s="57" t="str">
        <f aca="false">IF('Guest List'!$F30="Yes",'Guest List'!$A30,"")</f>
        <v/>
      </c>
      <c r="B28" s="57" t="str">
        <f aca="false">IF(A28="","",IF(COUNTIF(A38:A67,A28)&gt;0,"Yes","No"))</f>
        <v/>
      </c>
    </row>
    <row r="29" customFormat="false" ht="15" hidden="false" customHeight="false" outlineLevel="0" collapsed="false">
      <c r="A29" s="57" t="str">
        <f aca="false">IF('Guest List'!$F31="Yes",'Guest List'!$A31,"")</f>
        <v/>
      </c>
      <c r="B29" s="57" t="str">
        <f aca="false">IF(A29="","",IF(COUNTIF(A38:A67,A29)&gt;0,"Yes","No"))</f>
        <v/>
      </c>
    </row>
    <row r="30" customFormat="false" ht="15" hidden="false" customHeight="false" outlineLevel="0" collapsed="false">
      <c r="A30" s="57" t="str">
        <f aca="false">IF('Guest List'!$F32="Yes",'Guest List'!$A32,"")</f>
        <v/>
      </c>
      <c r="B30" s="57" t="str">
        <f aca="false">IF(A30="","",IF(COUNTIF(A38:A67,A30)&gt;0,"Yes","No"))</f>
        <v/>
      </c>
    </row>
    <row r="31" customFormat="false" ht="15" hidden="false" customHeight="false" outlineLevel="0" collapsed="false">
      <c r="A31" s="57" t="str">
        <f aca="false">IF('Guest List'!$F33="Yes",'Guest List'!$A33,"")</f>
        <v/>
      </c>
      <c r="B31" s="57" t="str">
        <f aca="false">IF(A31="","",IF(COUNTIF(A38:A67,A31)&gt;0,"Yes","No"))</f>
        <v/>
      </c>
    </row>
    <row r="32" customFormat="false" ht="15" hidden="false" customHeight="false" outlineLevel="0" collapsed="false">
      <c r="A32" s="57" t="str">
        <f aca="false">IF('Guest List'!$F34="Yes",'Guest List'!$A34,"")</f>
        <v/>
      </c>
      <c r="B32" s="57" t="str">
        <f aca="false">IF(A32="","",IF(COUNTIF(A38:A67,A32)&gt;0,"Yes","No"))</f>
        <v/>
      </c>
    </row>
    <row r="33" customFormat="false" ht="15" hidden="false" customHeight="false" outlineLevel="0" collapsed="false">
      <c r="A33" s="57" t="str">
        <f aca="false">IF('Guest List'!$F35="Yes",'Guest List'!$A35,"")</f>
        <v/>
      </c>
      <c r="B33" s="57" t="str">
        <f aca="false">IF(A33="","",IF(COUNTIF(A38:A67,A33)&gt;0,"Yes","No"))</f>
        <v/>
      </c>
    </row>
    <row r="34" customFormat="false" ht="15" hidden="false" customHeight="false" outlineLevel="0" collapsed="false">
      <c r="A34" s="57" t="str">
        <f aca="false">IF('Guest List'!$F36="Yes",'Guest List'!$A36,"")</f>
        <v/>
      </c>
      <c r="B34" s="57" t="str">
        <f aca="false">IF(A34="","",IF(COUNTIF(A38:A67,A34)&gt;0,"Yes","No"))</f>
        <v/>
      </c>
    </row>
    <row r="36" customFormat="false" ht="15" hidden="false" customHeight="false" outlineLevel="0" collapsed="false">
      <c r="A36" s="6" t="s">
        <v>1473</v>
      </c>
      <c r="B36" s="6"/>
      <c r="C36" s="6"/>
      <c r="D36" s="6"/>
      <c r="E36" s="6"/>
    </row>
    <row r="37" customFormat="false" ht="19.5" hidden="false" customHeight="true" outlineLevel="0" collapsed="false">
      <c r="A37" s="41" t="s">
        <v>1474</v>
      </c>
      <c r="B37" s="41" t="s">
        <v>1475</v>
      </c>
      <c r="C37" s="41" t="s">
        <v>1476</v>
      </c>
      <c r="D37" s="41" t="s">
        <v>1477</v>
      </c>
      <c r="E37" s="41" t="s">
        <v>1478</v>
      </c>
    </row>
    <row r="38" customFormat="false" ht="15" hidden="false" customHeight="false" outlineLevel="0" collapsed="false">
      <c r="A38" s="45"/>
      <c r="B38" s="45"/>
      <c r="C38" s="45"/>
      <c r="D38" s="103"/>
      <c r="E38" s="103"/>
    </row>
    <row r="39" customFormat="false" ht="15" hidden="false" customHeight="false" outlineLevel="0" collapsed="false">
      <c r="A39" s="47"/>
      <c r="B39" s="47"/>
      <c r="C39" s="47"/>
      <c r="D39" s="104"/>
      <c r="E39" s="104"/>
    </row>
    <row r="40" customFormat="false" ht="15" hidden="false" customHeight="false" outlineLevel="0" collapsed="false">
      <c r="A40" s="45"/>
      <c r="B40" s="45"/>
      <c r="C40" s="45"/>
      <c r="D40" s="103"/>
      <c r="E40" s="103"/>
    </row>
    <row r="41" customFormat="false" ht="15" hidden="false" customHeight="false" outlineLevel="0" collapsed="false">
      <c r="A41" s="47"/>
      <c r="B41" s="47"/>
      <c r="C41" s="47"/>
      <c r="D41" s="104"/>
      <c r="E41" s="104"/>
    </row>
    <row r="42" customFormat="false" ht="15" hidden="false" customHeight="false" outlineLevel="0" collapsed="false">
      <c r="A42" s="45"/>
      <c r="B42" s="45"/>
      <c r="C42" s="45"/>
      <c r="D42" s="103"/>
      <c r="E42" s="103"/>
    </row>
    <row r="43" customFormat="false" ht="15" hidden="false" customHeight="false" outlineLevel="0" collapsed="false">
      <c r="A43" s="47"/>
      <c r="B43" s="47"/>
      <c r="C43" s="47"/>
      <c r="D43" s="104"/>
      <c r="E43" s="104"/>
    </row>
    <row r="44" customFormat="false" ht="15" hidden="false" customHeight="false" outlineLevel="0" collapsed="false">
      <c r="A44" s="45"/>
      <c r="B44" s="45"/>
      <c r="C44" s="45"/>
      <c r="D44" s="103"/>
      <c r="E44" s="103"/>
    </row>
    <row r="45" customFormat="false" ht="15" hidden="false" customHeight="false" outlineLevel="0" collapsed="false">
      <c r="A45" s="47"/>
      <c r="B45" s="47"/>
      <c r="C45" s="47"/>
      <c r="D45" s="104"/>
      <c r="E45" s="104"/>
    </row>
    <row r="46" customFormat="false" ht="15" hidden="false" customHeight="false" outlineLevel="0" collapsed="false">
      <c r="A46" s="45"/>
      <c r="B46" s="45"/>
      <c r="C46" s="45"/>
      <c r="D46" s="103"/>
      <c r="E46" s="103"/>
    </row>
    <row r="47" customFormat="false" ht="15" hidden="false" customHeight="false" outlineLevel="0" collapsed="false">
      <c r="A47" s="47"/>
      <c r="B47" s="47"/>
      <c r="C47" s="47"/>
      <c r="D47" s="104"/>
      <c r="E47" s="104"/>
    </row>
    <row r="48" customFormat="false" ht="15" hidden="false" customHeight="false" outlineLevel="0" collapsed="false">
      <c r="A48" s="45"/>
      <c r="B48" s="45"/>
      <c r="C48" s="45"/>
      <c r="D48" s="103"/>
      <c r="E48" s="103"/>
    </row>
    <row r="49" customFormat="false" ht="15" hidden="false" customHeight="false" outlineLevel="0" collapsed="false">
      <c r="A49" s="47"/>
      <c r="B49" s="47"/>
      <c r="C49" s="47"/>
      <c r="D49" s="104"/>
      <c r="E49" s="104"/>
    </row>
    <row r="50" customFormat="false" ht="15" hidden="false" customHeight="false" outlineLevel="0" collapsed="false">
      <c r="A50" s="45"/>
      <c r="B50" s="45"/>
      <c r="C50" s="45"/>
      <c r="D50" s="103"/>
      <c r="E50" s="103"/>
    </row>
    <row r="51" customFormat="false" ht="15" hidden="false" customHeight="false" outlineLevel="0" collapsed="false">
      <c r="A51" s="47"/>
      <c r="B51" s="47"/>
      <c r="C51" s="47"/>
      <c r="D51" s="104"/>
      <c r="E51" s="104"/>
    </row>
    <row r="52" customFormat="false" ht="15" hidden="false" customHeight="false" outlineLevel="0" collapsed="false">
      <c r="A52" s="45"/>
      <c r="B52" s="45"/>
      <c r="C52" s="45"/>
      <c r="D52" s="103"/>
      <c r="E52" s="103"/>
    </row>
    <row r="53" customFormat="false" ht="15" hidden="false" customHeight="false" outlineLevel="0" collapsed="false">
      <c r="A53" s="47"/>
      <c r="B53" s="47"/>
      <c r="C53" s="47"/>
      <c r="D53" s="104"/>
      <c r="E53" s="104"/>
    </row>
    <row r="54" customFormat="false" ht="15" hidden="false" customHeight="false" outlineLevel="0" collapsed="false">
      <c r="A54" s="45"/>
      <c r="B54" s="45"/>
      <c r="C54" s="45"/>
      <c r="D54" s="103"/>
      <c r="E54" s="103"/>
    </row>
    <row r="55" customFormat="false" ht="15" hidden="false" customHeight="false" outlineLevel="0" collapsed="false">
      <c r="A55" s="47"/>
      <c r="B55" s="47"/>
      <c r="C55" s="47"/>
      <c r="D55" s="104"/>
      <c r="E55" s="104"/>
    </row>
    <row r="56" customFormat="false" ht="15" hidden="false" customHeight="false" outlineLevel="0" collapsed="false">
      <c r="A56" s="45"/>
      <c r="B56" s="45"/>
      <c r="C56" s="45"/>
      <c r="D56" s="103"/>
      <c r="E56" s="103"/>
    </row>
    <row r="57" customFormat="false" ht="15" hidden="false" customHeight="false" outlineLevel="0" collapsed="false">
      <c r="A57" s="47"/>
      <c r="B57" s="47"/>
      <c r="C57" s="47"/>
      <c r="D57" s="104"/>
      <c r="E57" s="104"/>
    </row>
    <row r="58" customFormat="false" ht="15" hidden="false" customHeight="false" outlineLevel="0" collapsed="false">
      <c r="A58" s="45"/>
      <c r="B58" s="45"/>
      <c r="C58" s="45"/>
      <c r="D58" s="103"/>
      <c r="E58" s="103"/>
    </row>
    <row r="59" customFormat="false" ht="15" hidden="false" customHeight="false" outlineLevel="0" collapsed="false">
      <c r="A59" s="47"/>
      <c r="B59" s="47"/>
      <c r="C59" s="47"/>
      <c r="D59" s="104"/>
      <c r="E59" s="104"/>
    </row>
    <row r="60" customFormat="false" ht="15" hidden="false" customHeight="false" outlineLevel="0" collapsed="false">
      <c r="A60" s="45"/>
      <c r="B60" s="45"/>
      <c r="C60" s="45"/>
      <c r="D60" s="103"/>
      <c r="E60" s="103"/>
    </row>
    <row r="61" customFormat="false" ht="15" hidden="false" customHeight="false" outlineLevel="0" collapsed="false">
      <c r="A61" s="47"/>
      <c r="B61" s="47"/>
      <c r="C61" s="47"/>
      <c r="D61" s="104"/>
      <c r="E61" s="104"/>
    </row>
    <row r="62" customFormat="false" ht="15" hidden="false" customHeight="false" outlineLevel="0" collapsed="false">
      <c r="A62" s="45"/>
      <c r="B62" s="45"/>
      <c r="C62" s="45"/>
      <c r="D62" s="103"/>
      <c r="E62" s="103"/>
    </row>
    <row r="63" customFormat="false" ht="15" hidden="false" customHeight="false" outlineLevel="0" collapsed="false">
      <c r="A63" s="47"/>
      <c r="B63" s="47"/>
      <c r="C63" s="47"/>
      <c r="D63" s="104"/>
      <c r="E63" s="104"/>
    </row>
    <row r="64" customFormat="false" ht="15" hidden="false" customHeight="false" outlineLevel="0" collapsed="false">
      <c r="A64" s="45"/>
      <c r="B64" s="45"/>
      <c r="C64" s="45"/>
      <c r="D64" s="103"/>
      <c r="E64" s="103"/>
    </row>
    <row r="65" customFormat="false" ht="15" hidden="false" customHeight="false" outlineLevel="0" collapsed="false">
      <c r="A65" s="47"/>
      <c r="B65" s="47"/>
      <c r="C65" s="47"/>
      <c r="D65" s="104"/>
      <c r="E65" s="104"/>
    </row>
    <row r="66" customFormat="false" ht="15" hidden="false" customHeight="false" outlineLevel="0" collapsed="false">
      <c r="A66" s="45"/>
      <c r="B66" s="45"/>
      <c r="C66" s="45"/>
      <c r="D66" s="103"/>
      <c r="E66" s="103"/>
    </row>
    <row r="67" customFormat="false" ht="15" hidden="false" customHeight="false" outlineLevel="0" collapsed="false">
      <c r="A67" s="47"/>
      <c r="B67" s="47"/>
      <c r="C67" s="47"/>
      <c r="D67" s="104"/>
      <c r="E67" s="104"/>
    </row>
  </sheetData>
  <mergeCells count="3">
    <mergeCell ref="A1:E1"/>
    <mergeCell ref="A3:B3"/>
    <mergeCell ref="A36:E36"/>
  </mergeCells>
  <conditionalFormatting sqref="B5:B34">
    <cfRule type="expression" priority="2" aboveAverage="0" equalAverage="0" bottom="0" percent="0" rank="0" text="" dxfId="1">
      <formula>EXACT(B5,"No")</formula>
    </cfRule>
  </conditionalFormatting>
  <dataValidations count="1">
    <dataValidation allowBlank="true" errorStyle="stop" operator="between" showDropDown="false" showErrorMessage="false" showInputMessage="false" sqref="B38:B67" type="list">
      <formula1>AccommodationList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8D8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05" t="s">
        <v>1479</v>
      </c>
      <c r="B1" s="105"/>
      <c r="C1" s="105"/>
      <c r="D1" s="105"/>
      <c r="E1" s="105"/>
      <c r="F1" s="105"/>
      <c r="G1" s="105"/>
      <c r="H1" s="105"/>
    </row>
    <row r="3" customFormat="false" ht="19.5" hidden="false" customHeight="true" outlineLevel="0" collapsed="false">
      <c r="A3" s="64" t="s">
        <v>1480</v>
      </c>
      <c r="B3" s="64" t="s">
        <v>1232</v>
      </c>
      <c r="C3" s="64" t="s">
        <v>1481</v>
      </c>
      <c r="D3" s="64" t="s">
        <v>1482</v>
      </c>
      <c r="E3" s="64" t="s">
        <v>1483</v>
      </c>
      <c r="F3" s="64" t="s">
        <v>1484</v>
      </c>
      <c r="G3" s="64" t="s">
        <v>1485</v>
      </c>
      <c r="H3" s="64" t="s">
        <v>1153</v>
      </c>
    </row>
    <row r="4" customFormat="false" ht="15" hidden="false" customHeight="false" outlineLevel="0" collapsed="false">
      <c r="A4" s="45"/>
      <c r="B4" s="45"/>
      <c r="C4" s="45"/>
      <c r="D4" s="45"/>
      <c r="E4" s="45"/>
      <c r="F4" s="46"/>
      <c r="G4" s="106"/>
      <c r="H4" s="45"/>
    </row>
    <row r="5" customFormat="false" ht="15" hidden="false" customHeight="false" outlineLevel="0" collapsed="false">
      <c r="A5" s="47"/>
      <c r="B5" s="47"/>
      <c r="C5" s="47"/>
      <c r="D5" s="47"/>
      <c r="E5" s="47"/>
      <c r="F5" s="48"/>
      <c r="G5" s="107"/>
      <c r="H5" s="47"/>
    </row>
    <row r="6" customFormat="false" ht="15" hidden="false" customHeight="false" outlineLevel="0" collapsed="false">
      <c r="A6" s="45"/>
      <c r="B6" s="45"/>
      <c r="C6" s="45"/>
      <c r="D6" s="45"/>
      <c r="E6" s="45"/>
      <c r="F6" s="46"/>
      <c r="G6" s="106"/>
      <c r="H6" s="45"/>
    </row>
    <row r="7" customFormat="false" ht="15" hidden="false" customHeight="false" outlineLevel="0" collapsed="false">
      <c r="A7" s="47"/>
      <c r="B7" s="47"/>
      <c r="C7" s="47"/>
      <c r="D7" s="47"/>
      <c r="E7" s="47"/>
      <c r="F7" s="48"/>
      <c r="G7" s="107"/>
      <c r="H7" s="47"/>
    </row>
    <row r="8" customFormat="false" ht="15" hidden="false" customHeight="false" outlineLevel="0" collapsed="false">
      <c r="A8" s="45"/>
      <c r="B8" s="45"/>
      <c r="C8" s="45"/>
      <c r="D8" s="45"/>
      <c r="E8" s="45"/>
      <c r="F8" s="46"/>
      <c r="G8" s="106"/>
      <c r="H8" s="45"/>
    </row>
    <row r="9" customFormat="false" ht="15" hidden="false" customHeight="false" outlineLevel="0" collapsed="false">
      <c r="A9" s="47"/>
      <c r="B9" s="47"/>
      <c r="C9" s="47"/>
      <c r="D9" s="47"/>
      <c r="E9" s="47"/>
      <c r="F9" s="48"/>
      <c r="G9" s="107"/>
      <c r="H9" s="47"/>
    </row>
    <row r="10" customFormat="false" ht="15" hidden="false" customHeight="false" outlineLevel="0" collapsed="false">
      <c r="A10" s="45"/>
      <c r="B10" s="45"/>
      <c r="C10" s="45"/>
      <c r="D10" s="45"/>
      <c r="E10" s="45"/>
      <c r="F10" s="46"/>
      <c r="G10" s="106"/>
      <c r="H10" s="45"/>
    </row>
    <row r="11" customFormat="false" ht="15" hidden="false" customHeight="false" outlineLevel="0" collapsed="false">
      <c r="A11" s="47"/>
      <c r="B11" s="47"/>
      <c r="C11" s="47"/>
      <c r="D11" s="47"/>
      <c r="E11" s="47"/>
      <c r="F11" s="48"/>
      <c r="G11" s="107"/>
      <c r="H11" s="47"/>
    </row>
    <row r="12" customFormat="false" ht="15" hidden="false" customHeight="false" outlineLevel="0" collapsed="false">
      <c r="A12" s="45"/>
      <c r="B12" s="45"/>
      <c r="C12" s="45"/>
      <c r="D12" s="45"/>
      <c r="E12" s="45"/>
      <c r="F12" s="46"/>
      <c r="G12" s="106"/>
      <c r="H12" s="45"/>
    </row>
    <row r="13" customFormat="false" ht="15" hidden="false" customHeight="false" outlineLevel="0" collapsed="false">
      <c r="A13" s="47"/>
      <c r="B13" s="47"/>
      <c r="C13" s="47"/>
      <c r="D13" s="47"/>
      <c r="E13" s="47"/>
      <c r="F13" s="48"/>
      <c r="G13" s="107"/>
      <c r="H13" s="47"/>
    </row>
    <row r="14" customFormat="false" ht="15" hidden="false" customHeight="false" outlineLevel="0" collapsed="false">
      <c r="A14" s="45"/>
      <c r="B14" s="45"/>
      <c r="C14" s="45"/>
      <c r="D14" s="45"/>
      <c r="E14" s="45"/>
      <c r="F14" s="46"/>
      <c r="G14" s="106"/>
      <c r="H14" s="45"/>
    </row>
    <row r="15" customFormat="false" ht="15" hidden="false" customHeight="false" outlineLevel="0" collapsed="false">
      <c r="A15" s="47"/>
      <c r="B15" s="47"/>
      <c r="C15" s="47"/>
      <c r="D15" s="47"/>
      <c r="E15" s="47"/>
      <c r="F15" s="48"/>
      <c r="G15" s="107"/>
      <c r="H15" s="47"/>
    </row>
    <row r="16" customFormat="false" ht="15" hidden="false" customHeight="false" outlineLevel="0" collapsed="false">
      <c r="A16" s="45"/>
      <c r="B16" s="45"/>
      <c r="C16" s="45"/>
      <c r="D16" s="45"/>
      <c r="E16" s="45"/>
      <c r="F16" s="46"/>
      <c r="G16" s="106"/>
      <c r="H16" s="45"/>
    </row>
    <row r="17" customFormat="false" ht="15" hidden="false" customHeight="false" outlineLevel="0" collapsed="false">
      <c r="A17" s="47"/>
      <c r="B17" s="47"/>
      <c r="C17" s="47"/>
      <c r="D17" s="47"/>
      <c r="E17" s="47"/>
      <c r="F17" s="48"/>
      <c r="G17" s="107"/>
      <c r="H17" s="47"/>
    </row>
    <row r="18" customFormat="false" ht="15" hidden="false" customHeight="false" outlineLevel="0" collapsed="false">
      <c r="A18" s="45"/>
      <c r="B18" s="45"/>
      <c r="C18" s="45"/>
      <c r="D18" s="45"/>
      <c r="E18" s="45"/>
      <c r="F18" s="46"/>
      <c r="G18" s="106"/>
      <c r="H18" s="45"/>
    </row>
    <row r="19" customFormat="false" ht="15" hidden="false" customHeight="false" outlineLevel="0" collapsed="false">
      <c r="A19" s="47"/>
      <c r="B19" s="47"/>
      <c r="C19" s="47"/>
      <c r="D19" s="47"/>
      <c r="E19" s="47"/>
      <c r="F19" s="48"/>
      <c r="G19" s="107"/>
      <c r="H19" s="47"/>
    </row>
    <row r="20" customFormat="false" ht="15" hidden="false" customHeight="false" outlineLevel="0" collapsed="false">
      <c r="A20" s="45"/>
      <c r="B20" s="45"/>
      <c r="C20" s="45"/>
      <c r="D20" s="45"/>
      <c r="E20" s="45"/>
      <c r="F20" s="46"/>
      <c r="G20" s="106"/>
      <c r="H20" s="45"/>
    </row>
    <row r="21" customFormat="false" ht="15" hidden="false" customHeight="false" outlineLevel="0" collapsed="false">
      <c r="A21" s="47"/>
      <c r="B21" s="47"/>
      <c r="C21" s="47"/>
      <c r="D21" s="47"/>
      <c r="E21" s="47"/>
      <c r="F21" s="48"/>
      <c r="G21" s="107"/>
      <c r="H21" s="47"/>
    </row>
    <row r="22" customFormat="false" ht="15" hidden="false" customHeight="false" outlineLevel="0" collapsed="false">
      <c r="A22" s="45"/>
      <c r="B22" s="45"/>
      <c r="C22" s="45"/>
      <c r="D22" s="45"/>
      <c r="E22" s="45"/>
      <c r="F22" s="46"/>
      <c r="G22" s="106"/>
      <c r="H22" s="45"/>
    </row>
    <row r="23" customFormat="false" ht="15" hidden="false" customHeight="false" outlineLevel="0" collapsed="false">
      <c r="A23" s="47"/>
      <c r="B23" s="47"/>
      <c r="C23" s="47"/>
      <c r="D23" s="47"/>
      <c r="E23" s="47"/>
      <c r="F23" s="48"/>
      <c r="G23" s="107"/>
      <c r="H23" s="47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B4:B23" type="list">
      <formula1>VendorCategory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EFD6"/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10" min="8" style="0" width="14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08" t="s">
        <v>1486</v>
      </c>
      <c r="B1" s="108"/>
      <c r="C1" s="108"/>
      <c r="D1" s="108"/>
      <c r="E1" s="108"/>
      <c r="F1" s="108"/>
      <c r="G1" s="108"/>
      <c r="H1" s="108"/>
      <c r="I1" s="108"/>
      <c r="J1" s="108"/>
    </row>
    <row r="3" customFormat="false" ht="15" hidden="false" customHeight="false" outlineLevel="0" collapsed="false">
      <c r="A3" s="25" t="s">
        <v>1487</v>
      </c>
      <c r="B3" s="25"/>
      <c r="M3" s="16" t="s">
        <v>1488</v>
      </c>
      <c r="N3" s="16" t="s">
        <v>77</v>
      </c>
    </row>
    <row r="4" customFormat="false" ht="18.55" hidden="false" customHeight="false" outlineLevel="0" collapsed="false">
      <c r="A4" s="92" t="n">
        <f aca="false">IFERROR(COUNTIF(F7:F26,TRUE())/COUNTA(B7:B26),0)</f>
        <v>0</v>
      </c>
      <c r="B4" s="92"/>
      <c r="M4" s="17" t="s">
        <v>78</v>
      </c>
      <c r="N4" s="17" t="n">
        <f aca="false">COUNTIF($D$7:$D$26,M4)</f>
        <v>20</v>
      </c>
    </row>
    <row r="5" customFormat="false" ht="15" hidden="false" customHeight="false" outlineLevel="0" collapsed="false">
      <c r="M5" s="0" t="s">
        <v>1489</v>
      </c>
      <c r="N5" s="0" t="n">
        <f aca="false">COUNTIF($D$7:$D$26,M5)</f>
        <v>0</v>
      </c>
    </row>
    <row r="6" customFormat="false" ht="19.5" hidden="false" customHeight="true" outlineLevel="0" collapsed="false">
      <c r="A6" s="44" t="s">
        <v>1211</v>
      </c>
      <c r="B6" s="44" t="s">
        <v>1490</v>
      </c>
      <c r="C6" s="44" t="s">
        <v>1446</v>
      </c>
      <c r="D6" s="44" t="s">
        <v>1488</v>
      </c>
      <c r="E6" s="44" t="s">
        <v>1491</v>
      </c>
      <c r="F6" s="44" t="s">
        <v>1492</v>
      </c>
      <c r="G6" s="44" t="s">
        <v>1493</v>
      </c>
      <c r="H6" s="44" t="s">
        <v>113</v>
      </c>
      <c r="I6" s="44" t="s">
        <v>1494</v>
      </c>
      <c r="J6" s="44" t="s">
        <v>1495</v>
      </c>
      <c r="K6" s="44" t="s">
        <v>1301</v>
      </c>
      <c r="M6" s="17" t="s">
        <v>1496</v>
      </c>
      <c r="N6" s="17" t="n">
        <f aca="false">COUNTIF($D$7:$D$26,M6)</f>
        <v>0</v>
      </c>
    </row>
    <row r="7" customFormat="false" ht="15" hidden="false" customHeight="false" outlineLevel="0" collapsed="false">
      <c r="A7" s="45"/>
      <c r="B7" s="45" t="s">
        <v>1497</v>
      </c>
      <c r="C7" s="45" t="n">
        <v>1</v>
      </c>
      <c r="D7" s="45" t="s">
        <v>78</v>
      </c>
      <c r="E7" s="45" t="s">
        <v>1498</v>
      </c>
      <c r="F7" s="55" t="n">
        <f aca="false">FALSE()</f>
        <v>0</v>
      </c>
      <c r="G7" s="45"/>
      <c r="H7" s="46"/>
      <c r="I7" s="74" t="n">
        <v>0</v>
      </c>
      <c r="J7" s="74" t="n">
        <v>0</v>
      </c>
      <c r="K7" s="74" t="n">
        <f aca="false">I7+(J7*C7)</f>
        <v>0</v>
      </c>
    </row>
    <row r="8" customFormat="false" ht="15" hidden="false" customHeight="false" outlineLevel="0" collapsed="false">
      <c r="A8" s="47"/>
      <c r="B8" s="47" t="s">
        <v>1499</v>
      </c>
      <c r="C8" s="47" t="n">
        <v>1</v>
      </c>
      <c r="D8" s="47" t="s">
        <v>78</v>
      </c>
      <c r="E8" s="47" t="s">
        <v>1498</v>
      </c>
      <c r="F8" s="53" t="n">
        <f aca="false">FALSE()</f>
        <v>0</v>
      </c>
      <c r="G8" s="47"/>
      <c r="H8" s="48"/>
      <c r="I8" s="75" t="n">
        <v>0</v>
      </c>
      <c r="J8" s="75" t="n">
        <v>0</v>
      </c>
      <c r="K8" s="75" t="n">
        <f aca="false">I8+(J8*C8)</f>
        <v>0</v>
      </c>
      <c r="M8" s="16" t="s">
        <v>1500</v>
      </c>
      <c r="N8" s="16" t="s">
        <v>77</v>
      </c>
    </row>
    <row r="9" customFormat="false" ht="15" hidden="false" customHeight="false" outlineLevel="0" collapsed="false">
      <c r="A9" s="45"/>
      <c r="B9" s="45" t="s">
        <v>1501</v>
      </c>
      <c r="C9" s="45" t="n">
        <v>1</v>
      </c>
      <c r="D9" s="45" t="s">
        <v>78</v>
      </c>
      <c r="E9" s="45" t="s">
        <v>1498</v>
      </c>
      <c r="F9" s="55" t="n">
        <f aca="false">FALSE()</f>
        <v>0</v>
      </c>
      <c r="G9" s="45"/>
      <c r="H9" s="46"/>
      <c r="I9" s="74" t="n">
        <v>0</v>
      </c>
      <c r="J9" s="74" t="n">
        <v>0</v>
      </c>
      <c r="K9" s="74" t="n">
        <f aca="false">I9+(J9*C9)</f>
        <v>0</v>
      </c>
      <c r="M9" s="17" t="s">
        <v>1502</v>
      </c>
      <c r="N9" s="17" t="n">
        <f aca="false">COUNTIF($E$7:$E$26,M9)</f>
        <v>0</v>
      </c>
    </row>
    <row r="10" customFormat="false" ht="15" hidden="false" customHeight="false" outlineLevel="0" collapsed="false">
      <c r="A10" s="47"/>
      <c r="B10" s="47" t="s">
        <v>1503</v>
      </c>
      <c r="C10" s="47" t="n">
        <v>1</v>
      </c>
      <c r="D10" s="47" t="s">
        <v>78</v>
      </c>
      <c r="E10" s="47" t="s">
        <v>1498</v>
      </c>
      <c r="F10" s="53" t="n">
        <f aca="false">FALSE()</f>
        <v>0</v>
      </c>
      <c r="G10" s="47"/>
      <c r="H10" s="48"/>
      <c r="I10" s="75" t="n">
        <v>0</v>
      </c>
      <c r="J10" s="75" t="n">
        <v>0</v>
      </c>
      <c r="K10" s="75" t="n">
        <f aca="false">I10+(J10*C10)</f>
        <v>0</v>
      </c>
      <c r="M10" s="17" t="s">
        <v>1498</v>
      </c>
      <c r="N10" s="17" t="n">
        <f aca="false">COUNTIF($E$7:$E$26,M10)</f>
        <v>20</v>
      </c>
    </row>
    <row r="11" customFormat="false" ht="15" hidden="false" customHeight="false" outlineLevel="0" collapsed="false">
      <c r="A11" s="45"/>
      <c r="B11" s="45" t="s">
        <v>1504</v>
      </c>
      <c r="C11" s="45" t="n">
        <v>1</v>
      </c>
      <c r="D11" s="45" t="s">
        <v>78</v>
      </c>
      <c r="E11" s="45" t="s">
        <v>1498</v>
      </c>
      <c r="F11" s="55" t="n">
        <f aca="false">FALSE()</f>
        <v>0</v>
      </c>
      <c r="G11" s="45"/>
      <c r="H11" s="46"/>
      <c r="I11" s="74" t="n">
        <v>0</v>
      </c>
      <c r="J11" s="74" t="n">
        <v>0</v>
      </c>
      <c r="K11" s="74" t="n">
        <f aca="false">I11+(J11*C11)</f>
        <v>0</v>
      </c>
      <c r="M11" s="17" t="s">
        <v>79</v>
      </c>
      <c r="N11" s="17" t="n">
        <f aca="false">COUNTIF($E$7:$E$26,M11)</f>
        <v>0</v>
      </c>
    </row>
    <row r="12" customFormat="false" ht="15" hidden="false" customHeight="false" outlineLevel="0" collapsed="false">
      <c r="A12" s="47"/>
      <c r="B12" s="47" t="s">
        <v>1505</v>
      </c>
      <c r="C12" s="47" t="n">
        <v>1</v>
      </c>
      <c r="D12" s="47" t="s">
        <v>78</v>
      </c>
      <c r="E12" s="47" t="s">
        <v>1498</v>
      </c>
      <c r="F12" s="53" t="n">
        <f aca="false">FALSE()</f>
        <v>0</v>
      </c>
      <c r="G12" s="47"/>
      <c r="H12" s="48"/>
      <c r="I12" s="75" t="n">
        <v>0</v>
      </c>
      <c r="J12" s="75" t="n">
        <v>0</v>
      </c>
      <c r="K12" s="75" t="n">
        <f aca="false">I12+(J12*C12)</f>
        <v>0</v>
      </c>
      <c r="M12" s="17" t="s">
        <v>1506</v>
      </c>
      <c r="N12" s="17" t="n">
        <f aca="false">COUNTIF($E$7:$E$26,M12)</f>
        <v>0</v>
      </c>
    </row>
    <row r="13" customFormat="false" ht="15" hidden="false" customHeight="false" outlineLevel="0" collapsed="false">
      <c r="A13" s="45"/>
      <c r="B13" s="45" t="s">
        <v>1507</v>
      </c>
      <c r="C13" s="45" t="n">
        <v>1</v>
      </c>
      <c r="D13" s="45" t="s">
        <v>78</v>
      </c>
      <c r="E13" s="45" t="s">
        <v>1498</v>
      </c>
      <c r="F13" s="55" t="n">
        <f aca="false">FALSE()</f>
        <v>0</v>
      </c>
      <c r="G13" s="45"/>
      <c r="H13" s="46"/>
      <c r="I13" s="74" t="n">
        <v>0</v>
      </c>
      <c r="J13" s="74" t="n">
        <v>0</v>
      </c>
      <c r="K13" s="74" t="n">
        <f aca="false">I13+(J13*C13)</f>
        <v>0</v>
      </c>
    </row>
    <row r="14" customFormat="false" ht="15" hidden="false" customHeight="false" outlineLevel="0" collapsed="false">
      <c r="A14" s="47"/>
      <c r="B14" s="47" t="s">
        <v>1508</v>
      </c>
      <c r="C14" s="47" t="n">
        <v>1</v>
      </c>
      <c r="D14" s="47" t="s">
        <v>78</v>
      </c>
      <c r="E14" s="47" t="s">
        <v>1498</v>
      </c>
      <c r="F14" s="53" t="n">
        <f aca="false">FALSE()</f>
        <v>0</v>
      </c>
      <c r="G14" s="47"/>
      <c r="H14" s="48"/>
      <c r="I14" s="75" t="n">
        <v>0</v>
      </c>
      <c r="J14" s="75" t="n">
        <v>0</v>
      </c>
      <c r="K14" s="75" t="n">
        <f aca="false">I14+(J14*C14)</f>
        <v>0</v>
      </c>
      <c r="M14" s="16" t="s">
        <v>1211</v>
      </c>
      <c r="N14" s="16" t="s">
        <v>1244</v>
      </c>
    </row>
    <row r="15" customFormat="false" ht="15" hidden="false" customHeight="false" outlineLevel="0" collapsed="false">
      <c r="A15" s="45"/>
      <c r="B15" s="45" t="s">
        <v>1509</v>
      </c>
      <c r="C15" s="45" t="n">
        <v>1</v>
      </c>
      <c r="D15" s="45" t="s">
        <v>78</v>
      </c>
      <c r="E15" s="45" t="s">
        <v>1498</v>
      </c>
      <c r="F15" s="55" t="n">
        <f aca="false">FALSE()</f>
        <v>0</v>
      </c>
      <c r="G15" s="45"/>
      <c r="H15" s="46"/>
      <c r="I15" s="74" t="n">
        <v>0</v>
      </c>
      <c r="J15" s="74" t="n">
        <v>0</v>
      </c>
      <c r="K15" s="74" t="n">
        <f aca="false">I15+(J15*C15)</f>
        <v>0</v>
      </c>
      <c r="M15" s="17" t="s">
        <v>1510</v>
      </c>
      <c r="N15" s="17" t="n">
        <f aca="false">SUMIFS($K$7:$K$26,$A$7:$A$26,M15)</f>
        <v>0</v>
      </c>
    </row>
    <row r="16" customFormat="false" ht="15" hidden="false" customHeight="false" outlineLevel="0" collapsed="false">
      <c r="A16" s="47"/>
      <c r="B16" s="47" t="s">
        <v>1511</v>
      </c>
      <c r="C16" s="47" t="n">
        <v>1</v>
      </c>
      <c r="D16" s="47" t="s">
        <v>78</v>
      </c>
      <c r="E16" s="47" t="s">
        <v>1498</v>
      </c>
      <c r="F16" s="53" t="n">
        <f aca="false">FALSE()</f>
        <v>0</v>
      </c>
      <c r="G16" s="47"/>
      <c r="H16" s="48"/>
      <c r="I16" s="75" t="n">
        <v>0</v>
      </c>
      <c r="J16" s="75" t="n">
        <v>0</v>
      </c>
      <c r="K16" s="75" t="n">
        <f aca="false">I16+(J16*C16)</f>
        <v>0</v>
      </c>
      <c r="M16" s="17" t="s">
        <v>1512</v>
      </c>
      <c r="N16" s="17" t="n">
        <f aca="false">SUMIFS($K$7:$K$26,$A$7:$A$26,M16)</f>
        <v>0</v>
      </c>
    </row>
    <row r="17" customFormat="false" ht="15" hidden="false" customHeight="false" outlineLevel="0" collapsed="false">
      <c r="A17" s="45"/>
      <c r="B17" s="45"/>
      <c r="C17" s="45" t="n">
        <v>1</v>
      </c>
      <c r="D17" s="45" t="s">
        <v>78</v>
      </c>
      <c r="E17" s="45" t="s">
        <v>1498</v>
      </c>
      <c r="F17" s="55" t="n">
        <f aca="false">FALSE()</f>
        <v>0</v>
      </c>
      <c r="G17" s="45"/>
      <c r="H17" s="46"/>
      <c r="I17" s="74" t="n">
        <v>0</v>
      </c>
      <c r="J17" s="74" t="n">
        <v>0</v>
      </c>
      <c r="K17" s="74" t="n">
        <f aca="false">I17+(J17*C17)</f>
        <v>0</v>
      </c>
      <c r="M17" s="17" t="s">
        <v>1513</v>
      </c>
      <c r="N17" s="17" t="n">
        <f aca="false">SUMIFS($K$7:$K$26,$A$7:$A$26,M17)</f>
        <v>0</v>
      </c>
    </row>
    <row r="18" customFormat="false" ht="15" hidden="false" customHeight="false" outlineLevel="0" collapsed="false">
      <c r="A18" s="47"/>
      <c r="B18" s="47"/>
      <c r="C18" s="47" t="n">
        <v>1</v>
      </c>
      <c r="D18" s="47" t="s">
        <v>78</v>
      </c>
      <c r="E18" s="47" t="s">
        <v>1498</v>
      </c>
      <c r="F18" s="53" t="n">
        <f aca="false">FALSE()</f>
        <v>0</v>
      </c>
      <c r="G18" s="47"/>
      <c r="H18" s="48"/>
      <c r="I18" s="75" t="n">
        <v>0</v>
      </c>
      <c r="J18" s="75" t="n">
        <v>0</v>
      </c>
      <c r="K18" s="75" t="n">
        <f aca="false">I18+(J18*C18)</f>
        <v>0</v>
      </c>
    </row>
    <row r="19" customFormat="false" ht="15" hidden="false" customHeight="false" outlineLevel="0" collapsed="false">
      <c r="A19" s="45"/>
      <c r="B19" s="45"/>
      <c r="C19" s="45" t="n">
        <v>1</v>
      </c>
      <c r="D19" s="45" t="s">
        <v>78</v>
      </c>
      <c r="E19" s="45" t="s">
        <v>1498</v>
      </c>
      <c r="F19" s="55" t="n">
        <f aca="false">FALSE()</f>
        <v>0</v>
      </c>
      <c r="G19" s="45"/>
      <c r="H19" s="46"/>
      <c r="I19" s="74" t="n">
        <v>0</v>
      </c>
      <c r="J19" s="74" t="n">
        <v>0</v>
      </c>
      <c r="K19" s="74" t="n">
        <f aca="false">I19+(J19*C19)</f>
        <v>0</v>
      </c>
    </row>
    <row r="20" customFormat="false" ht="15" hidden="false" customHeight="false" outlineLevel="0" collapsed="false">
      <c r="A20" s="47"/>
      <c r="B20" s="47"/>
      <c r="C20" s="47" t="n">
        <v>1</v>
      </c>
      <c r="D20" s="47" t="s">
        <v>78</v>
      </c>
      <c r="E20" s="47" t="s">
        <v>1498</v>
      </c>
      <c r="F20" s="53" t="n">
        <f aca="false">FALSE()</f>
        <v>0</v>
      </c>
      <c r="G20" s="47"/>
      <c r="H20" s="48"/>
      <c r="I20" s="75" t="n">
        <v>0</v>
      </c>
      <c r="J20" s="75" t="n">
        <v>0</v>
      </c>
      <c r="K20" s="75" t="n">
        <f aca="false">I20+(J20*C20)</f>
        <v>0</v>
      </c>
    </row>
    <row r="21" customFormat="false" ht="15" hidden="false" customHeight="false" outlineLevel="0" collapsed="false">
      <c r="A21" s="45"/>
      <c r="B21" s="45"/>
      <c r="C21" s="45" t="n">
        <v>1</v>
      </c>
      <c r="D21" s="45" t="s">
        <v>78</v>
      </c>
      <c r="E21" s="45" t="s">
        <v>1498</v>
      </c>
      <c r="F21" s="55" t="n">
        <f aca="false">FALSE()</f>
        <v>0</v>
      </c>
      <c r="G21" s="45"/>
      <c r="H21" s="46"/>
      <c r="I21" s="74" t="n">
        <v>0</v>
      </c>
      <c r="J21" s="74" t="n">
        <v>0</v>
      </c>
      <c r="K21" s="74" t="n">
        <f aca="false">I21+(J21*C21)</f>
        <v>0</v>
      </c>
    </row>
    <row r="22" customFormat="false" ht="15" hidden="false" customHeight="false" outlineLevel="0" collapsed="false">
      <c r="A22" s="47"/>
      <c r="B22" s="47"/>
      <c r="C22" s="47" t="n">
        <v>1</v>
      </c>
      <c r="D22" s="47" t="s">
        <v>78</v>
      </c>
      <c r="E22" s="47" t="s">
        <v>1498</v>
      </c>
      <c r="F22" s="53" t="n">
        <f aca="false">FALSE()</f>
        <v>0</v>
      </c>
      <c r="G22" s="47"/>
      <c r="H22" s="48"/>
      <c r="I22" s="75" t="n">
        <v>0</v>
      </c>
      <c r="J22" s="75" t="n">
        <v>0</v>
      </c>
      <c r="K22" s="75" t="n">
        <f aca="false">I22+(J22*C22)</f>
        <v>0</v>
      </c>
    </row>
    <row r="23" customFormat="false" ht="15" hidden="false" customHeight="false" outlineLevel="0" collapsed="false">
      <c r="A23" s="45"/>
      <c r="B23" s="45"/>
      <c r="C23" s="45" t="n">
        <v>1</v>
      </c>
      <c r="D23" s="45" t="s">
        <v>78</v>
      </c>
      <c r="E23" s="45" t="s">
        <v>1498</v>
      </c>
      <c r="F23" s="55" t="n">
        <f aca="false">FALSE()</f>
        <v>0</v>
      </c>
      <c r="G23" s="45"/>
      <c r="H23" s="46"/>
      <c r="I23" s="74" t="n">
        <v>0</v>
      </c>
      <c r="J23" s="74" t="n">
        <v>0</v>
      </c>
      <c r="K23" s="74" t="n">
        <f aca="false">I23+(J23*C23)</f>
        <v>0</v>
      </c>
    </row>
    <row r="24" customFormat="false" ht="15" hidden="false" customHeight="false" outlineLevel="0" collapsed="false">
      <c r="A24" s="47"/>
      <c r="B24" s="47"/>
      <c r="C24" s="47" t="n">
        <v>1</v>
      </c>
      <c r="D24" s="47" t="s">
        <v>78</v>
      </c>
      <c r="E24" s="47" t="s">
        <v>1498</v>
      </c>
      <c r="F24" s="53" t="n">
        <f aca="false">FALSE()</f>
        <v>0</v>
      </c>
      <c r="G24" s="47"/>
      <c r="H24" s="48"/>
      <c r="I24" s="75" t="n">
        <v>0</v>
      </c>
      <c r="J24" s="75" t="n">
        <v>0</v>
      </c>
      <c r="K24" s="75" t="n">
        <f aca="false">I24+(J24*C24)</f>
        <v>0</v>
      </c>
    </row>
    <row r="25" customFormat="false" ht="15" hidden="false" customHeight="false" outlineLevel="0" collapsed="false">
      <c r="A25" s="45"/>
      <c r="B25" s="45"/>
      <c r="C25" s="45" t="n">
        <v>1</v>
      </c>
      <c r="D25" s="45" t="s">
        <v>78</v>
      </c>
      <c r="E25" s="45" t="s">
        <v>1498</v>
      </c>
      <c r="F25" s="55" t="n">
        <f aca="false">FALSE()</f>
        <v>0</v>
      </c>
      <c r="G25" s="45"/>
      <c r="H25" s="46"/>
      <c r="I25" s="74" t="n">
        <v>0</v>
      </c>
      <c r="J25" s="74" t="n">
        <v>0</v>
      </c>
      <c r="K25" s="74" t="n">
        <f aca="false">I25+(J25*C25)</f>
        <v>0</v>
      </c>
    </row>
    <row r="26" customFormat="false" ht="15" hidden="false" customHeight="false" outlineLevel="0" collapsed="false">
      <c r="A26" s="47"/>
      <c r="B26" s="47"/>
      <c r="C26" s="47" t="n">
        <v>1</v>
      </c>
      <c r="D26" s="47" t="s">
        <v>78</v>
      </c>
      <c r="E26" s="47" t="s">
        <v>1498</v>
      </c>
      <c r="F26" s="53" t="n">
        <f aca="false">FALSE()</f>
        <v>0</v>
      </c>
      <c r="G26" s="47"/>
      <c r="H26" s="48"/>
      <c r="I26" s="75" t="n">
        <v>0</v>
      </c>
      <c r="J26" s="75" t="n">
        <v>0</v>
      </c>
      <c r="K26" s="75" t="n">
        <f aca="false">I26+(J26*C26)</f>
        <v>0</v>
      </c>
    </row>
  </sheetData>
  <mergeCells count="3">
    <mergeCell ref="A1:J1"/>
    <mergeCell ref="A3:B3"/>
    <mergeCell ref="A4:B4"/>
  </mergeCells>
  <conditionalFormatting sqref="D7:D26">
    <cfRule type="expression" priority="2" aboveAverage="0" equalAverage="0" bottom="0" percent="0" rank="0" text="" dxfId="4">
      <formula>EXACT(D7,"Completed")</formula>
    </cfRule>
    <cfRule type="expression" priority="3" aboveAverage="0" equalAverage="0" bottom="0" percent="0" rank="0" text="" dxfId="1">
      <formula>EXACT(D7,"Not Started")</formula>
    </cfRule>
  </conditionalFormatting>
  <conditionalFormatting sqref="E7:E26">
    <cfRule type="expression" priority="4" aboveAverage="0" equalAverage="0" bottom="0" percent="0" rank="0" text="" dxfId="4">
      <formula>EXACT(E7,"Printed")</formula>
    </cfRule>
  </conditionalFormatting>
  <conditionalFormatting sqref="F7:F26">
    <cfRule type="expression" priority="5" aboveAverage="0" equalAverage="0" bottom="0" percent="0" rank="0" text="" dxfId="4">
      <formula>F7=1</formula>
    </cfRule>
  </conditionalFormatting>
  <dataValidations count="4">
    <dataValidation allowBlank="true" errorStyle="stop" operator="between" showDropDown="false" showErrorMessage="false" showInputMessage="false" sqref="A7:A26" type="list">
      <formula1>StationeryCategory</formula1>
      <formula2>0</formula2>
    </dataValidation>
    <dataValidation allowBlank="true" errorStyle="stop" operator="between" showDropDown="false" showErrorMessage="false" showInputMessage="false" sqref="D7:D26" type="list">
      <formula1>DesignStatus</formula1>
      <formula2>0</formula2>
    </dataValidation>
    <dataValidation allowBlank="true" errorStyle="stop" operator="between" showDropDown="false" showErrorMessage="false" showInputMessage="false" sqref="E7:E26" type="list">
      <formula1>PrintStatus</formula1>
      <formula2>0</formula2>
    </dataValidation>
    <dataValidation allowBlank="true" errorStyle="stop" operator="between" showDropDown="false" showErrorMessage="false" showInputMessage="false" sqref="F7:F26" type="list">
      <formula1>TrueFalse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D9DE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4"/>
  </cols>
  <sheetData>
    <row r="1" customFormat="false" ht="27.75" hidden="false" customHeight="true" outlineLevel="0" collapsed="false">
      <c r="A1" s="89" t="s">
        <v>1514</v>
      </c>
      <c r="B1" s="89"/>
      <c r="C1" s="89"/>
      <c r="D1" s="89"/>
      <c r="E1" s="89"/>
      <c r="F1" s="89"/>
    </row>
    <row r="3" customFormat="false" ht="15" hidden="false" customHeight="true" outlineLevel="0" collapsed="false">
      <c r="A3" s="109" t="s">
        <v>1515</v>
      </c>
      <c r="B3" s="109"/>
      <c r="C3" s="109" t="s">
        <v>1516</v>
      </c>
      <c r="D3" s="109"/>
      <c r="E3" s="109" t="s">
        <v>1517</v>
      </c>
      <c r="F3" s="109"/>
    </row>
    <row r="4" customFormat="false" ht="15" hidden="false" customHeight="true" outlineLevel="0" collapsed="false">
      <c r="A4" s="7" t="s">
        <v>1518</v>
      </c>
      <c r="B4" s="7"/>
      <c r="C4" s="7" t="s">
        <v>1519</v>
      </c>
      <c r="D4" s="7"/>
      <c r="E4" s="7" t="s">
        <v>1520</v>
      </c>
      <c r="F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</row>
    <row r="14" customFormat="false" ht="15" hidden="false" customHeight="false" outlineLevel="0" collapsed="false">
      <c r="A14" s="28" t="s">
        <v>1521</v>
      </c>
      <c r="B14" s="28"/>
      <c r="C14" s="28"/>
      <c r="D14" s="28"/>
      <c r="E14" s="28"/>
      <c r="F14" s="28"/>
    </row>
    <row r="15" customFormat="false" ht="15" hidden="false" customHeight="true" outlineLevel="0" collapsed="false">
      <c r="A15" s="110" t="s">
        <v>1522</v>
      </c>
      <c r="B15" s="110"/>
      <c r="C15" s="110"/>
      <c r="D15" s="110"/>
      <c r="E15" s="110"/>
      <c r="F15" s="110"/>
    </row>
    <row r="16" customFormat="false" ht="15" hidden="false" customHeight="false" outlineLevel="0" collapsed="false">
      <c r="A16" s="110"/>
      <c r="B16" s="110"/>
      <c r="C16" s="110"/>
      <c r="D16" s="110"/>
      <c r="E16" s="110"/>
      <c r="F16" s="110"/>
    </row>
    <row r="17" customFormat="false" ht="15" hidden="false" customHeight="false" outlineLevel="0" collapsed="false">
      <c r="A17" s="110"/>
      <c r="B17" s="110"/>
      <c r="C17" s="110"/>
      <c r="D17" s="110"/>
      <c r="E17" s="110"/>
      <c r="F17" s="110"/>
    </row>
    <row r="18" customFormat="false" ht="15" hidden="false" customHeight="false" outlineLevel="0" collapsed="false">
      <c r="A18" s="110"/>
      <c r="B18" s="110"/>
      <c r="C18" s="110"/>
      <c r="D18" s="110"/>
      <c r="E18" s="110"/>
      <c r="F18" s="110"/>
    </row>
    <row r="20" customFormat="false" ht="15" hidden="false" customHeight="false" outlineLevel="0" collapsed="false">
      <c r="A20" s="28" t="s">
        <v>1523</v>
      </c>
      <c r="B20" s="28"/>
      <c r="C20" s="28"/>
      <c r="D20" s="28"/>
      <c r="E20" s="28"/>
      <c r="F20" s="28"/>
    </row>
    <row r="21" customFormat="false" ht="15" hidden="false" customHeight="true" outlineLevel="0" collapsed="false">
      <c r="A21" s="110" t="s">
        <v>1524</v>
      </c>
      <c r="B21" s="110"/>
      <c r="C21" s="110"/>
      <c r="D21" s="110"/>
      <c r="E21" s="110"/>
      <c r="F21" s="110"/>
    </row>
    <row r="22" customFormat="false" ht="15" hidden="false" customHeight="false" outlineLevel="0" collapsed="false">
      <c r="A22" s="110"/>
      <c r="B22" s="110"/>
      <c r="C22" s="110"/>
      <c r="D22" s="110"/>
      <c r="E22" s="110"/>
      <c r="F22" s="110"/>
    </row>
    <row r="23" customFormat="false" ht="15" hidden="false" customHeight="false" outlineLevel="0" collapsed="false">
      <c r="A23" s="110"/>
      <c r="B23" s="110"/>
      <c r="C23" s="110"/>
      <c r="D23" s="110"/>
      <c r="E23" s="110"/>
      <c r="F23" s="110"/>
    </row>
    <row r="24" customFormat="false" ht="15" hidden="false" customHeight="false" outlineLevel="0" collapsed="false">
      <c r="A24" s="110"/>
      <c r="B24" s="110"/>
      <c r="C24" s="110"/>
      <c r="D24" s="110"/>
      <c r="E24" s="110"/>
      <c r="F24" s="110"/>
    </row>
  </sheetData>
  <mergeCells count="11">
    <mergeCell ref="A1:F1"/>
    <mergeCell ref="A3:B3"/>
    <mergeCell ref="C3:D3"/>
    <mergeCell ref="E3:F3"/>
    <mergeCell ref="A4:B12"/>
    <mergeCell ref="C4:D12"/>
    <mergeCell ref="E4:F12"/>
    <mergeCell ref="A14:F14"/>
    <mergeCell ref="A15:F18"/>
    <mergeCell ref="A20:F20"/>
    <mergeCell ref="A21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D9DE"/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6"/>
  </cols>
  <sheetData>
    <row r="1" customFormat="false" ht="27.75" hidden="false" customHeight="true" outlineLevel="0" collapsed="false">
      <c r="A1" s="111" t="s">
        <v>1525</v>
      </c>
      <c r="B1" s="111"/>
      <c r="C1" s="111"/>
      <c r="D1" s="111"/>
      <c r="E1" s="111"/>
      <c r="F1" s="111"/>
      <c r="G1" s="111"/>
      <c r="H1" s="111"/>
    </row>
    <row r="3" customFormat="false" ht="15" hidden="false" customHeight="false" outlineLevel="0" collapsed="false">
      <c r="A3" s="59" t="s">
        <v>1526</v>
      </c>
      <c r="B3" s="59"/>
      <c r="C3" s="59"/>
      <c r="D3" s="59"/>
      <c r="E3" s="59"/>
      <c r="F3" s="59"/>
      <c r="G3" s="59"/>
      <c r="H3" s="59"/>
    </row>
    <row r="4" customFormat="false" ht="15" hidden="false" customHeight="false" outlineLevel="0" collapsed="false">
      <c r="A4" s="112" t="s">
        <v>1527</v>
      </c>
      <c r="B4" s="113"/>
      <c r="C4" s="112" t="s">
        <v>997</v>
      </c>
      <c r="D4" s="113"/>
      <c r="E4" s="112" t="s">
        <v>1215</v>
      </c>
      <c r="F4" s="113"/>
      <c r="G4" s="112" t="s">
        <v>1528</v>
      </c>
      <c r="H4" s="113"/>
    </row>
    <row r="5" customFormat="false" ht="15" hidden="false" customHeight="false" outlineLevel="0" collapsed="false">
      <c r="A5" s="112" t="s">
        <v>95</v>
      </c>
      <c r="B5" s="113" t="n">
        <v>2000</v>
      </c>
    </row>
    <row r="7" customFormat="false" ht="15" hidden="false" customHeight="false" outlineLevel="0" collapsed="false">
      <c r="A7" s="19" t="s">
        <v>1529</v>
      </c>
      <c r="B7" s="19"/>
      <c r="C7" s="19" t="s">
        <v>62</v>
      </c>
      <c r="D7" s="19"/>
      <c r="E7" s="19" t="s">
        <v>1201</v>
      </c>
      <c r="F7" s="19"/>
    </row>
    <row r="8" customFormat="false" ht="16.15" hidden="false" customHeight="false" outlineLevel="0" collapsed="false">
      <c r="A8" s="26" t="n">
        <f aca="true">IFERROR('Get Started'!$C$4-TODAY(),"")</f>
        <v>300</v>
      </c>
      <c r="B8" s="26"/>
      <c r="C8" s="23" t="n">
        <f aca="false">D18</f>
        <v>0</v>
      </c>
      <c r="D8" s="23"/>
      <c r="E8" s="23" t="n">
        <f aca="false">B18-C18</f>
        <v>0</v>
      </c>
      <c r="F8" s="23"/>
    </row>
    <row r="10" customFormat="false" ht="15" hidden="false" customHeight="false" outlineLevel="0" collapsed="false">
      <c r="A10" s="59" t="s">
        <v>1210</v>
      </c>
      <c r="B10" s="59"/>
      <c r="C10" s="59"/>
      <c r="D10" s="59"/>
    </row>
    <row r="11" customFormat="false" ht="19.5" hidden="false" customHeight="true" outlineLevel="0" collapsed="false">
      <c r="A11" s="66" t="s">
        <v>1211</v>
      </c>
      <c r="B11" s="66" t="s">
        <v>95</v>
      </c>
      <c r="C11" s="66" t="s">
        <v>1213</v>
      </c>
      <c r="D11" s="66" t="s">
        <v>1214</v>
      </c>
    </row>
    <row r="12" customFormat="false" ht="15" hidden="false" customHeight="false" outlineLevel="0" collapsed="false">
      <c r="A12" s="45" t="s">
        <v>1215</v>
      </c>
      <c r="B12" s="74" t="n">
        <v>0</v>
      </c>
      <c r="C12" s="74" t="n">
        <v>0</v>
      </c>
      <c r="D12" s="74" t="n">
        <f aca="false">B12-C12</f>
        <v>0</v>
      </c>
    </row>
    <row r="13" customFormat="false" ht="15" hidden="false" customHeight="false" outlineLevel="0" collapsed="false">
      <c r="A13" s="47" t="s">
        <v>1294</v>
      </c>
      <c r="B13" s="75" t="n">
        <v>0</v>
      </c>
      <c r="C13" s="75" t="n">
        <v>0</v>
      </c>
      <c r="D13" s="75" t="n">
        <f aca="false">B13-C13</f>
        <v>0</v>
      </c>
    </row>
    <row r="14" customFormat="false" ht="15" hidden="false" customHeight="false" outlineLevel="0" collapsed="false">
      <c r="A14" s="45" t="s">
        <v>1222</v>
      </c>
      <c r="B14" s="74" t="n">
        <v>0</v>
      </c>
      <c r="C14" s="74" t="n">
        <v>0</v>
      </c>
      <c r="D14" s="74" t="n">
        <f aca="false">B14-C14</f>
        <v>0</v>
      </c>
    </row>
    <row r="15" customFormat="false" ht="15" hidden="false" customHeight="false" outlineLevel="0" collapsed="false">
      <c r="A15" s="47" t="s">
        <v>1530</v>
      </c>
      <c r="B15" s="75" t="n">
        <v>0</v>
      </c>
      <c r="C15" s="75" t="n">
        <v>0</v>
      </c>
      <c r="D15" s="75" t="n">
        <f aca="false">B15-C15</f>
        <v>0</v>
      </c>
    </row>
    <row r="16" customFormat="false" ht="15" hidden="false" customHeight="false" outlineLevel="0" collapsed="false">
      <c r="A16" s="45" t="s">
        <v>1226</v>
      </c>
      <c r="B16" s="74" t="n">
        <v>0</v>
      </c>
      <c r="C16" s="74" t="n">
        <v>0</v>
      </c>
      <c r="D16" s="74" t="n">
        <f aca="false">B16-C16</f>
        <v>0</v>
      </c>
    </row>
    <row r="17" customFormat="false" ht="15" hidden="false" customHeight="false" outlineLevel="0" collapsed="false">
      <c r="A17" s="47" t="s">
        <v>168</v>
      </c>
      <c r="B17" s="75" t="n">
        <v>0</v>
      </c>
      <c r="C17" s="75" t="n">
        <v>0</v>
      </c>
      <c r="D17" s="75" t="n">
        <f aca="false">B17-C17</f>
        <v>0</v>
      </c>
    </row>
    <row r="18" customFormat="false" ht="15" hidden="false" customHeight="false" outlineLevel="0" collapsed="false">
      <c r="A18" s="72" t="s">
        <v>1228</v>
      </c>
      <c r="B18" s="73" t="n">
        <f aca="false">SUM(B12:B17)</f>
        <v>0</v>
      </c>
      <c r="C18" s="73" t="n">
        <f aca="false">SUM(C12:C17)</f>
        <v>0</v>
      </c>
      <c r="D18" s="73" t="n">
        <f aca="false">SUM(D12:D17)</f>
        <v>0</v>
      </c>
    </row>
    <row r="20" customFormat="false" ht="15" hidden="false" customHeight="false" outlineLevel="0" collapsed="false">
      <c r="A20" s="59" t="s">
        <v>1531</v>
      </c>
      <c r="B20" s="59"/>
      <c r="C20" s="59"/>
    </row>
    <row r="21" customFormat="false" ht="19.5" hidden="false" customHeight="true" outlineLevel="0" collapsed="false">
      <c r="A21" s="66" t="s">
        <v>1246</v>
      </c>
      <c r="B21" s="66" t="s">
        <v>1365</v>
      </c>
      <c r="C21" s="66" t="s">
        <v>1153</v>
      </c>
    </row>
    <row r="22" customFormat="false" ht="15" hidden="false" customHeight="false" outlineLevel="0" collapsed="false">
      <c r="A22" s="45"/>
      <c r="B22" s="45"/>
      <c r="C22" s="45"/>
    </row>
    <row r="23" customFormat="false" ht="15" hidden="false" customHeight="false" outlineLevel="0" collapsed="false">
      <c r="A23" s="47"/>
      <c r="B23" s="47"/>
      <c r="C23" s="47"/>
    </row>
    <row r="24" customFormat="false" ht="15" hidden="false" customHeight="false" outlineLevel="0" collapsed="false">
      <c r="A24" s="45"/>
      <c r="B24" s="45"/>
      <c r="C24" s="45"/>
    </row>
    <row r="25" customFormat="false" ht="15" hidden="false" customHeight="false" outlineLevel="0" collapsed="false">
      <c r="A25" s="47"/>
      <c r="B25" s="47"/>
      <c r="C25" s="47"/>
    </row>
    <row r="26" customFormat="false" ht="15" hidden="false" customHeight="false" outlineLevel="0" collapsed="false">
      <c r="A26" s="45"/>
      <c r="B26" s="45"/>
      <c r="C26" s="45"/>
    </row>
    <row r="27" customFormat="false" ht="15" hidden="false" customHeight="false" outlineLevel="0" collapsed="false">
      <c r="A27" s="47"/>
      <c r="B27" s="47"/>
      <c r="C27" s="47"/>
    </row>
    <row r="28" customFormat="false" ht="15" hidden="false" customHeight="false" outlineLevel="0" collapsed="false">
      <c r="A28" s="45"/>
      <c r="B28" s="45"/>
      <c r="C28" s="45"/>
    </row>
    <row r="29" customFormat="false" ht="15" hidden="false" customHeight="false" outlineLevel="0" collapsed="false">
      <c r="A29" s="47"/>
      <c r="B29" s="47"/>
      <c r="C29" s="47"/>
    </row>
    <row r="30" customFormat="false" ht="15" hidden="false" customHeight="false" outlineLevel="0" collapsed="false">
      <c r="A30" s="45"/>
      <c r="B30" s="45"/>
      <c r="C30" s="45"/>
    </row>
    <row r="31" customFormat="false" ht="15" hidden="false" customHeight="false" outlineLevel="0" collapsed="false">
      <c r="A31" s="47"/>
      <c r="B31" s="47"/>
      <c r="C31" s="47"/>
    </row>
    <row r="32" customFormat="false" ht="15" hidden="false" customHeight="false" outlineLevel="0" collapsed="false">
      <c r="A32" s="45"/>
      <c r="B32" s="45"/>
      <c r="C32" s="45"/>
    </row>
    <row r="33" customFormat="false" ht="15" hidden="false" customHeight="false" outlineLevel="0" collapsed="false">
      <c r="A33" s="47"/>
      <c r="B33" s="47"/>
      <c r="C33" s="47"/>
    </row>
    <row r="34" customFormat="false" ht="15" hidden="false" customHeight="false" outlineLevel="0" collapsed="false">
      <c r="A34" s="45"/>
      <c r="B34" s="45"/>
      <c r="C34" s="45"/>
    </row>
    <row r="35" customFormat="false" ht="15" hidden="false" customHeight="false" outlineLevel="0" collapsed="false">
      <c r="A35" s="47"/>
      <c r="B35" s="47"/>
      <c r="C35" s="47"/>
    </row>
    <row r="36" customFormat="false" ht="15" hidden="false" customHeight="false" outlineLevel="0" collapsed="false">
      <c r="A36" s="45"/>
      <c r="B36" s="45"/>
      <c r="C36" s="45"/>
    </row>
    <row r="37" customFormat="false" ht="15" hidden="false" customHeight="false" outlineLevel="0" collapsed="false">
      <c r="A37" s="47"/>
      <c r="B37" s="47"/>
      <c r="C37" s="47"/>
    </row>
    <row r="38" customFormat="false" ht="15" hidden="false" customHeight="false" outlineLevel="0" collapsed="false">
      <c r="A38" s="45"/>
      <c r="B38" s="45"/>
      <c r="C38" s="45"/>
    </row>
    <row r="39" customFormat="false" ht="15" hidden="false" customHeight="false" outlineLevel="0" collapsed="false">
      <c r="A39" s="47"/>
      <c r="B39" s="47"/>
      <c r="C39" s="47"/>
    </row>
    <row r="40" customFormat="false" ht="15" hidden="false" customHeight="false" outlineLevel="0" collapsed="false">
      <c r="A40" s="45"/>
      <c r="B40" s="45"/>
      <c r="C40" s="45"/>
    </row>
    <row r="41" customFormat="false" ht="15" hidden="false" customHeight="false" outlineLevel="0" collapsed="false">
      <c r="A41" s="47"/>
      <c r="B41" s="47"/>
      <c r="C41" s="47"/>
    </row>
    <row r="42" customFormat="false" ht="15" hidden="false" customHeight="false" outlineLevel="0" collapsed="false">
      <c r="A42" s="45"/>
      <c r="B42" s="45"/>
      <c r="C42" s="45"/>
    </row>
    <row r="43" customFormat="false" ht="15" hidden="false" customHeight="false" outlineLevel="0" collapsed="false">
      <c r="A43" s="47"/>
      <c r="B43" s="47"/>
      <c r="C43" s="47"/>
    </row>
    <row r="44" customFormat="false" ht="15" hidden="false" customHeight="false" outlineLevel="0" collapsed="false">
      <c r="A44" s="45"/>
      <c r="B44" s="45"/>
      <c r="C44" s="45"/>
    </row>
    <row r="45" customFormat="false" ht="15" hidden="false" customHeight="false" outlineLevel="0" collapsed="false">
      <c r="A45" s="47"/>
      <c r="B45" s="47"/>
      <c r="C45" s="47"/>
    </row>
    <row r="46" customFormat="false" ht="15" hidden="false" customHeight="false" outlineLevel="0" collapsed="false">
      <c r="A46" s="45"/>
      <c r="B46" s="45"/>
      <c r="C46" s="45"/>
    </row>
  </sheetData>
  <mergeCells count="10">
    <mergeCell ref="A1:H1"/>
    <mergeCell ref="A3:H3"/>
    <mergeCell ref="A7:B7"/>
    <mergeCell ref="C7:D7"/>
    <mergeCell ref="E7:F7"/>
    <mergeCell ref="A8:B8"/>
    <mergeCell ref="C8:D8"/>
    <mergeCell ref="E8:F8"/>
    <mergeCell ref="A10:D10"/>
    <mergeCell ref="A20:C20"/>
  </mergeCells>
  <conditionalFormatting sqref="B22:B46">
    <cfRule type="expression" priority="2" aboveAverage="0" equalAverage="0" bottom="0" percent="0" rank="0" text="" dxfId="4">
      <formula>EXACT(B22,"Yes")</formula>
    </cfRule>
  </conditionalFormatting>
  <dataValidations count="1">
    <dataValidation allowBlank="true" errorStyle="stop" operator="between" showDropDown="false" showErrorMessage="false" showInputMessage="false" sqref="B22:B46" type="list">
      <formula1>YesNoAwaited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8D8"/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6"/>
  </cols>
  <sheetData>
    <row r="1" customFormat="false" ht="27.75" hidden="false" customHeight="true" outlineLevel="0" collapsed="false">
      <c r="A1" s="105" t="s">
        <v>1532</v>
      </c>
      <c r="B1" s="105"/>
      <c r="C1" s="105"/>
      <c r="D1" s="105"/>
      <c r="E1" s="105"/>
      <c r="F1" s="105"/>
      <c r="G1" s="105"/>
      <c r="H1" s="105"/>
    </row>
    <row r="3" customFormat="false" ht="15" hidden="false" customHeight="false" outlineLevel="0" collapsed="false">
      <c r="A3" s="63" t="s">
        <v>1526</v>
      </c>
      <c r="B3" s="63"/>
      <c r="C3" s="63"/>
      <c r="D3" s="63"/>
      <c r="E3" s="63"/>
      <c r="F3" s="63"/>
      <c r="G3" s="63"/>
      <c r="H3" s="63"/>
    </row>
    <row r="4" customFormat="false" ht="15" hidden="false" customHeight="false" outlineLevel="0" collapsed="false">
      <c r="A4" s="112" t="s">
        <v>1527</v>
      </c>
      <c r="B4" s="113"/>
      <c r="C4" s="112" t="s">
        <v>997</v>
      </c>
      <c r="D4" s="113"/>
      <c r="E4" s="112" t="s">
        <v>1215</v>
      </c>
      <c r="F4" s="113"/>
      <c r="G4" s="112" t="s">
        <v>1528</v>
      </c>
      <c r="H4" s="113"/>
    </row>
    <row r="5" customFormat="false" ht="15" hidden="false" customHeight="false" outlineLevel="0" collapsed="false">
      <c r="A5" s="112" t="s">
        <v>95</v>
      </c>
      <c r="B5" s="113" t="n">
        <v>1200</v>
      </c>
    </row>
    <row r="7" customFormat="false" ht="15" hidden="false" customHeight="false" outlineLevel="0" collapsed="false">
      <c r="A7" s="20" t="s">
        <v>1529</v>
      </c>
      <c r="B7" s="20"/>
      <c r="C7" s="20" t="s">
        <v>62</v>
      </c>
      <c r="D7" s="20"/>
      <c r="E7" s="20" t="s">
        <v>1201</v>
      </c>
      <c r="F7" s="20"/>
    </row>
    <row r="8" customFormat="false" ht="16.15" hidden="false" customHeight="false" outlineLevel="0" collapsed="false">
      <c r="A8" s="26" t="n">
        <f aca="true">IFERROR('Get Started'!$C$4-TODAY(),"")</f>
        <v>300</v>
      </c>
      <c r="B8" s="26"/>
      <c r="C8" s="23" t="n">
        <f aca="false">D18</f>
        <v>0</v>
      </c>
      <c r="D8" s="23"/>
      <c r="E8" s="23" t="n">
        <f aca="false">B18-C18</f>
        <v>0</v>
      </c>
      <c r="F8" s="23"/>
    </row>
    <row r="10" customFormat="false" ht="15" hidden="false" customHeight="false" outlineLevel="0" collapsed="false">
      <c r="A10" s="63" t="s">
        <v>1210</v>
      </c>
      <c r="B10" s="63"/>
      <c r="C10" s="63"/>
      <c r="D10" s="63"/>
    </row>
    <row r="11" customFormat="false" ht="19.5" hidden="false" customHeight="true" outlineLevel="0" collapsed="false">
      <c r="A11" s="64" t="s">
        <v>1211</v>
      </c>
      <c r="B11" s="64" t="s">
        <v>95</v>
      </c>
      <c r="C11" s="64" t="s">
        <v>1213</v>
      </c>
      <c r="D11" s="64" t="s">
        <v>1214</v>
      </c>
    </row>
    <row r="12" customFormat="false" ht="15" hidden="false" customHeight="false" outlineLevel="0" collapsed="false">
      <c r="A12" s="45" t="s">
        <v>1215</v>
      </c>
      <c r="B12" s="74" t="n">
        <v>0</v>
      </c>
      <c r="C12" s="74" t="n">
        <v>0</v>
      </c>
      <c r="D12" s="74" t="n">
        <f aca="false">B12-C12</f>
        <v>0</v>
      </c>
    </row>
    <row r="13" customFormat="false" ht="15" hidden="false" customHeight="false" outlineLevel="0" collapsed="false">
      <c r="A13" s="47" t="s">
        <v>1294</v>
      </c>
      <c r="B13" s="75" t="n">
        <v>0</v>
      </c>
      <c r="C13" s="75" t="n">
        <v>0</v>
      </c>
      <c r="D13" s="75" t="n">
        <f aca="false">B13-C13</f>
        <v>0</v>
      </c>
    </row>
    <row r="14" customFormat="false" ht="15" hidden="false" customHeight="false" outlineLevel="0" collapsed="false">
      <c r="A14" s="45" t="s">
        <v>1222</v>
      </c>
      <c r="B14" s="74" t="n">
        <v>0</v>
      </c>
      <c r="C14" s="74" t="n">
        <v>0</v>
      </c>
      <c r="D14" s="74" t="n">
        <f aca="false">B14-C14</f>
        <v>0</v>
      </c>
    </row>
    <row r="15" customFormat="false" ht="15" hidden="false" customHeight="false" outlineLevel="0" collapsed="false">
      <c r="A15" s="47" t="s">
        <v>1533</v>
      </c>
      <c r="B15" s="75" t="n">
        <v>0</v>
      </c>
      <c r="C15" s="75" t="n">
        <v>0</v>
      </c>
      <c r="D15" s="75" t="n">
        <f aca="false">B15-C15</f>
        <v>0</v>
      </c>
    </row>
    <row r="16" customFormat="false" ht="15" hidden="false" customHeight="false" outlineLevel="0" collapsed="false">
      <c r="A16" s="45" t="s">
        <v>1226</v>
      </c>
      <c r="B16" s="74" t="n">
        <v>0</v>
      </c>
      <c r="C16" s="74" t="n">
        <v>0</v>
      </c>
      <c r="D16" s="74" t="n">
        <f aca="false">B16-C16</f>
        <v>0</v>
      </c>
    </row>
    <row r="17" customFormat="false" ht="15" hidden="false" customHeight="false" outlineLevel="0" collapsed="false">
      <c r="A17" s="47" t="s">
        <v>168</v>
      </c>
      <c r="B17" s="75" t="n">
        <v>0</v>
      </c>
      <c r="C17" s="75" t="n">
        <v>0</v>
      </c>
      <c r="D17" s="75" t="n">
        <f aca="false">B17-C17</f>
        <v>0</v>
      </c>
    </row>
    <row r="18" customFormat="false" ht="15" hidden="false" customHeight="false" outlineLevel="0" collapsed="false">
      <c r="A18" s="72" t="s">
        <v>1228</v>
      </c>
      <c r="B18" s="73" t="n">
        <f aca="false">SUM(B12:B17)</f>
        <v>0</v>
      </c>
      <c r="C18" s="73" t="n">
        <f aca="false">SUM(C12:C17)</f>
        <v>0</v>
      </c>
      <c r="D18" s="73" t="n">
        <f aca="false">SUM(D12:D17)</f>
        <v>0</v>
      </c>
    </row>
    <row r="20" customFormat="false" ht="15" hidden="false" customHeight="false" outlineLevel="0" collapsed="false">
      <c r="A20" s="63" t="s">
        <v>1531</v>
      </c>
      <c r="B20" s="63"/>
      <c r="C20" s="63"/>
    </row>
    <row r="21" customFormat="false" ht="19.5" hidden="false" customHeight="true" outlineLevel="0" collapsed="false">
      <c r="A21" s="64" t="s">
        <v>1246</v>
      </c>
      <c r="B21" s="64" t="s">
        <v>1365</v>
      </c>
      <c r="C21" s="64" t="s">
        <v>1153</v>
      </c>
    </row>
    <row r="22" customFormat="false" ht="15" hidden="false" customHeight="false" outlineLevel="0" collapsed="false">
      <c r="A22" s="45"/>
      <c r="B22" s="45"/>
      <c r="C22" s="45"/>
    </row>
    <row r="23" customFormat="false" ht="15" hidden="false" customHeight="false" outlineLevel="0" collapsed="false">
      <c r="A23" s="47"/>
      <c r="B23" s="47"/>
      <c r="C23" s="47"/>
    </row>
    <row r="24" customFormat="false" ht="15" hidden="false" customHeight="false" outlineLevel="0" collapsed="false">
      <c r="A24" s="45"/>
      <c r="B24" s="45"/>
      <c r="C24" s="45"/>
    </row>
    <row r="25" customFormat="false" ht="15" hidden="false" customHeight="false" outlineLevel="0" collapsed="false">
      <c r="A25" s="47"/>
      <c r="B25" s="47"/>
      <c r="C25" s="47"/>
    </row>
    <row r="26" customFormat="false" ht="15" hidden="false" customHeight="false" outlineLevel="0" collapsed="false">
      <c r="A26" s="45"/>
      <c r="B26" s="45"/>
      <c r="C26" s="45"/>
    </row>
    <row r="27" customFormat="false" ht="15" hidden="false" customHeight="false" outlineLevel="0" collapsed="false">
      <c r="A27" s="47"/>
      <c r="B27" s="47"/>
      <c r="C27" s="47"/>
    </row>
    <row r="28" customFormat="false" ht="15" hidden="false" customHeight="false" outlineLevel="0" collapsed="false">
      <c r="A28" s="45"/>
      <c r="B28" s="45"/>
      <c r="C28" s="45"/>
    </row>
    <row r="29" customFormat="false" ht="15" hidden="false" customHeight="false" outlineLevel="0" collapsed="false">
      <c r="A29" s="47"/>
      <c r="B29" s="47"/>
      <c r="C29" s="47"/>
    </row>
    <row r="30" customFormat="false" ht="15" hidden="false" customHeight="false" outlineLevel="0" collapsed="false">
      <c r="A30" s="45"/>
      <c r="B30" s="45"/>
      <c r="C30" s="45"/>
    </row>
    <row r="31" customFormat="false" ht="15" hidden="false" customHeight="false" outlineLevel="0" collapsed="false">
      <c r="A31" s="47"/>
      <c r="B31" s="47"/>
      <c r="C31" s="47"/>
    </row>
    <row r="32" customFormat="false" ht="15" hidden="false" customHeight="false" outlineLevel="0" collapsed="false">
      <c r="A32" s="45"/>
      <c r="B32" s="45"/>
      <c r="C32" s="45"/>
    </row>
    <row r="33" customFormat="false" ht="15" hidden="false" customHeight="false" outlineLevel="0" collapsed="false">
      <c r="A33" s="47"/>
      <c r="B33" s="47"/>
      <c r="C33" s="47"/>
    </row>
    <row r="34" customFormat="false" ht="15" hidden="false" customHeight="false" outlineLevel="0" collapsed="false">
      <c r="A34" s="45"/>
      <c r="B34" s="45"/>
      <c r="C34" s="45"/>
    </row>
    <row r="35" customFormat="false" ht="15" hidden="false" customHeight="false" outlineLevel="0" collapsed="false">
      <c r="A35" s="47"/>
      <c r="B35" s="47"/>
      <c r="C35" s="47"/>
    </row>
    <row r="36" customFormat="false" ht="15" hidden="false" customHeight="false" outlineLevel="0" collapsed="false">
      <c r="A36" s="45"/>
      <c r="B36" s="45"/>
      <c r="C36" s="45"/>
    </row>
    <row r="37" customFormat="false" ht="15" hidden="false" customHeight="false" outlineLevel="0" collapsed="false">
      <c r="A37" s="47"/>
      <c r="B37" s="47"/>
      <c r="C37" s="47"/>
    </row>
    <row r="38" customFormat="false" ht="15" hidden="false" customHeight="false" outlineLevel="0" collapsed="false">
      <c r="A38" s="45"/>
      <c r="B38" s="45"/>
      <c r="C38" s="45"/>
    </row>
    <row r="39" customFormat="false" ht="15" hidden="false" customHeight="false" outlineLevel="0" collapsed="false">
      <c r="A39" s="47"/>
      <c r="B39" s="47"/>
      <c r="C39" s="47"/>
    </row>
    <row r="40" customFormat="false" ht="15" hidden="false" customHeight="false" outlineLevel="0" collapsed="false">
      <c r="A40" s="45"/>
      <c r="B40" s="45"/>
      <c r="C40" s="45"/>
    </row>
    <row r="41" customFormat="false" ht="15" hidden="false" customHeight="false" outlineLevel="0" collapsed="false">
      <c r="A41" s="47"/>
      <c r="B41" s="47"/>
      <c r="C41" s="47"/>
    </row>
    <row r="42" customFormat="false" ht="15" hidden="false" customHeight="false" outlineLevel="0" collapsed="false">
      <c r="A42" s="45"/>
      <c r="B42" s="45"/>
      <c r="C42" s="45"/>
    </row>
    <row r="43" customFormat="false" ht="15" hidden="false" customHeight="false" outlineLevel="0" collapsed="false">
      <c r="A43" s="47"/>
      <c r="B43" s="47"/>
      <c r="C43" s="47"/>
    </row>
    <row r="44" customFormat="false" ht="15" hidden="false" customHeight="false" outlineLevel="0" collapsed="false">
      <c r="A44" s="45"/>
      <c r="B44" s="45"/>
      <c r="C44" s="45"/>
    </row>
    <row r="45" customFormat="false" ht="15" hidden="false" customHeight="false" outlineLevel="0" collapsed="false">
      <c r="A45" s="47"/>
      <c r="B45" s="47"/>
      <c r="C45" s="47"/>
    </row>
    <row r="46" customFormat="false" ht="15" hidden="false" customHeight="false" outlineLevel="0" collapsed="false">
      <c r="A46" s="45"/>
      <c r="B46" s="45"/>
      <c r="C46" s="45"/>
    </row>
  </sheetData>
  <mergeCells count="10">
    <mergeCell ref="A1:H1"/>
    <mergeCell ref="A3:H3"/>
    <mergeCell ref="A7:B7"/>
    <mergeCell ref="C7:D7"/>
    <mergeCell ref="E7:F7"/>
    <mergeCell ref="A8:B8"/>
    <mergeCell ref="C8:D8"/>
    <mergeCell ref="E8:F8"/>
    <mergeCell ref="A10:D10"/>
    <mergeCell ref="A20:C20"/>
  </mergeCells>
  <conditionalFormatting sqref="B22:B46">
    <cfRule type="expression" priority="2" aboveAverage="0" equalAverage="0" bottom="0" percent="0" rank="0" text="" dxfId="4">
      <formula>EXACT(B22,"Yes")</formula>
    </cfRule>
  </conditionalFormatting>
  <dataValidations count="1">
    <dataValidation allowBlank="true" errorStyle="stop" operator="between" showDropDown="false" showErrorMessage="false" showInputMessage="false" sqref="B22:B46" type="list">
      <formula1>YesNoAwaited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DFD0"/>
    <pageSetUpPr fitToPage="false"/>
  </sheetPr>
  <dimension ref="A1:I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14" t="s">
        <v>1534</v>
      </c>
      <c r="B1" s="114"/>
      <c r="C1" s="114"/>
      <c r="D1" s="114"/>
      <c r="E1" s="114"/>
      <c r="F1" s="114"/>
      <c r="G1" s="114"/>
      <c r="H1" s="114"/>
    </row>
    <row r="3" customFormat="false" ht="15" hidden="false" customHeight="false" outlineLevel="0" collapsed="false">
      <c r="A3" s="67" t="s">
        <v>1526</v>
      </c>
      <c r="B3" s="67"/>
      <c r="C3" s="67"/>
      <c r="D3" s="67"/>
      <c r="E3" s="67"/>
      <c r="F3" s="67"/>
      <c r="G3" s="67"/>
      <c r="H3" s="67"/>
    </row>
    <row r="4" customFormat="false" ht="15" hidden="false" customHeight="false" outlineLevel="0" collapsed="false">
      <c r="A4" s="112" t="s">
        <v>1231</v>
      </c>
      <c r="B4" s="113" t="s">
        <v>1535</v>
      </c>
      <c r="C4" s="112" t="s">
        <v>1536</v>
      </c>
      <c r="D4" s="113"/>
      <c r="E4" s="112" t="s">
        <v>1537</v>
      </c>
      <c r="F4" s="113"/>
      <c r="G4" s="112" t="s">
        <v>95</v>
      </c>
      <c r="H4" s="113" t="n">
        <v>1500</v>
      </c>
    </row>
    <row r="6" customFormat="false" ht="15" hidden="false" customHeight="false" outlineLevel="0" collapsed="false">
      <c r="A6" s="21" t="s">
        <v>67</v>
      </c>
      <c r="B6" s="21"/>
      <c r="C6" s="21" t="s">
        <v>1201</v>
      </c>
      <c r="D6" s="21"/>
    </row>
    <row r="7" customFormat="false" ht="17.35" hidden="false" customHeight="false" outlineLevel="0" collapsed="false">
      <c r="A7" s="98" t="n">
        <f aca="false">COUNTIF(B11:B35,"Yes")</f>
        <v>0</v>
      </c>
      <c r="B7" s="98"/>
      <c r="C7" s="23" t="n">
        <f aca="false">B65-C65</f>
        <v>0</v>
      </c>
      <c r="D7" s="23"/>
    </row>
    <row r="9" customFormat="false" ht="15" hidden="false" customHeight="false" outlineLevel="0" collapsed="false">
      <c r="A9" s="67" t="s">
        <v>1531</v>
      </c>
      <c r="B9" s="67"/>
      <c r="C9" s="67"/>
    </row>
    <row r="10" customFormat="false" ht="19.5" hidden="false" customHeight="true" outlineLevel="0" collapsed="false">
      <c r="A10" s="44" t="s">
        <v>1538</v>
      </c>
      <c r="B10" s="44"/>
      <c r="C10" s="44"/>
    </row>
    <row r="11" customFormat="false" ht="19.5" hidden="false" customHeight="true" outlineLevel="0" collapsed="false">
      <c r="A11" s="44" t="s">
        <v>1527</v>
      </c>
      <c r="B11" s="44" t="s">
        <v>997</v>
      </c>
      <c r="C11" s="44" t="s">
        <v>1539</v>
      </c>
    </row>
    <row r="12" customFormat="false" ht="15" hidden="false" customHeight="false" outlineLevel="0" collapsed="false">
      <c r="A12" s="46"/>
      <c r="B12" s="45"/>
      <c r="C12" s="45"/>
    </row>
    <row r="13" customFormat="false" ht="15" hidden="false" customHeight="false" outlineLevel="0" collapsed="false">
      <c r="A13" s="48"/>
      <c r="B13" s="47"/>
      <c r="C13" s="47"/>
    </row>
    <row r="14" customFormat="false" ht="15" hidden="false" customHeight="false" outlineLevel="0" collapsed="false">
      <c r="A14" s="46"/>
      <c r="B14" s="45"/>
      <c r="C14" s="45"/>
    </row>
    <row r="15" customFormat="false" ht="15" hidden="false" customHeight="false" outlineLevel="0" collapsed="false">
      <c r="A15" s="48"/>
      <c r="B15" s="47"/>
      <c r="C15" s="47"/>
    </row>
    <row r="16" customFormat="false" ht="15" hidden="false" customHeight="false" outlineLevel="0" collapsed="false">
      <c r="A16" s="46"/>
      <c r="B16" s="45"/>
      <c r="C16" s="45"/>
    </row>
    <row r="17" customFormat="false" ht="15" hidden="false" customHeight="false" outlineLevel="0" collapsed="false">
      <c r="A17" s="48"/>
      <c r="B17" s="47"/>
      <c r="C17" s="47"/>
    </row>
    <row r="18" customFormat="false" ht="15" hidden="false" customHeight="false" outlineLevel="0" collapsed="false">
      <c r="A18" s="46"/>
      <c r="B18" s="45"/>
      <c r="C18" s="45"/>
    </row>
    <row r="19" customFormat="false" ht="15" hidden="false" customHeight="false" outlineLevel="0" collapsed="false">
      <c r="A19" s="48"/>
      <c r="B19" s="47"/>
      <c r="C19" s="47"/>
    </row>
    <row r="20" customFormat="false" ht="15" hidden="false" customHeight="false" outlineLevel="0" collapsed="false">
      <c r="A20" s="46"/>
      <c r="B20" s="45"/>
      <c r="C20" s="45"/>
    </row>
    <row r="21" customFormat="false" ht="15" hidden="false" customHeight="false" outlineLevel="0" collapsed="false">
      <c r="A21" s="48"/>
      <c r="B21" s="47"/>
      <c r="C21" s="47"/>
    </row>
    <row r="22" customFormat="false" ht="15" hidden="false" customHeight="false" outlineLevel="0" collapsed="false">
      <c r="A22" s="47"/>
      <c r="B22" s="47"/>
      <c r="C22" s="47"/>
    </row>
    <row r="23" customFormat="false" ht="15" hidden="false" customHeight="false" outlineLevel="0" collapsed="false">
      <c r="A23" s="115" t="s">
        <v>1540</v>
      </c>
      <c r="B23" s="115"/>
      <c r="C23" s="115"/>
      <c r="D23" s="115"/>
      <c r="E23" s="115"/>
      <c r="F23" s="115"/>
      <c r="G23" s="115"/>
      <c r="H23" s="115"/>
      <c r="I23" s="115"/>
    </row>
    <row r="24" customFormat="false" ht="19.5" hidden="false" customHeight="true" outlineLevel="0" collapsed="false">
      <c r="A24" s="41" t="s">
        <v>1541</v>
      </c>
      <c r="B24" s="41" t="s">
        <v>1246</v>
      </c>
      <c r="C24" s="41" t="s">
        <v>1542</v>
      </c>
      <c r="D24" s="41" t="s">
        <v>1248</v>
      </c>
      <c r="E24" s="41" t="s">
        <v>1543</v>
      </c>
      <c r="F24" s="41" t="s">
        <v>1131</v>
      </c>
      <c r="G24" s="41" t="s">
        <v>1234</v>
      </c>
      <c r="H24" s="41" t="s">
        <v>1544</v>
      </c>
      <c r="I24" s="41" t="s">
        <v>1545</v>
      </c>
    </row>
    <row r="25" customFormat="false" ht="15" hidden="false" customHeight="false" outlineLevel="0" collapsed="false">
      <c r="A25" s="45" t="s">
        <v>1546</v>
      </c>
      <c r="B25" s="45"/>
      <c r="C25" s="45"/>
      <c r="D25" s="45"/>
      <c r="E25" s="46"/>
      <c r="F25" s="45"/>
      <c r="G25" s="45"/>
      <c r="H25" s="45"/>
      <c r="I25" s="45"/>
    </row>
    <row r="26" customFormat="false" ht="15" hidden="false" customHeight="false" outlineLevel="0" collapsed="false">
      <c r="A26" s="47" t="s">
        <v>1547</v>
      </c>
      <c r="B26" s="47"/>
      <c r="C26" s="47"/>
      <c r="D26" s="47"/>
      <c r="E26" s="48"/>
      <c r="F26" s="47"/>
      <c r="G26" s="47"/>
      <c r="H26" s="47"/>
      <c r="I26" s="47"/>
    </row>
    <row r="27" customFormat="false" ht="15" hidden="false" customHeight="false" outlineLevel="0" collapsed="false">
      <c r="A27" s="45"/>
      <c r="B27" s="45"/>
      <c r="C27" s="45"/>
    </row>
    <row r="28" customFormat="false" ht="15" hidden="false" customHeight="false" outlineLevel="0" collapsed="false">
      <c r="A28" s="116" t="s">
        <v>1548</v>
      </c>
      <c r="B28" s="116"/>
      <c r="C28" s="116"/>
      <c r="D28" s="116"/>
      <c r="E28" s="116"/>
      <c r="F28" s="116"/>
    </row>
    <row r="29" customFormat="false" ht="19.5" hidden="false" customHeight="true" outlineLevel="0" collapsed="false">
      <c r="A29" s="64" t="s">
        <v>1549</v>
      </c>
      <c r="B29" s="64" t="s">
        <v>1550</v>
      </c>
      <c r="C29" s="64" t="s">
        <v>1551</v>
      </c>
      <c r="D29" s="64" t="s">
        <v>1552</v>
      </c>
      <c r="E29" s="64" t="s">
        <v>1553</v>
      </c>
      <c r="F29" s="64" t="s">
        <v>1153</v>
      </c>
    </row>
    <row r="30" customFormat="false" ht="15" hidden="false" customHeight="false" outlineLevel="0" collapsed="false">
      <c r="A30" s="45"/>
      <c r="B30" s="45"/>
      <c r="C30" s="45"/>
      <c r="D30" s="99"/>
      <c r="E30" s="99"/>
      <c r="F30" s="99"/>
    </row>
    <row r="31" customFormat="false" ht="15" hidden="false" customHeight="false" outlineLevel="0" collapsed="false">
      <c r="A31" s="47"/>
      <c r="B31" s="47"/>
      <c r="C31" s="47"/>
      <c r="D31" s="117"/>
      <c r="E31" s="117"/>
      <c r="F31" s="117"/>
    </row>
    <row r="32" customFormat="false" ht="15" hidden="false" customHeight="false" outlineLevel="0" collapsed="false">
      <c r="A32" s="45"/>
      <c r="B32" s="45"/>
      <c r="C32" s="45"/>
      <c r="D32" s="99"/>
      <c r="E32" s="99"/>
      <c r="F32" s="99"/>
    </row>
    <row r="33" customFormat="false" ht="15" hidden="false" customHeight="false" outlineLevel="0" collapsed="false">
      <c r="A33" s="47"/>
      <c r="B33" s="47"/>
      <c r="C33" s="47"/>
      <c r="D33" s="117"/>
      <c r="E33" s="117"/>
      <c r="F33" s="117"/>
    </row>
    <row r="34" customFormat="false" ht="15" hidden="false" customHeight="false" outlineLevel="0" collapsed="false">
      <c r="A34" s="45"/>
      <c r="B34" s="45"/>
      <c r="C34" s="45"/>
      <c r="D34" s="99"/>
      <c r="E34" s="99"/>
      <c r="F34" s="99"/>
    </row>
    <row r="35" customFormat="false" ht="15" hidden="false" customHeight="false" outlineLevel="0" collapsed="false">
      <c r="A35" s="47"/>
      <c r="B35" s="47"/>
      <c r="C35" s="47"/>
      <c r="D35" s="117"/>
      <c r="E35" s="117"/>
      <c r="F35" s="117"/>
    </row>
    <row r="36" customFormat="false" ht="15" hidden="false" customHeight="false" outlineLevel="0" collapsed="false">
      <c r="A36" s="99"/>
      <c r="B36" s="99"/>
      <c r="C36" s="99"/>
      <c r="D36" s="99"/>
      <c r="E36" s="99"/>
      <c r="F36" s="99"/>
    </row>
    <row r="37" customFormat="false" ht="15" hidden="false" customHeight="false" outlineLevel="0" collapsed="false">
      <c r="A37" s="117"/>
      <c r="B37" s="117"/>
      <c r="C37" s="117"/>
      <c r="D37" s="117"/>
      <c r="E37" s="117"/>
      <c r="F37" s="117"/>
    </row>
    <row r="39" customFormat="false" ht="15" hidden="false" customHeight="false" outlineLevel="0" collapsed="false">
      <c r="A39" s="59" t="s">
        <v>1554</v>
      </c>
      <c r="B39" s="59"/>
      <c r="C39" s="59"/>
      <c r="D39" s="59"/>
    </row>
    <row r="40" customFormat="false" ht="19.5" hidden="false" customHeight="true" outlineLevel="0" collapsed="false">
      <c r="A40" s="66" t="s">
        <v>1527</v>
      </c>
      <c r="B40" s="66" t="s">
        <v>1204</v>
      </c>
      <c r="C40" s="66" t="s">
        <v>1211</v>
      </c>
      <c r="D40" s="66" t="s">
        <v>1433</v>
      </c>
    </row>
    <row r="41" customFormat="false" ht="15" hidden="false" customHeight="false" outlineLevel="0" collapsed="false">
      <c r="A41" s="118"/>
      <c r="B41" s="119"/>
      <c r="C41" s="99"/>
      <c r="D41" s="99"/>
    </row>
    <row r="42" customFormat="false" ht="15" hidden="false" customHeight="false" outlineLevel="0" collapsed="false">
      <c r="A42" s="120"/>
      <c r="B42" s="121"/>
      <c r="C42" s="117"/>
      <c r="D42" s="117"/>
    </row>
    <row r="43" customFormat="false" ht="15" hidden="false" customHeight="false" outlineLevel="0" collapsed="false">
      <c r="A43" s="118"/>
      <c r="B43" s="119"/>
      <c r="C43" s="99"/>
      <c r="D43" s="99"/>
    </row>
    <row r="44" customFormat="false" ht="15" hidden="false" customHeight="false" outlineLevel="0" collapsed="false">
      <c r="A44" s="120"/>
      <c r="B44" s="121"/>
      <c r="C44" s="117"/>
      <c r="D44" s="117"/>
    </row>
    <row r="45" customFormat="false" ht="15" hidden="false" customHeight="false" outlineLevel="0" collapsed="false">
      <c r="A45" s="118"/>
      <c r="B45" s="119"/>
      <c r="C45" s="99"/>
      <c r="D45" s="99"/>
    </row>
    <row r="46" customFormat="false" ht="15" hidden="false" customHeight="false" outlineLevel="0" collapsed="false">
      <c r="A46" s="120"/>
      <c r="B46" s="121"/>
      <c r="C46" s="117"/>
      <c r="D46" s="117"/>
    </row>
    <row r="47" customFormat="false" ht="15" hidden="false" customHeight="false" outlineLevel="0" collapsed="false">
      <c r="A47" s="118"/>
      <c r="B47" s="119"/>
      <c r="C47" s="99"/>
      <c r="D47" s="99"/>
    </row>
    <row r="48" customFormat="false" ht="15" hidden="false" customHeight="false" outlineLevel="0" collapsed="false">
      <c r="A48" s="120"/>
      <c r="B48" s="121"/>
      <c r="C48" s="117"/>
      <c r="D48" s="117"/>
    </row>
    <row r="49" customFormat="false" ht="15" hidden="false" customHeight="false" outlineLevel="0" collapsed="false">
      <c r="A49" s="118"/>
      <c r="B49" s="119"/>
      <c r="C49" s="99"/>
      <c r="D49" s="99"/>
    </row>
    <row r="50" customFormat="false" ht="15" hidden="false" customHeight="false" outlineLevel="0" collapsed="false">
      <c r="A50" s="120"/>
      <c r="B50" s="121"/>
      <c r="C50" s="117"/>
      <c r="D50" s="117"/>
    </row>
    <row r="51" customFormat="false" ht="15" hidden="false" customHeight="false" outlineLevel="0" collapsed="false">
      <c r="A51" s="118"/>
      <c r="B51" s="119"/>
      <c r="C51" s="99"/>
      <c r="D51" s="99"/>
    </row>
    <row r="52" customFormat="false" ht="15" hidden="false" customHeight="false" outlineLevel="0" collapsed="false">
      <c r="A52" s="120"/>
      <c r="B52" s="121"/>
      <c r="C52" s="117"/>
      <c r="D52" s="117"/>
    </row>
    <row r="53" customFormat="false" ht="15" hidden="false" customHeight="false" outlineLevel="0" collapsed="false">
      <c r="A53" s="118"/>
      <c r="B53" s="119"/>
      <c r="C53" s="99"/>
      <c r="D53" s="99"/>
    </row>
    <row r="54" customFormat="false" ht="15" hidden="false" customHeight="false" outlineLevel="0" collapsed="false">
      <c r="A54" s="120"/>
      <c r="B54" s="121"/>
      <c r="C54" s="117"/>
      <c r="D54" s="117"/>
    </row>
    <row r="55" customFormat="false" ht="15" hidden="false" customHeight="false" outlineLevel="0" collapsed="false">
      <c r="A55" s="118"/>
      <c r="B55" s="119"/>
      <c r="C55" s="99"/>
      <c r="D55" s="99"/>
    </row>
    <row r="57" customFormat="false" ht="15" hidden="false" customHeight="false" outlineLevel="0" collapsed="false">
      <c r="A57" s="59" t="s">
        <v>1210</v>
      </c>
      <c r="B57" s="59"/>
      <c r="C57" s="59"/>
      <c r="D57" s="59"/>
    </row>
    <row r="58" customFormat="false" ht="19.5" hidden="false" customHeight="true" outlineLevel="0" collapsed="false">
      <c r="A58" s="66" t="s">
        <v>1211</v>
      </c>
      <c r="B58" s="66" t="s">
        <v>95</v>
      </c>
      <c r="C58" s="66" t="s">
        <v>1213</v>
      </c>
      <c r="D58" s="66" t="s">
        <v>1214</v>
      </c>
    </row>
    <row r="59" customFormat="false" ht="15" hidden="false" customHeight="false" outlineLevel="0" collapsed="false">
      <c r="A59" s="45" t="s">
        <v>1555</v>
      </c>
      <c r="B59" s="74" t="n">
        <v>0</v>
      </c>
      <c r="C59" s="74" t="n">
        <v>0</v>
      </c>
      <c r="D59" s="74" t="n">
        <f aca="false">B59-C59</f>
        <v>0</v>
      </c>
    </row>
    <row r="60" customFormat="false" ht="15" hidden="false" customHeight="false" outlineLevel="0" collapsed="false">
      <c r="A60" s="47" t="s">
        <v>1556</v>
      </c>
      <c r="B60" s="75" t="n">
        <v>0</v>
      </c>
      <c r="C60" s="75" t="n">
        <v>0</v>
      </c>
      <c r="D60" s="75" t="n">
        <f aca="false">B60-C60</f>
        <v>0</v>
      </c>
    </row>
    <row r="61" customFormat="false" ht="15" hidden="false" customHeight="false" outlineLevel="0" collapsed="false">
      <c r="A61" s="45" t="s">
        <v>1557</v>
      </c>
      <c r="B61" s="74" t="n">
        <v>0</v>
      </c>
      <c r="C61" s="74" t="n">
        <v>0</v>
      </c>
      <c r="D61" s="74" t="n">
        <f aca="false">B61-C61</f>
        <v>0</v>
      </c>
    </row>
    <row r="62" customFormat="false" ht="15" hidden="false" customHeight="false" outlineLevel="0" collapsed="false">
      <c r="A62" s="47" t="s">
        <v>1294</v>
      </c>
      <c r="B62" s="75" t="n">
        <v>0</v>
      </c>
      <c r="C62" s="75" t="n">
        <v>0</v>
      </c>
      <c r="D62" s="75" t="n">
        <f aca="false">B62-C62</f>
        <v>0</v>
      </c>
    </row>
    <row r="63" customFormat="false" ht="15" hidden="false" customHeight="false" outlineLevel="0" collapsed="false">
      <c r="A63" s="45" t="s">
        <v>1419</v>
      </c>
      <c r="B63" s="74" t="n">
        <v>0</v>
      </c>
      <c r="C63" s="74" t="n">
        <v>0</v>
      </c>
      <c r="D63" s="74" t="n">
        <f aca="false">B63-C63</f>
        <v>0</v>
      </c>
    </row>
    <row r="64" customFormat="false" ht="15" hidden="false" customHeight="false" outlineLevel="0" collapsed="false">
      <c r="A64" s="47" t="s">
        <v>168</v>
      </c>
      <c r="B64" s="75" t="n">
        <v>0</v>
      </c>
      <c r="C64" s="75" t="n">
        <v>0</v>
      </c>
      <c r="D64" s="75" t="n">
        <f aca="false">B64-C64</f>
        <v>0</v>
      </c>
    </row>
    <row r="65" customFormat="false" ht="15" hidden="false" customHeight="false" outlineLevel="0" collapsed="false">
      <c r="A65" s="72" t="s">
        <v>1228</v>
      </c>
      <c r="B65" s="73" t="n">
        <f aca="false">SUM(B59:B64)</f>
        <v>0</v>
      </c>
      <c r="C65" s="73" t="n">
        <f aca="false">SUM(C59:C64)</f>
        <v>0</v>
      </c>
      <c r="D65" s="73" t="n">
        <f aca="false">SUM(D59:D64)</f>
        <v>0</v>
      </c>
    </row>
  </sheetData>
  <mergeCells count="12">
    <mergeCell ref="A1:H1"/>
    <mergeCell ref="A3:H3"/>
    <mergeCell ref="A6:B6"/>
    <mergeCell ref="C6:D6"/>
    <mergeCell ref="A7:B7"/>
    <mergeCell ref="C7:D7"/>
    <mergeCell ref="A9:C9"/>
    <mergeCell ref="A10:C10"/>
    <mergeCell ref="A23:I23"/>
    <mergeCell ref="A28:F28"/>
    <mergeCell ref="A39:D39"/>
    <mergeCell ref="A57:D57"/>
  </mergeCells>
  <conditionalFormatting sqref="B11:B35">
    <cfRule type="expression" priority="2" aboveAverage="0" equalAverage="0" bottom="0" percent="0" rank="0" text="" dxfId="4">
      <formula>EXACT(B11,"Yes")</formula>
    </cfRule>
  </conditionalFormatting>
  <dataValidations count="3">
    <dataValidation allowBlank="true" errorStyle="stop" operator="between" showDropDown="false" showErrorMessage="false" showInputMessage="false" sqref="B4" type="list">
      <formula1>BachelorType</formula1>
      <formula2>0</formula2>
    </dataValidation>
    <dataValidation allowBlank="true" errorStyle="stop" operator="between" showDropDown="false" showErrorMessage="false" showInputMessage="false" sqref="B11:B35" type="list">
      <formula1>YesNoAwaited</formula1>
      <formula2>0</formula2>
    </dataValidation>
    <dataValidation allowBlank="true" errorStyle="stop" operator="between" showDropDown="false" showErrorMessage="false" showInputMessage="false" sqref="G25:G26" type="list">
      <formula1>BookingStatus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E6F0"/>
    <pageSetUpPr fitToPage="false"/>
  </sheetPr>
  <dimension ref="A1:J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32" t="s">
        <v>1558</v>
      </c>
      <c r="B1" s="32"/>
      <c r="C1" s="32"/>
      <c r="D1" s="32"/>
      <c r="E1" s="32"/>
      <c r="F1" s="32"/>
      <c r="G1" s="32"/>
      <c r="H1" s="32"/>
      <c r="I1" s="32"/>
    </row>
    <row r="3" customFormat="false" ht="15" hidden="false" customHeight="false" outlineLevel="0" collapsed="false">
      <c r="A3" s="24" t="s">
        <v>61</v>
      </c>
      <c r="B3" s="24"/>
      <c r="C3" s="24" t="s">
        <v>62</v>
      </c>
      <c r="D3" s="24"/>
    </row>
    <row r="4" customFormat="false" ht="19.7" hidden="false" customHeight="false" outlineLevel="0" collapsed="false">
      <c r="A4" s="122" t="n">
        <f aca="false">C15</f>
        <v>0</v>
      </c>
      <c r="B4" s="122"/>
      <c r="C4" s="122" t="n">
        <f aca="false">B15-C15</f>
        <v>0</v>
      </c>
      <c r="D4" s="122"/>
    </row>
    <row r="6" customFormat="false" ht="15" hidden="false" customHeight="false" outlineLevel="0" collapsed="false">
      <c r="A6" s="6" t="s">
        <v>1559</v>
      </c>
      <c r="B6" s="6"/>
      <c r="C6" s="6"/>
      <c r="D6" s="6"/>
    </row>
    <row r="7" customFormat="false" ht="19.5" hidden="false" customHeight="true" outlineLevel="0" collapsed="false">
      <c r="A7" s="41" t="s">
        <v>1211</v>
      </c>
      <c r="B7" s="41" t="s">
        <v>95</v>
      </c>
      <c r="C7" s="41" t="s">
        <v>1213</v>
      </c>
      <c r="D7" s="41" t="s">
        <v>1214</v>
      </c>
    </row>
    <row r="8" customFormat="false" ht="15" hidden="false" customHeight="false" outlineLevel="0" collapsed="false">
      <c r="A8" s="45" t="s">
        <v>1560</v>
      </c>
      <c r="B8" s="74" t="n">
        <v>0</v>
      </c>
      <c r="C8" s="74" t="n">
        <v>0</v>
      </c>
      <c r="D8" s="74" t="n">
        <f aca="false">B8-C8</f>
        <v>0</v>
      </c>
    </row>
    <row r="9" customFormat="false" ht="15" hidden="false" customHeight="false" outlineLevel="0" collapsed="false">
      <c r="A9" s="47" t="s">
        <v>1555</v>
      </c>
      <c r="B9" s="75" t="n">
        <v>0</v>
      </c>
      <c r="C9" s="75" t="n">
        <v>0</v>
      </c>
      <c r="D9" s="75" t="n">
        <f aca="false">B9-C9</f>
        <v>0</v>
      </c>
    </row>
    <row r="10" customFormat="false" ht="15" hidden="false" customHeight="false" outlineLevel="0" collapsed="false">
      <c r="A10" s="45" t="s">
        <v>1294</v>
      </c>
      <c r="B10" s="74" t="n">
        <v>0</v>
      </c>
      <c r="C10" s="74" t="n">
        <v>0</v>
      </c>
      <c r="D10" s="74" t="n">
        <f aca="false">B10-C10</f>
        <v>0</v>
      </c>
    </row>
    <row r="11" customFormat="false" ht="15" hidden="false" customHeight="false" outlineLevel="0" collapsed="false">
      <c r="A11" s="47" t="s">
        <v>1561</v>
      </c>
      <c r="B11" s="75" t="n">
        <v>0</v>
      </c>
      <c r="C11" s="75" t="n">
        <v>0</v>
      </c>
      <c r="D11" s="75" t="n">
        <f aca="false">B11-C11</f>
        <v>0</v>
      </c>
    </row>
    <row r="12" customFormat="false" ht="15" hidden="false" customHeight="false" outlineLevel="0" collapsed="false">
      <c r="A12" s="45" t="s">
        <v>1562</v>
      </c>
      <c r="B12" s="74" t="n">
        <v>0</v>
      </c>
      <c r="C12" s="74" t="n">
        <v>0</v>
      </c>
      <c r="D12" s="74" t="n">
        <f aca="false">B12-C12</f>
        <v>0</v>
      </c>
    </row>
    <row r="13" customFormat="false" ht="15" hidden="false" customHeight="false" outlineLevel="0" collapsed="false">
      <c r="A13" s="47" t="s">
        <v>1224</v>
      </c>
      <c r="B13" s="75" t="n">
        <v>0</v>
      </c>
      <c r="C13" s="75" t="n">
        <v>0</v>
      </c>
      <c r="D13" s="75" t="n">
        <f aca="false">B13-C13</f>
        <v>0</v>
      </c>
    </row>
    <row r="14" customFormat="false" ht="15" hidden="false" customHeight="false" outlineLevel="0" collapsed="false">
      <c r="A14" s="45" t="s">
        <v>168</v>
      </c>
      <c r="B14" s="74" t="n">
        <v>0</v>
      </c>
      <c r="C14" s="74" t="n">
        <v>0</v>
      </c>
      <c r="D14" s="74" t="n">
        <f aca="false">B14-C14</f>
        <v>0</v>
      </c>
    </row>
    <row r="15" customFormat="false" ht="15" hidden="false" customHeight="false" outlineLevel="0" collapsed="false">
      <c r="A15" s="72" t="s">
        <v>1228</v>
      </c>
      <c r="B15" s="73" t="n">
        <f aca="false">SUM(B8:B14)</f>
        <v>0</v>
      </c>
      <c r="C15" s="73" t="n">
        <f aca="false">SUM(C8:C14)</f>
        <v>0</v>
      </c>
      <c r="D15" s="73" t="n">
        <f aca="false">SUM(D8:D14)</f>
        <v>0</v>
      </c>
    </row>
    <row r="17" customFormat="false" ht="15" hidden="false" customHeight="false" outlineLevel="0" collapsed="false">
      <c r="A17" s="28" t="s">
        <v>1563</v>
      </c>
      <c r="B17" s="28"/>
      <c r="C17" s="28"/>
      <c r="D17" s="28"/>
      <c r="E17" s="28"/>
    </row>
    <row r="18" customFormat="false" ht="15" hidden="false" customHeight="false" outlineLevel="0" collapsed="false">
      <c r="A18" s="112" t="s">
        <v>1564</v>
      </c>
      <c r="B18" s="112" t="s">
        <v>1565</v>
      </c>
      <c r="C18" s="112" t="s">
        <v>1566</v>
      </c>
      <c r="D18" s="112" t="s">
        <v>1204</v>
      </c>
      <c r="E18" s="112" t="s">
        <v>1567</v>
      </c>
    </row>
    <row r="19" customFormat="false" ht="15" hidden="false" customHeight="false" outlineLevel="0" collapsed="false">
      <c r="A19" s="113" t="s">
        <v>1568</v>
      </c>
      <c r="B19" s="113" t="s">
        <v>1569</v>
      </c>
      <c r="C19" s="113" t="n">
        <v>0.92</v>
      </c>
      <c r="D19" s="123" t="n">
        <v>100</v>
      </c>
      <c r="E19" s="123" t="n">
        <f aca="false">D19*C19</f>
        <v>92</v>
      </c>
    </row>
    <row r="22" customFormat="false" ht="15" hidden="false" customHeight="false" outlineLevel="0" collapsed="false">
      <c r="A22" s="63" t="s">
        <v>1570</v>
      </c>
      <c r="B22" s="63"/>
      <c r="C22" s="63"/>
      <c r="D22" s="63"/>
    </row>
    <row r="23" customFormat="false" ht="19.5" hidden="false" customHeight="true" outlineLevel="0" collapsed="false">
      <c r="A23" s="64" t="s">
        <v>1527</v>
      </c>
      <c r="B23" s="64" t="s">
        <v>1204</v>
      </c>
      <c r="C23" s="64" t="s">
        <v>1211</v>
      </c>
      <c r="D23" s="64" t="s">
        <v>1433</v>
      </c>
    </row>
    <row r="24" customFormat="false" ht="15" hidden="false" customHeight="false" outlineLevel="0" collapsed="false">
      <c r="A24" s="118"/>
      <c r="B24" s="119"/>
      <c r="C24" s="99"/>
      <c r="D24" s="99"/>
    </row>
    <row r="25" customFormat="false" ht="15" hidden="false" customHeight="false" outlineLevel="0" collapsed="false">
      <c r="A25" s="120"/>
      <c r="B25" s="121"/>
      <c r="C25" s="117"/>
      <c r="D25" s="117"/>
    </row>
    <row r="26" customFormat="false" ht="15" hidden="false" customHeight="false" outlineLevel="0" collapsed="false">
      <c r="A26" s="118"/>
      <c r="B26" s="119"/>
      <c r="C26" s="99"/>
      <c r="D26" s="99"/>
    </row>
    <row r="27" customFormat="false" ht="15" hidden="false" customHeight="false" outlineLevel="0" collapsed="false">
      <c r="A27" s="120"/>
      <c r="B27" s="121"/>
      <c r="C27" s="117"/>
      <c r="D27" s="117"/>
    </row>
    <row r="28" customFormat="false" ht="15" hidden="false" customHeight="false" outlineLevel="0" collapsed="false">
      <c r="A28" s="118"/>
      <c r="B28" s="119"/>
      <c r="C28" s="99"/>
      <c r="D28" s="99"/>
    </row>
    <row r="29" customFormat="false" ht="15" hidden="false" customHeight="false" outlineLevel="0" collapsed="false">
      <c r="A29" s="120"/>
      <c r="B29" s="121"/>
      <c r="C29" s="117"/>
      <c r="D29" s="117"/>
    </row>
    <row r="30" customFormat="false" ht="15" hidden="false" customHeight="false" outlineLevel="0" collapsed="false">
      <c r="A30" s="118"/>
      <c r="B30" s="119"/>
      <c r="C30" s="99"/>
      <c r="D30" s="99"/>
    </row>
    <row r="31" customFormat="false" ht="15" hidden="false" customHeight="false" outlineLevel="0" collapsed="false">
      <c r="A31" s="120"/>
      <c r="B31" s="121"/>
      <c r="C31" s="117"/>
      <c r="D31" s="117"/>
    </row>
    <row r="32" customFormat="false" ht="15" hidden="false" customHeight="false" outlineLevel="0" collapsed="false">
      <c r="A32" s="118"/>
      <c r="B32" s="119"/>
      <c r="C32" s="99"/>
      <c r="D32" s="99"/>
    </row>
    <row r="33" customFormat="false" ht="15" hidden="false" customHeight="false" outlineLevel="0" collapsed="false">
      <c r="A33" s="120"/>
      <c r="B33" s="121"/>
      <c r="C33" s="117"/>
      <c r="D33" s="117"/>
    </row>
    <row r="34" customFormat="false" ht="15" hidden="false" customHeight="false" outlineLevel="0" collapsed="false">
      <c r="A34" s="118"/>
      <c r="B34" s="119"/>
      <c r="C34" s="99"/>
      <c r="D34" s="99"/>
    </row>
    <row r="35" customFormat="false" ht="15" hidden="false" customHeight="false" outlineLevel="0" collapsed="false">
      <c r="A35" s="120"/>
      <c r="B35" s="121"/>
      <c r="C35" s="117"/>
      <c r="D35" s="117"/>
    </row>
    <row r="36" customFormat="false" ht="15" hidden="false" customHeight="false" outlineLevel="0" collapsed="false">
      <c r="A36" s="118"/>
      <c r="B36" s="119"/>
      <c r="C36" s="99"/>
      <c r="D36" s="99"/>
    </row>
    <row r="37" customFormat="false" ht="15" hidden="false" customHeight="false" outlineLevel="0" collapsed="false">
      <c r="A37" s="120"/>
      <c r="B37" s="121"/>
      <c r="C37" s="117"/>
      <c r="D37" s="117"/>
    </row>
    <row r="38" customFormat="false" ht="15" hidden="false" customHeight="false" outlineLevel="0" collapsed="false">
      <c r="A38" s="118"/>
      <c r="B38" s="119"/>
      <c r="C38" s="99"/>
      <c r="D38" s="99"/>
    </row>
    <row r="39" customFormat="false" ht="15" hidden="false" customHeight="false" outlineLevel="0" collapsed="false">
      <c r="A39" s="120"/>
      <c r="B39" s="121"/>
      <c r="C39" s="117"/>
      <c r="D39" s="117"/>
    </row>
    <row r="40" customFormat="false" ht="15" hidden="false" customHeight="false" outlineLevel="0" collapsed="false">
      <c r="A40" s="118"/>
      <c r="B40" s="119"/>
      <c r="C40" s="99"/>
      <c r="D40" s="99"/>
    </row>
    <row r="41" customFormat="false" ht="15" hidden="false" customHeight="false" outlineLevel="0" collapsed="false">
      <c r="A41" s="120"/>
      <c r="B41" s="121"/>
      <c r="C41" s="117"/>
      <c r="D41" s="117"/>
    </row>
    <row r="42" customFormat="false" ht="15" hidden="false" customHeight="false" outlineLevel="0" collapsed="false">
      <c r="A42" s="118"/>
      <c r="B42" s="119"/>
      <c r="C42" s="99"/>
      <c r="D42" s="99"/>
    </row>
    <row r="43" customFormat="false" ht="15" hidden="false" customHeight="false" outlineLevel="0" collapsed="false">
      <c r="A43" s="120"/>
      <c r="B43" s="121"/>
      <c r="C43" s="117"/>
      <c r="D43" s="117"/>
    </row>
    <row r="45" customFormat="false" ht="15" hidden="false" customHeight="false" outlineLevel="0" collapsed="false">
      <c r="A45" s="59" t="s">
        <v>1540</v>
      </c>
      <c r="B45" s="59"/>
      <c r="C45" s="59"/>
      <c r="D45" s="59"/>
      <c r="E45" s="59"/>
      <c r="F45" s="59"/>
      <c r="G45" s="59"/>
      <c r="H45" s="59"/>
    </row>
    <row r="46" customFormat="false" ht="19.5" hidden="false" customHeight="true" outlineLevel="0" collapsed="false">
      <c r="A46" s="66" t="s">
        <v>1541</v>
      </c>
      <c r="B46" s="66" t="s">
        <v>1246</v>
      </c>
      <c r="C46" s="66" t="s">
        <v>1542</v>
      </c>
      <c r="D46" s="66" t="s">
        <v>1248</v>
      </c>
      <c r="E46" s="66" t="s">
        <v>1543</v>
      </c>
      <c r="F46" s="66" t="s">
        <v>1131</v>
      </c>
      <c r="G46" s="66" t="s">
        <v>1234</v>
      </c>
      <c r="H46" s="66" t="s">
        <v>1545</v>
      </c>
    </row>
    <row r="47" customFormat="false" ht="15" hidden="false" customHeight="false" outlineLevel="0" collapsed="false">
      <c r="A47" s="99" t="s">
        <v>1546</v>
      </c>
      <c r="B47" s="99"/>
      <c r="C47" s="99"/>
      <c r="D47" s="99"/>
      <c r="E47" s="118"/>
      <c r="F47" s="99"/>
      <c r="G47" s="99"/>
      <c r="H47" s="99"/>
    </row>
    <row r="48" customFormat="false" ht="15" hidden="false" customHeight="false" outlineLevel="0" collapsed="false">
      <c r="A48" s="117" t="s">
        <v>1547</v>
      </c>
      <c r="B48" s="117"/>
      <c r="C48" s="117"/>
      <c r="D48" s="117"/>
      <c r="E48" s="120"/>
      <c r="F48" s="117"/>
      <c r="G48" s="117"/>
      <c r="H48" s="117"/>
    </row>
    <row r="50" customFormat="false" ht="15" hidden="false" customHeight="false" outlineLevel="0" collapsed="false">
      <c r="A50" s="67" t="s">
        <v>1548</v>
      </c>
      <c r="B50" s="67"/>
      <c r="C50" s="67"/>
      <c r="D50" s="67"/>
      <c r="E50" s="67"/>
      <c r="F50" s="67"/>
    </row>
    <row r="51" customFormat="false" ht="19.5" hidden="false" customHeight="true" outlineLevel="0" collapsed="false">
      <c r="A51" s="61" t="s">
        <v>1549</v>
      </c>
      <c r="B51" s="61" t="s">
        <v>1550</v>
      </c>
      <c r="C51" s="61" t="s">
        <v>1551</v>
      </c>
      <c r="D51" s="61" t="s">
        <v>1552</v>
      </c>
      <c r="E51" s="61" t="s">
        <v>1553</v>
      </c>
      <c r="F51" s="61" t="s">
        <v>1153</v>
      </c>
    </row>
    <row r="52" customFormat="false" ht="15" hidden="false" customHeight="false" outlineLevel="0" collapsed="false">
      <c r="A52" s="99"/>
      <c r="B52" s="99"/>
      <c r="C52" s="99"/>
      <c r="D52" s="99"/>
      <c r="E52" s="99"/>
      <c r="F52" s="99"/>
    </row>
    <row r="53" customFormat="false" ht="15" hidden="false" customHeight="false" outlineLevel="0" collapsed="false">
      <c r="A53" s="117"/>
      <c r="B53" s="117"/>
      <c r="C53" s="117"/>
      <c r="D53" s="117"/>
      <c r="E53" s="117"/>
      <c r="F53" s="117"/>
    </row>
    <row r="54" customFormat="false" ht="15" hidden="false" customHeight="false" outlineLevel="0" collapsed="false">
      <c r="A54" s="99"/>
      <c r="B54" s="99"/>
      <c r="C54" s="99"/>
      <c r="D54" s="99"/>
      <c r="E54" s="99"/>
      <c r="F54" s="99"/>
    </row>
    <row r="55" customFormat="false" ht="15" hidden="false" customHeight="false" outlineLevel="0" collapsed="false">
      <c r="A55" s="117"/>
      <c r="B55" s="117"/>
      <c r="C55" s="117"/>
      <c r="D55" s="117"/>
      <c r="E55" s="117"/>
      <c r="F55" s="117"/>
    </row>
    <row r="56" customFormat="false" ht="15" hidden="false" customHeight="false" outlineLevel="0" collapsed="false">
      <c r="A56" s="99"/>
      <c r="B56" s="99"/>
      <c r="C56" s="99"/>
      <c r="D56" s="99"/>
      <c r="E56" s="99"/>
      <c r="F56" s="99"/>
    </row>
    <row r="57" customFormat="false" ht="15" hidden="false" customHeight="false" outlineLevel="0" collapsed="false">
      <c r="A57" s="117"/>
      <c r="B57" s="117"/>
      <c r="C57" s="117"/>
      <c r="D57" s="117"/>
      <c r="E57" s="117"/>
      <c r="F57" s="117"/>
    </row>
    <row r="60" customFormat="false" ht="15" hidden="false" customHeight="false" outlineLevel="0" collapsed="false">
      <c r="A60" s="52" t="s">
        <v>1571</v>
      </c>
      <c r="B60" s="52"/>
      <c r="C60" s="52"/>
    </row>
    <row r="61" customFormat="false" ht="19.5" hidden="false" customHeight="true" outlineLevel="0" collapsed="false">
      <c r="A61" s="51" t="s">
        <v>58</v>
      </c>
      <c r="B61" s="51" t="s">
        <v>121</v>
      </c>
      <c r="C61" s="51" t="s">
        <v>122</v>
      </c>
      <c r="F61" s="16" t="s">
        <v>1234</v>
      </c>
      <c r="G61" s="16" t="s">
        <v>77</v>
      </c>
      <c r="I61" s="16" t="s">
        <v>122</v>
      </c>
      <c r="J61" s="16" t="s">
        <v>1572</v>
      </c>
    </row>
    <row r="62" customFormat="false" ht="15" hidden="false" customHeight="false" outlineLevel="0" collapsed="false">
      <c r="A62" s="55" t="n">
        <f aca="false">FALSE()</f>
        <v>0</v>
      </c>
      <c r="B62" s="45" t="s">
        <v>1573</v>
      </c>
      <c r="C62" s="45" t="s">
        <v>66</v>
      </c>
      <c r="F62" s="17" t="s">
        <v>58</v>
      </c>
      <c r="G62" s="17" t="n">
        <f aca="false">COUNTIF(A62:A71,TRUE())</f>
        <v>0</v>
      </c>
      <c r="I62" s="17" t="s">
        <v>64</v>
      </c>
      <c r="J62" s="17" t="n">
        <f aca="false">COUNTIFS($C$62:$C$71,I62,$A$62:$A$71,FALSE())</f>
        <v>0</v>
      </c>
    </row>
    <row r="63" customFormat="false" ht="15" hidden="false" customHeight="false" outlineLevel="0" collapsed="false">
      <c r="A63" s="53" t="n">
        <f aca="false">FALSE()</f>
        <v>0</v>
      </c>
      <c r="B63" s="47" t="s">
        <v>1574</v>
      </c>
      <c r="C63" s="47" t="s">
        <v>66</v>
      </c>
      <c r="F63" s="17" t="s">
        <v>1572</v>
      </c>
      <c r="G63" s="17" t="n">
        <f aca="false">COUNTIF(A62:A71,FALSE())</f>
        <v>10</v>
      </c>
      <c r="I63" s="17" t="s">
        <v>65</v>
      </c>
      <c r="J63" s="17" t="n">
        <f aca="false">COUNTIFS($C$62:$C$71,I63,$A$62:$A$71,FALSE())</f>
        <v>0</v>
      </c>
    </row>
    <row r="64" customFormat="false" ht="15" hidden="false" customHeight="false" outlineLevel="0" collapsed="false">
      <c r="A64" s="55" t="n">
        <f aca="false">FALSE()</f>
        <v>0</v>
      </c>
      <c r="B64" s="45" t="s">
        <v>1575</v>
      </c>
      <c r="C64" s="45" t="s">
        <v>66</v>
      </c>
      <c r="I64" s="17" t="s">
        <v>66</v>
      </c>
      <c r="J64" s="17" t="n">
        <f aca="false">COUNTIFS($C$62:$C$71,I64,$A$62:$A$71,FALSE())</f>
        <v>10</v>
      </c>
    </row>
    <row r="65" customFormat="false" ht="15" hidden="false" customHeight="false" outlineLevel="0" collapsed="false">
      <c r="A65" s="53" t="n">
        <f aca="false">FALSE()</f>
        <v>0</v>
      </c>
      <c r="B65" s="47" t="s">
        <v>1576</v>
      </c>
      <c r="C65" s="47" t="s">
        <v>66</v>
      </c>
      <c r="I65" s="17" t="s">
        <v>160</v>
      </c>
      <c r="J65" s="17" t="n">
        <f aca="false">COUNTIFS($C$62:$C$71,I65,$A$62:$A$71,FALSE())</f>
        <v>0</v>
      </c>
    </row>
    <row r="66" customFormat="false" ht="15" hidden="false" customHeight="false" outlineLevel="0" collapsed="false">
      <c r="A66" s="55" t="n">
        <f aca="false">FALSE()</f>
        <v>0</v>
      </c>
      <c r="B66" s="45" t="s">
        <v>1577</v>
      </c>
      <c r="C66" s="45" t="s">
        <v>66</v>
      </c>
      <c r="I66" s="17" t="s">
        <v>162</v>
      </c>
      <c r="J66" s="17" t="n">
        <f aca="false">COUNTIFS($C$62:$C$71,I66,$A$62:$A$71,FALSE())</f>
        <v>0</v>
      </c>
    </row>
    <row r="67" customFormat="false" ht="15" hidden="false" customHeight="false" outlineLevel="0" collapsed="false">
      <c r="A67" s="53" t="n">
        <f aca="false">FALSE()</f>
        <v>0</v>
      </c>
      <c r="B67" s="47" t="s">
        <v>1578</v>
      </c>
      <c r="C67" s="47" t="s">
        <v>66</v>
      </c>
      <c r="I67" s="17" t="s">
        <v>164</v>
      </c>
      <c r="J67" s="17" t="n">
        <f aca="false">COUNTIFS($C$62:$C$71,I67,$A$62:$A$71,FALSE())</f>
        <v>0</v>
      </c>
    </row>
    <row r="68" customFormat="false" ht="15" hidden="false" customHeight="false" outlineLevel="0" collapsed="false">
      <c r="A68" s="55" t="n">
        <f aca="false">FALSE()</f>
        <v>0</v>
      </c>
      <c r="B68" s="45" t="s">
        <v>1579</v>
      </c>
      <c r="C68" s="45" t="s">
        <v>66</v>
      </c>
      <c r="I68" s="17" t="s">
        <v>166</v>
      </c>
      <c r="J68" s="17" t="n">
        <f aca="false">COUNTIFS($C$62:$C$71,I68,$A$62:$A$71,FALSE())</f>
        <v>0</v>
      </c>
    </row>
    <row r="69" customFormat="false" ht="15" hidden="false" customHeight="false" outlineLevel="0" collapsed="false">
      <c r="A69" s="53" t="n">
        <f aca="false">FALSE()</f>
        <v>0</v>
      </c>
      <c r="B69" s="47" t="s">
        <v>1580</v>
      </c>
      <c r="C69" s="47" t="s">
        <v>66</v>
      </c>
      <c r="I69" s="17" t="s">
        <v>168</v>
      </c>
      <c r="J69" s="17" t="n">
        <f aca="false">COUNTIFS($C$62:$C$71,I69,$A$62:$A$71,FALSE())</f>
        <v>0</v>
      </c>
    </row>
    <row r="70" customFormat="false" ht="15" hidden="false" customHeight="false" outlineLevel="0" collapsed="false">
      <c r="A70" s="55" t="n">
        <f aca="false">FALSE()</f>
        <v>0</v>
      </c>
      <c r="B70" s="45" t="s">
        <v>1581</v>
      </c>
      <c r="C70" s="45" t="s">
        <v>66</v>
      </c>
    </row>
    <row r="71" customFormat="false" ht="15" hidden="false" customHeight="false" outlineLevel="0" collapsed="false">
      <c r="A71" s="53" t="n">
        <f aca="false">FALSE()</f>
        <v>0</v>
      </c>
      <c r="B71" s="47" t="s">
        <v>1582</v>
      </c>
      <c r="C71" s="47" t="s">
        <v>66</v>
      </c>
    </row>
    <row r="74" customFormat="false" ht="15" hidden="false" customHeight="false" outlineLevel="0" collapsed="false">
      <c r="A74" s="124" t="s">
        <v>1583</v>
      </c>
    </row>
  </sheetData>
  <mergeCells count="11">
    <mergeCell ref="A1:I1"/>
    <mergeCell ref="A3:B3"/>
    <mergeCell ref="C3:D3"/>
    <mergeCell ref="A4:B4"/>
    <mergeCell ref="C4:D4"/>
    <mergeCell ref="A6:D6"/>
    <mergeCell ref="A17:E17"/>
    <mergeCell ref="A22:D22"/>
    <mergeCell ref="A45:H45"/>
    <mergeCell ref="A50:F50"/>
    <mergeCell ref="A60:C60"/>
  </mergeCells>
  <conditionalFormatting sqref="A62:A71">
    <cfRule type="expression" priority="2" aboveAverage="0" equalAverage="0" bottom="0" percent="0" rank="0" text="" dxfId="4">
      <formula>A62=1</formula>
    </cfRule>
  </conditionalFormatting>
  <dataValidations count="5">
    <dataValidation allowBlank="true" errorStyle="stop" operator="between" showDropDown="false" showErrorMessage="false" showInputMessage="false" sqref="A19" type="list">
      <formula1>CurrencyList</formula1>
      <formula2>0</formula2>
    </dataValidation>
    <dataValidation allowBlank="true" errorStyle="stop" operator="between" showDropDown="false" showErrorMessage="false" showInputMessage="false" sqref="B19" type="list">
      <formula1>CurrencyList</formula1>
      <formula2>0</formula2>
    </dataValidation>
    <dataValidation allowBlank="true" errorStyle="stop" operator="between" showDropDown="false" showErrorMessage="false" showInputMessage="false" sqref="G47:G48" type="list">
      <formula1>BookingStatus</formula1>
      <formula2>0</formula2>
    </dataValidation>
    <dataValidation allowBlank="true" errorStyle="stop" operator="between" showDropDown="false" showErrorMessage="false" showInputMessage="false" sqref="A62:A71" type="list">
      <formula1>TrueFalse</formula1>
      <formula2>0</formula2>
    </dataValidation>
    <dataValidation allowBlank="true" errorStyle="stop" operator="between" showDropDown="false" showErrorMessage="false" showInputMessage="false" sqref="C62:C71" type="list">
      <formula1>AssignedTo</formula1>
      <formula2>0</formula2>
    </dataValidation>
  </dataValidations>
  <hyperlinks>
    <hyperlink ref="A74" r:id="rId1" location="'Packing%20List'!A1" display="Packing list reference: see the Packing List tab, Honeymoon section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8D8"/>
    <pageSetUpPr fitToPage="false"/>
  </sheetPr>
  <dimension ref="A1:F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62" t="s">
        <v>1584</v>
      </c>
      <c r="B1" s="62"/>
      <c r="C1" s="62"/>
      <c r="D1" s="62"/>
      <c r="E1" s="62"/>
      <c r="F1" s="62"/>
    </row>
    <row r="3" customFormat="false" ht="15" hidden="false" customHeight="false" outlineLevel="0" collapsed="false">
      <c r="A3" s="20" t="s">
        <v>1585</v>
      </c>
      <c r="B3" s="20"/>
      <c r="C3" s="20"/>
    </row>
    <row r="4" customFormat="false" ht="18.55" hidden="false" customHeight="false" outlineLevel="0" collapsed="false">
      <c r="A4" s="90" t="str">
        <f aca="false">IFERROR(COUNTIF(D7:D206,TRUE())&amp;" / "&amp;COUNTA(A7:A206),"0 / 0")</f>
        <v>0 / 0</v>
      </c>
      <c r="B4" s="90"/>
      <c r="C4" s="90"/>
    </row>
    <row r="6" customFormat="false" ht="19.5" hidden="false" customHeight="true" outlineLevel="0" collapsed="false">
      <c r="A6" s="64" t="s">
        <v>1474</v>
      </c>
      <c r="B6" s="64" t="s">
        <v>1586</v>
      </c>
      <c r="C6" s="64" t="s">
        <v>1587</v>
      </c>
      <c r="D6" s="64" t="s">
        <v>1588</v>
      </c>
      <c r="E6" s="64" t="s">
        <v>1589</v>
      </c>
      <c r="F6" s="64" t="s">
        <v>1153</v>
      </c>
    </row>
    <row r="7" customFormat="false" ht="15" hidden="false" customHeight="false" outlineLevel="0" collapsed="false">
      <c r="A7" s="45"/>
      <c r="B7" s="45"/>
      <c r="C7" s="74" t="n">
        <v>0</v>
      </c>
      <c r="D7" s="55" t="n">
        <f aca="false">FALSE()</f>
        <v>0</v>
      </c>
      <c r="E7" s="46"/>
      <c r="F7" s="45"/>
    </row>
    <row r="8" customFormat="false" ht="15" hidden="false" customHeight="false" outlineLevel="0" collapsed="false">
      <c r="A8" s="47"/>
      <c r="B8" s="47"/>
      <c r="C8" s="75" t="n">
        <v>0</v>
      </c>
      <c r="D8" s="53" t="n">
        <f aca="false">FALSE()</f>
        <v>0</v>
      </c>
      <c r="E8" s="48"/>
      <c r="F8" s="47"/>
    </row>
    <row r="9" customFormat="false" ht="15" hidden="false" customHeight="false" outlineLevel="0" collapsed="false">
      <c r="A9" s="45"/>
      <c r="B9" s="45"/>
      <c r="C9" s="74" t="n">
        <v>0</v>
      </c>
      <c r="D9" s="55" t="n">
        <f aca="false">FALSE()</f>
        <v>0</v>
      </c>
      <c r="E9" s="46"/>
      <c r="F9" s="45"/>
    </row>
    <row r="10" customFormat="false" ht="15" hidden="false" customHeight="false" outlineLevel="0" collapsed="false">
      <c r="A10" s="47"/>
      <c r="B10" s="47"/>
      <c r="C10" s="75" t="n">
        <v>0</v>
      </c>
      <c r="D10" s="53" t="n">
        <f aca="false">FALSE()</f>
        <v>0</v>
      </c>
      <c r="E10" s="48"/>
      <c r="F10" s="47"/>
    </row>
    <row r="11" customFormat="false" ht="15" hidden="false" customHeight="false" outlineLevel="0" collapsed="false">
      <c r="A11" s="45"/>
      <c r="B11" s="45"/>
      <c r="C11" s="74" t="n">
        <v>0</v>
      </c>
      <c r="D11" s="55" t="n">
        <f aca="false">FALSE()</f>
        <v>0</v>
      </c>
      <c r="E11" s="46"/>
      <c r="F11" s="45"/>
    </row>
    <row r="12" customFormat="false" ht="15" hidden="false" customHeight="false" outlineLevel="0" collapsed="false">
      <c r="A12" s="47"/>
      <c r="B12" s="47"/>
      <c r="C12" s="75" t="n">
        <v>0</v>
      </c>
      <c r="D12" s="53" t="n">
        <f aca="false">FALSE()</f>
        <v>0</v>
      </c>
      <c r="E12" s="48"/>
      <c r="F12" s="47"/>
    </row>
    <row r="13" customFormat="false" ht="15" hidden="false" customHeight="false" outlineLevel="0" collapsed="false">
      <c r="A13" s="45"/>
      <c r="B13" s="45"/>
      <c r="C13" s="74" t="n">
        <v>0</v>
      </c>
      <c r="D13" s="55" t="n">
        <f aca="false">FALSE()</f>
        <v>0</v>
      </c>
      <c r="E13" s="46"/>
      <c r="F13" s="45"/>
    </row>
    <row r="14" customFormat="false" ht="15" hidden="false" customHeight="false" outlineLevel="0" collapsed="false">
      <c r="A14" s="47"/>
      <c r="B14" s="47"/>
      <c r="C14" s="75" t="n">
        <v>0</v>
      </c>
      <c r="D14" s="53" t="n">
        <f aca="false">FALSE()</f>
        <v>0</v>
      </c>
      <c r="E14" s="48"/>
      <c r="F14" s="47"/>
    </row>
    <row r="15" customFormat="false" ht="15" hidden="false" customHeight="false" outlineLevel="0" collapsed="false">
      <c r="A15" s="45"/>
      <c r="B15" s="45"/>
      <c r="C15" s="74" t="n">
        <v>0</v>
      </c>
      <c r="D15" s="55" t="n">
        <f aca="false">FALSE()</f>
        <v>0</v>
      </c>
      <c r="E15" s="46"/>
      <c r="F15" s="45"/>
    </row>
    <row r="16" customFormat="false" ht="15" hidden="false" customHeight="false" outlineLevel="0" collapsed="false">
      <c r="A16" s="47"/>
      <c r="B16" s="47"/>
      <c r="C16" s="75" t="n">
        <v>0</v>
      </c>
      <c r="D16" s="53" t="n">
        <f aca="false">FALSE()</f>
        <v>0</v>
      </c>
      <c r="E16" s="48"/>
      <c r="F16" s="47"/>
    </row>
    <row r="17" customFormat="false" ht="15" hidden="false" customHeight="false" outlineLevel="0" collapsed="false">
      <c r="A17" s="45"/>
      <c r="B17" s="45"/>
      <c r="C17" s="74" t="n">
        <v>0</v>
      </c>
      <c r="D17" s="55" t="n">
        <f aca="false">FALSE()</f>
        <v>0</v>
      </c>
      <c r="E17" s="46"/>
      <c r="F17" s="45"/>
    </row>
    <row r="18" customFormat="false" ht="15" hidden="false" customHeight="false" outlineLevel="0" collapsed="false">
      <c r="A18" s="47"/>
      <c r="B18" s="47"/>
      <c r="C18" s="75" t="n">
        <v>0</v>
      </c>
      <c r="D18" s="53" t="n">
        <f aca="false">FALSE()</f>
        <v>0</v>
      </c>
      <c r="E18" s="48"/>
      <c r="F18" s="47"/>
    </row>
    <row r="19" customFormat="false" ht="15" hidden="false" customHeight="false" outlineLevel="0" collapsed="false">
      <c r="A19" s="45"/>
      <c r="B19" s="45"/>
      <c r="C19" s="74" t="n">
        <v>0</v>
      </c>
      <c r="D19" s="55" t="n">
        <f aca="false">FALSE()</f>
        <v>0</v>
      </c>
      <c r="E19" s="46"/>
      <c r="F19" s="45"/>
    </row>
    <row r="20" customFormat="false" ht="15" hidden="false" customHeight="false" outlineLevel="0" collapsed="false">
      <c r="A20" s="47"/>
      <c r="B20" s="47"/>
      <c r="C20" s="75" t="n">
        <v>0</v>
      </c>
      <c r="D20" s="53" t="n">
        <f aca="false">FALSE()</f>
        <v>0</v>
      </c>
      <c r="E20" s="48"/>
      <c r="F20" s="47"/>
    </row>
    <row r="21" customFormat="false" ht="15" hidden="false" customHeight="false" outlineLevel="0" collapsed="false">
      <c r="A21" s="45"/>
      <c r="B21" s="45"/>
      <c r="C21" s="74" t="n">
        <v>0</v>
      </c>
      <c r="D21" s="55" t="n">
        <f aca="false">FALSE()</f>
        <v>0</v>
      </c>
      <c r="E21" s="46"/>
      <c r="F21" s="45"/>
    </row>
    <row r="22" customFormat="false" ht="15" hidden="false" customHeight="false" outlineLevel="0" collapsed="false">
      <c r="A22" s="47"/>
      <c r="B22" s="47"/>
      <c r="C22" s="75" t="n">
        <v>0</v>
      </c>
      <c r="D22" s="53" t="n">
        <f aca="false">FALSE()</f>
        <v>0</v>
      </c>
      <c r="E22" s="48"/>
      <c r="F22" s="47"/>
    </row>
    <row r="23" customFormat="false" ht="15" hidden="false" customHeight="false" outlineLevel="0" collapsed="false">
      <c r="A23" s="45"/>
      <c r="B23" s="45"/>
      <c r="C23" s="74" t="n">
        <v>0</v>
      </c>
      <c r="D23" s="55" t="n">
        <f aca="false">FALSE()</f>
        <v>0</v>
      </c>
      <c r="E23" s="46"/>
      <c r="F23" s="45"/>
    </row>
    <row r="24" customFormat="false" ht="15" hidden="false" customHeight="false" outlineLevel="0" collapsed="false">
      <c r="A24" s="47"/>
      <c r="B24" s="47"/>
      <c r="C24" s="75" t="n">
        <v>0</v>
      </c>
      <c r="D24" s="53" t="n">
        <f aca="false">FALSE()</f>
        <v>0</v>
      </c>
      <c r="E24" s="48"/>
      <c r="F24" s="47"/>
    </row>
    <row r="25" customFormat="false" ht="15" hidden="false" customHeight="false" outlineLevel="0" collapsed="false">
      <c r="A25" s="45"/>
      <c r="B25" s="45"/>
      <c r="C25" s="74" t="n">
        <v>0</v>
      </c>
      <c r="D25" s="55" t="n">
        <f aca="false">FALSE()</f>
        <v>0</v>
      </c>
      <c r="E25" s="46"/>
      <c r="F25" s="45"/>
    </row>
    <row r="26" customFormat="false" ht="15" hidden="false" customHeight="false" outlineLevel="0" collapsed="false">
      <c r="A26" s="47"/>
      <c r="B26" s="47"/>
      <c r="C26" s="75" t="n">
        <v>0</v>
      </c>
      <c r="D26" s="53" t="n">
        <f aca="false">FALSE()</f>
        <v>0</v>
      </c>
      <c r="E26" s="48"/>
      <c r="F26" s="47"/>
    </row>
    <row r="27" customFormat="false" ht="15" hidden="false" customHeight="false" outlineLevel="0" collapsed="false">
      <c r="A27" s="45"/>
      <c r="B27" s="45"/>
      <c r="C27" s="74" t="n">
        <v>0</v>
      </c>
      <c r="D27" s="55" t="n">
        <f aca="false">FALSE()</f>
        <v>0</v>
      </c>
      <c r="E27" s="46"/>
      <c r="F27" s="45"/>
    </row>
    <row r="28" customFormat="false" ht="15" hidden="false" customHeight="false" outlineLevel="0" collapsed="false">
      <c r="A28" s="47"/>
      <c r="B28" s="47"/>
      <c r="C28" s="75" t="n">
        <v>0</v>
      </c>
      <c r="D28" s="53" t="n">
        <f aca="false">FALSE()</f>
        <v>0</v>
      </c>
      <c r="E28" s="48"/>
      <c r="F28" s="47"/>
    </row>
    <row r="29" customFormat="false" ht="15" hidden="false" customHeight="false" outlineLevel="0" collapsed="false">
      <c r="A29" s="45"/>
      <c r="B29" s="45"/>
      <c r="C29" s="74" t="n">
        <v>0</v>
      </c>
      <c r="D29" s="55" t="n">
        <f aca="false">FALSE()</f>
        <v>0</v>
      </c>
      <c r="E29" s="46"/>
      <c r="F29" s="45"/>
    </row>
    <row r="30" customFormat="false" ht="15" hidden="false" customHeight="false" outlineLevel="0" collapsed="false">
      <c r="A30" s="47"/>
      <c r="B30" s="47"/>
      <c r="C30" s="75" t="n">
        <v>0</v>
      </c>
      <c r="D30" s="53" t="n">
        <f aca="false">FALSE()</f>
        <v>0</v>
      </c>
      <c r="E30" s="48"/>
      <c r="F30" s="47"/>
    </row>
    <row r="31" customFormat="false" ht="15" hidden="false" customHeight="false" outlineLevel="0" collapsed="false">
      <c r="A31" s="45"/>
      <c r="B31" s="45"/>
      <c r="C31" s="74" t="n">
        <v>0</v>
      </c>
      <c r="D31" s="55" t="n">
        <f aca="false">FALSE()</f>
        <v>0</v>
      </c>
      <c r="E31" s="46"/>
      <c r="F31" s="45"/>
    </row>
    <row r="32" customFormat="false" ht="15" hidden="false" customHeight="false" outlineLevel="0" collapsed="false">
      <c r="A32" s="47"/>
      <c r="B32" s="47"/>
      <c r="C32" s="75" t="n">
        <v>0</v>
      </c>
      <c r="D32" s="53" t="n">
        <f aca="false">FALSE()</f>
        <v>0</v>
      </c>
      <c r="E32" s="48"/>
      <c r="F32" s="47"/>
    </row>
    <row r="33" customFormat="false" ht="15" hidden="false" customHeight="false" outlineLevel="0" collapsed="false">
      <c r="A33" s="45"/>
      <c r="B33" s="45"/>
      <c r="C33" s="74" t="n">
        <v>0</v>
      </c>
      <c r="D33" s="55" t="n">
        <f aca="false">FALSE()</f>
        <v>0</v>
      </c>
      <c r="E33" s="46"/>
      <c r="F33" s="45"/>
    </row>
    <row r="34" customFormat="false" ht="15" hidden="false" customHeight="false" outlineLevel="0" collapsed="false">
      <c r="A34" s="47"/>
      <c r="B34" s="47"/>
      <c r="C34" s="75" t="n">
        <v>0</v>
      </c>
      <c r="D34" s="53" t="n">
        <f aca="false">FALSE()</f>
        <v>0</v>
      </c>
      <c r="E34" s="48"/>
      <c r="F34" s="47"/>
    </row>
    <row r="35" customFormat="false" ht="15" hidden="false" customHeight="false" outlineLevel="0" collapsed="false">
      <c r="A35" s="45"/>
      <c r="B35" s="45"/>
      <c r="C35" s="74" t="n">
        <v>0</v>
      </c>
      <c r="D35" s="55" t="n">
        <f aca="false">FALSE()</f>
        <v>0</v>
      </c>
      <c r="E35" s="46"/>
      <c r="F35" s="45"/>
    </row>
    <row r="36" customFormat="false" ht="15" hidden="false" customHeight="false" outlineLevel="0" collapsed="false">
      <c r="A36" s="47"/>
      <c r="B36" s="47"/>
      <c r="C36" s="75" t="n">
        <v>0</v>
      </c>
      <c r="D36" s="53" t="n">
        <f aca="false">FALSE()</f>
        <v>0</v>
      </c>
      <c r="E36" s="48"/>
      <c r="F36" s="47"/>
    </row>
    <row r="37" customFormat="false" ht="15" hidden="false" customHeight="false" outlineLevel="0" collapsed="false">
      <c r="A37" s="45"/>
      <c r="B37" s="45"/>
      <c r="C37" s="74" t="n">
        <v>0</v>
      </c>
      <c r="D37" s="55" t="n">
        <f aca="false">FALSE()</f>
        <v>0</v>
      </c>
      <c r="E37" s="46"/>
      <c r="F37" s="45"/>
    </row>
    <row r="38" customFormat="false" ht="15" hidden="false" customHeight="false" outlineLevel="0" collapsed="false">
      <c r="A38" s="47"/>
      <c r="B38" s="47"/>
      <c r="C38" s="75" t="n">
        <v>0</v>
      </c>
      <c r="D38" s="53" t="n">
        <f aca="false">FALSE()</f>
        <v>0</v>
      </c>
      <c r="E38" s="48"/>
      <c r="F38" s="47"/>
    </row>
    <row r="39" customFormat="false" ht="15" hidden="false" customHeight="false" outlineLevel="0" collapsed="false">
      <c r="A39" s="45"/>
      <c r="B39" s="45"/>
      <c r="C39" s="74" t="n">
        <v>0</v>
      </c>
      <c r="D39" s="55" t="n">
        <f aca="false">FALSE()</f>
        <v>0</v>
      </c>
      <c r="E39" s="46"/>
      <c r="F39" s="45"/>
    </row>
    <row r="40" customFormat="false" ht="15" hidden="false" customHeight="false" outlineLevel="0" collapsed="false">
      <c r="A40" s="47"/>
      <c r="B40" s="47"/>
      <c r="C40" s="75" t="n">
        <v>0</v>
      </c>
      <c r="D40" s="53" t="n">
        <f aca="false">FALSE()</f>
        <v>0</v>
      </c>
      <c r="E40" s="48"/>
      <c r="F40" s="47"/>
    </row>
    <row r="41" customFormat="false" ht="15" hidden="false" customHeight="false" outlineLevel="0" collapsed="false">
      <c r="A41" s="45"/>
      <c r="B41" s="45"/>
      <c r="C41" s="74" t="n">
        <v>0</v>
      </c>
      <c r="D41" s="55" t="n">
        <f aca="false">FALSE()</f>
        <v>0</v>
      </c>
      <c r="E41" s="46"/>
      <c r="F41" s="45"/>
    </row>
    <row r="42" customFormat="false" ht="15" hidden="false" customHeight="false" outlineLevel="0" collapsed="false">
      <c r="A42" s="47"/>
      <c r="B42" s="47"/>
      <c r="C42" s="75" t="n">
        <v>0</v>
      </c>
      <c r="D42" s="53" t="n">
        <f aca="false">FALSE()</f>
        <v>0</v>
      </c>
      <c r="E42" s="48"/>
      <c r="F42" s="47"/>
    </row>
    <row r="43" customFormat="false" ht="15" hidden="false" customHeight="false" outlineLevel="0" collapsed="false">
      <c r="A43" s="45"/>
      <c r="B43" s="45"/>
      <c r="C43" s="74" t="n">
        <v>0</v>
      </c>
      <c r="D43" s="55" t="n">
        <f aca="false">FALSE()</f>
        <v>0</v>
      </c>
      <c r="E43" s="46"/>
      <c r="F43" s="45"/>
    </row>
    <row r="44" customFormat="false" ht="15" hidden="false" customHeight="false" outlineLevel="0" collapsed="false">
      <c r="A44" s="47"/>
      <c r="B44" s="47"/>
      <c r="C44" s="75" t="n">
        <v>0</v>
      </c>
      <c r="D44" s="53" t="n">
        <f aca="false">FALSE()</f>
        <v>0</v>
      </c>
      <c r="E44" s="48"/>
      <c r="F44" s="47"/>
    </row>
    <row r="45" customFormat="false" ht="15" hidden="false" customHeight="false" outlineLevel="0" collapsed="false">
      <c r="A45" s="45"/>
      <c r="B45" s="45"/>
      <c r="C45" s="74" t="n">
        <v>0</v>
      </c>
      <c r="D45" s="55" t="n">
        <f aca="false">FALSE()</f>
        <v>0</v>
      </c>
      <c r="E45" s="46"/>
      <c r="F45" s="45"/>
    </row>
    <row r="46" customFormat="false" ht="15" hidden="false" customHeight="false" outlineLevel="0" collapsed="false">
      <c r="A46" s="47"/>
      <c r="B46" s="47"/>
      <c r="C46" s="75" t="n">
        <v>0</v>
      </c>
      <c r="D46" s="53" t="n">
        <f aca="false">FALSE()</f>
        <v>0</v>
      </c>
      <c r="E46" s="48"/>
      <c r="F46" s="47"/>
    </row>
    <row r="47" customFormat="false" ht="15" hidden="false" customHeight="false" outlineLevel="0" collapsed="false">
      <c r="A47" s="45"/>
      <c r="B47" s="45"/>
      <c r="C47" s="74" t="n">
        <v>0</v>
      </c>
      <c r="D47" s="55" t="n">
        <f aca="false">FALSE()</f>
        <v>0</v>
      </c>
      <c r="E47" s="46"/>
      <c r="F47" s="45"/>
    </row>
    <row r="48" customFormat="false" ht="15" hidden="false" customHeight="false" outlineLevel="0" collapsed="false">
      <c r="A48" s="47"/>
      <c r="B48" s="47"/>
      <c r="C48" s="75" t="n">
        <v>0</v>
      </c>
      <c r="D48" s="53" t="n">
        <f aca="false">FALSE()</f>
        <v>0</v>
      </c>
      <c r="E48" s="48"/>
      <c r="F48" s="47"/>
    </row>
    <row r="49" customFormat="false" ht="15" hidden="false" customHeight="false" outlineLevel="0" collapsed="false">
      <c r="A49" s="45"/>
      <c r="B49" s="45"/>
      <c r="C49" s="74" t="n">
        <v>0</v>
      </c>
      <c r="D49" s="55" t="n">
        <f aca="false">FALSE()</f>
        <v>0</v>
      </c>
      <c r="E49" s="46"/>
      <c r="F49" s="45"/>
    </row>
    <row r="50" customFormat="false" ht="15" hidden="false" customHeight="false" outlineLevel="0" collapsed="false">
      <c r="A50" s="47"/>
      <c r="B50" s="47"/>
      <c r="C50" s="75" t="n">
        <v>0</v>
      </c>
      <c r="D50" s="53" t="n">
        <f aca="false">FALSE()</f>
        <v>0</v>
      </c>
      <c r="E50" s="48"/>
      <c r="F50" s="47"/>
    </row>
    <row r="51" customFormat="false" ht="15" hidden="false" customHeight="false" outlineLevel="0" collapsed="false">
      <c r="A51" s="45"/>
      <c r="B51" s="45"/>
      <c r="C51" s="74" t="n">
        <v>0</v>
      </c>
      <c r="D51" s="55" t="n">
        <f aca="false">FALSE()</f>
        <v>0</v>
      </c>
      <c r="E51" s="46"/>
      <c r="F51" s="45"/>
    </row>
    <row r="52" customFormat="false" ht="15" hidden="false" customHeight="false" outlineLevel="0" collapsed="false">
      <c r="A52" s="47"/>
      <c r="B52" s="47"/>
      <c r="C52" s="75" t="n">
        <v>0</v>
      </c>
      <c r="D52" s="53" t="n">
        <f aca="false">FALSE()</f>
        <v>0</v>
      </c>
      <c r="E52" s="48"/>
      <c r="F52" s="47"/>
    </row>
    <row r="53" customFormat="false" ht="15" hidden="false" customHeight="false" outlineLevel="0" collapsed="false">
      <c r="A53" s="45"/>
      <c r="B53" s="45"/>
      <c r="C53" s="74" t="n">
        <v>0</v>
      </c>
      <c r="D53" s="55" t="n">
        <f aca="false">FALSE()</f>
        <v>0</v>
      </c>
      <c r="E53" s="46"/>
      <c r="F53" s="45"/>
    </row>
    <row r="54" customFormat="false" ht="15" hidden="false" customHeight="false" outlineLevel="0" collapsed="false">
      <c r="A54" s="47"/>
      <c r="B54" s="47"/>
      <c r="C54" s="75" t="n">
        <v>0</v>
      </c>
      <c r="D54" s="53" t="n">
        <f aca="false">FALSE()</f>
        <v>0</v>
      </c>
      <c r="E54" s="48"/>
      <c r="F54" s="47"/>
    </row>
    <row r="55" customFormat="false" ht="15" hidden="false" customHeight="false" outlineLevel="0" collapsed="false">
      <c r="A55" s="45"/>
      <c r="B55" s="45"/>
      <c r="C55" s="74" t="n">
        <v>0</v>
      </c>
      <c r="D55" s="55" t="n">
        <f aca="false">FALSE()</f>
        <v>0</v>
      </c>
      <c r="E55" s="46"/>
      <c r="F55" s="45"/>
    </row>
    <row r="56" customFormat="false" ht="15" hidden="false" customHeight="false" outlineLevel="0" collapsed="false">
      <c r="A56" s="47"/>
      <c r="B56" s="47"/>
      <c r="C56" s="75" t="n">
        <v>0</v>
      </c>
      <c r="D56" s="53" t="n">
        <f aca="false">FALSE()</f>
        <v>0</v>
      </c>
      <c r="E56" s="48"/>
      <c r="F56" s="47"/>
    </row>
    <row r="57" customFormat="false" ht="15" hidden="false" customHeight="false" outlineLevel="0" collapsed="false">
      <c r="A57" s="45"/>
      <c r="B57" s="45"/>
      <c r="C57" s="74" t="n">
        <v>0</v>
      </c>
      <c r="D57" s="55" t="n">
        <f aca="false">FALSE()</f>
        <v>0</v>
      </c>
      <c r="E57" s="46"/>
      <c r="F57" s="45"/>
    </row>
    <row r="58" customFormat="false" ht="15" hidden="false" customHeight="false" outlineLevel="0" collapsed="false">
      <c r="A58" s="47"/>
      <c r="B58" s="47"/>
      <c r="C58" s="75" t="n">
        <v>0</v>
      </c>
      <c r="D58" s="53" t="n">
        <f aca="false">FALSE()</f>
        <v>0</v>
      </c>
      <c r="E58" s="48"/>
      <c r="F58" s="47"/>
    </row>
    <row r="59" customFormat="false" ht="15" hidden="false" customHeight="false" outlineLevel="0" collapsed="false">
      <c r="A59" s="45"/>
      <c r="B59" s="45"/>
      <c r="C59" s="74" t="n">
        <v>0</v>
      </c>
      <c r="D59" s="55" t="n">
        <f aca="false">FALSE()</f>
        <v>0</v>
      </c>
      <c r="E59" s="46"/>
      <c r="F59" s="45"/>
    </row>
    <row r="60" customFormat="false" ht="15" hidden="false" customHeight="false" outlineLevel="0" collapsed="false">
      <c r="A60" s="47"/>
      <c r="B60" s="47"/>
      <c r="C60" s="75" t="n">
        <v>0</v>
      </c>
      <c r="D60" s="53" t="n">
        <f aca="false">FALSE()</f>
        <v>0</v>
      </c>
      <c r="E60" s="48"/>
      <c r="F60" s="47"/>
    </row>
    <row r="61" customFormat="false" ht="15" hidden="false" customHeight="false" outlineLevel="0" collapsed="false">
      <c r="A61" s="45"/>
      <c r="B61" s="45"/>
      <c r="C61" s="74" t="n">
        <v>0</v>
      </c>
      <c r="D61" s="55" t="n">
        <f aca="false">FALSE()</f>
        <v>0</v>
      </c>
      <c r="E61" s="46"/>
      <c r="F61" s="45"/>
    </row>
    <row r="62" customFormat="false" ht="15" hidden="false" customHeight="false" outlineLevel="0" collapsed="false">
      <c r="A62" s="47"/>
      <c r="B62" s="47"/>
      <c r="C62" s="75" t="n">
        <v>0</v>
      </c>
      <c r="D62" s="53" t="n">
        <f aca="false">FALSE()</f>
        <v>0</v>
      </c>
      <c r="E62" s="48"/>
      <c r="F62" s="47"/>
    </row>
    <row r="63" customFormat="false" ht="15" hidden="false" customHeight="false" outlineLevel="0" collapsed="false">
      <c r="A63" s="45"/>
      <c r="B63" s="45"/>
      <c r="C63" s="74" t="n">
        <v>0</v>
      </c>
      <c r="D63" s="55" t="n">
        <f aca="false">FALSE()</f>
        <v>0</v>
      </c>
      <c r="E63" s="46"/>
      <c r="F63" s="45"/>
    </row>
    <row r="64" customFormat="false" ht="15" hidden="false" customHeight="false" outlineLevel="0" collapsed="false">
      <c r="A64" s="47"/>
      <c r="B64" s="47"/>
      <c r="C64" s="75" t="n">
        <v>0</v>
      </c>
      <c r="D64" s="53" t="n">
        <f aca="false">FALSE()</f>
        <v>0</v>
      </c>
      <c r="E64" s="48"/>
      <c r="F64" s="47"/>
    </row>
    <row r="65" customFormat="false" ht="15" hidden="false" customHeight="false" outlineLevel="0" collapsed="false">
      <c r="A65" s="45"/>
      <c r="B65" s="45"/>
      <c r="C65" s="74" t="n">
        <v>0</v>
      </c>
      <c r="D65" s="55" t="n">
        <f aca="false">FALSE()</f>
        <v>0</v>
      </c>
      <c r="E65" s="46"/>
      <c r="F65" s="45"/>
    </row>
    <row r="66" customFormat="false" ht="15" hidden="false" customHeight="false" outlineLevel="0" collapsed="false">
      <c r="A66" s="47"/>
      <c r="B66" s="47"/>
      <c r="C66" s="75" t="n">
        <v>0</v>
      </c>
      <c r="D66" s="53" t="n">
        <f aca="false">FALSE()</f>
        <v>0</v>
      </c>
      <c r="E66" s="48"/>
      <c r="F66" s="47"/>
    </row>
    <row r="67" customFormat="false" ht="15" hidden="false" customHeight="false" outlineLevel="0" collapsed="false">
      <c r="A67" s="45"/>
      <c r="B67" s="45"/>
      <c r="C67" s="74" t="n">
        <v>0</v>
      </c>
      <c r="D67" s="55" t="n">
        <f aca="false">FALSE()</f>
        <v>0</v>
      </c>
      <c r="E67" s="46"/>
      <c r="F67" s="45"/>
    </row>
    <row r="68" customFormat="false" ht="15" hidden="false" customHeight="false" outlineLevel="0" collapsed="false">
      <c r="A68" s="47"/>
      <c r="B68" s="47"/>
      <c r="C68" s="75" t="n">
        <v>0</v>
      </c>
      <c r="D68" s="53" t="n">
        <f aca="false">FALSE()</f>
        <v>0</v>
      </c>
      <c r="E68" s="48"/>
      <c r="F68" s="47"/>
    </row>
    <row r="69" customFormat="false" ht="15" hidden="false" customHeight="false" outlineLevel="0" collapsed="false">
      <c r="A69" s="45"/>
      <c r="B69" s="45"/>
      <c r="C69" s="74" t="n">
        <v>0</v>
      </c>
      <c r="D69" s="55" t="n">
        <f aca="false">FALSE()</f>
        <v>0</v>
      </c>
      <c r="E69" s="46"/>
      <c r="F69" s="45"/>
    </row>
    <row r="70" customFormat="false" ht="15" hidden="false" customHeight="false" outlineLevel="0" collapsed="false">
      <c r="A70" s="47"/>
      <c r="B70" s="47"/>
      <c r="C70" s="75" t="n">
        <v>0</v>
      </c>
      <c r="D70" s="53" t="n">
        <f aca="false">FALSE()</f>
        <v>0</v>
      </c>
      <c r="E70" s="48"/>
      <c r="F70" s="47"/>
    </row>
    <row r="71" customFormat="false" ht="15" hidden="false" customHeight="false" outlineLevel="0" collapsed="false">
      <c r="A71" s="45"/>
      <c r="B71" s="45"/>
      <c r="C71" s="74" t="n">
        <v>0</v>
      </c>
      <c r="D71" s="55" t="n">
        <f aca="false">FALSE()</f>
        <v>0</v>
      </c>
      <c r="E71" s="46"/>
      <c r="F71" s="45"/>
    </row>
    <row r="72" customFormat="false" ht="15" hidden="false" customHeight="false" outlineLevel="0" collapsed="false">
      <c r="A72" s="47"/>
      <c r="B72" s="47"/>
      <c r="C72" s="75" t="n">
        <v>0</v>
      </c>
      <c r="D72" s="53" t="n">
        <f aca="false">FALSE()</f>
        <v>0</v>
      </c>
      <c r="E72" s="48"/>
      <c r="F72" s="47"/>
    </row>
    <row r="73" customFormat="false" ht="15" hidden="false" customHeight="false" outlineLevel="0" collapsed="false">
      <c r="A73" s="45"/>
      <c r="B73" s="45"/>
      <c r="C73" s="74" t="n">
        <v>0</v>
      </c>
      <c r="D73" s="55" t="n">
        <f aca="false">FALSE()</f>
        <v>0</v>
      </c>
      <c r="E73" s="46"/>
      <c r="F73" s="45"/>
    </row>
    <row r="74" customFormat="false" ht="15" hidden="false" customHeight="false" outlineLevel="0" collapsed="false">
      <c r="A74" s="47"/>
      <c r="B74" s="47"/>
      <c r="C74" s="75" t="n">
        <v>0</v>
      </c>
      <c r="D74" s="53" t="n">
        <f aca="false">FALSE()</f>
        <v>0</v>
      </c>
      <c r="E74" s="48"/>
      <c r="F74" s="47"/>
    </row>
    <row r="75" customFormat="false" ht="15" hidden="false" customHeight="false" outlineLevel="0" collapsed="false">
      <c r="A75" s="45"/>
      <c r="B75" s="45"/>
      <c r="C75" s="74" t="n">
        <v>0</v>
      </c>
      <c r="D75" s="55" t="n">
        <f aca="false">FALSE()</f>
        <v>0</v>
      </c>
      <c r="E75" s="46"/>
      <c r="F75" s="45"/>
    </row>
    <row r="76" customFormat="false" ht="15" hidden="false" customHeight="false" outlineLevel="0" collapsed="false">
      <c r="A76" s="47"/>
      <c r="B76" s="47"/>
      <c r="C76" s="75" t="n">
        <v>0</v>
      </c>
      <c r="D76" s="53" t="n">
        <f aca="false">FALSE()</f>
        <v>0</v>
      </c>
      <c r="E76" s="48"/>
      <c r="F76" s="47"/>
    </row>
    <row r="77" customFormat="false" ht="15" hidden="false" customHeight="false" outlineLevel="0" collapsed="false">
      <c r="A77" s="45"/>
      <c r="B77" s="45"/>
      <c r="C77" s="74" t="n">
        <v>0</v>
      </c>
      <c r="D77" s="55" t="n">
        <f aca="false">FALSE()</f>
        <v>0</v>
      </c>
      <c r="E77" s="46"/>
      <c r="F77" s="45"/>
    </row>
    <row r="78" customFormat="false" ht="15" hidden="false" customHeight="false" outlineLevel="0" collapsed="false">
      <c r="A78" s="47"/>
      <c r="B78" s="47"/>
      <c r="C78" s="75" t="n">
        <v>0</v>
      </c>
      <c r="D78" s="53" t="n">
        <f aca="false">FALSE()</f>
        <v>0</v>
      </c>
      <c r="E78" s="48"/>
      <c r="F78" s="47"/>
    </row>
    <row r="79" customFormat="false" ht="15" hidden="false" customHeight="false" outlineLevel="0" collapsed="false">
      <c r="A79" s="45"/>
      <c r="B79" s="45"/>
      <c r="C79" s="74" t="n">
        <v>0</v>
      </c>
      <c r="D79" s="55" t="n">
        <f aca="false">FALSE()</f>
        <v>0</v>
      </c>
      <c r="E79" s="46"/>
      <c r="F79" s="45"/>
    </row>
    <row r="80" customFormat="false" ht="15" hidden="false" customHeight="false" outlineLevel="0" collapsed="false">
      <c r="A80" s="47"/>
      <c r="B80" s="47"/>
      <c r="C80" s="75" t="n">
        <v>0</v>
      </c>
      <c r="D80" s="53" t="n">
        <f aca="false">FALSE()</f>
        <v>0</v>
      </c>
      <c r="E80" s="48"/>
      <c r="F80" s="47"/>
    </row>
    <row r="81" customFormat="false" ht="15" hidden="false" customHeight="false" outlineLevel="0" collapsed="false">
      <c r="A81" s="45"/>
      <c r="B81" s="45"/>
      <c r="C81" s="74" t="n">
        <v>0</v>
      </c>
      <c r="D81" s="55" t="n">
        <f aca="false">FALSE()</f>
        <v>0</v>
      </c>
      <c r="E81" s="46"/>
      <c r="F81" s="45"/>
    </row>
    <row r="82" customFormat="false" ht="15" hidden="false" customHeight="false" outlineLevel="0" collapsed="false">
      <c r="A82" s="47"/>
      <c r="B82" s="47"/>
      <c r="C82" s="75" t="n">
        <v>0</v>
      </c>
      <c r="D82" s="53" t="n">
        <f aca="false">FALSE()</f>
        <v>0</v>
      </c>
      <c r="E82" s="48"/>
      <c r="F82" s="47"/>
    </row>
    <row r="83" customFormat="false" ht="15" hidden="false" customHeight="false" outlineLevel="0" collapsed="false">
      <c r="A83" s="45"/>
      <c r="B83" s="45"/>
      <c r="C83" s="74" t="n">
        <v>0</v>
      </c>
      <c r="D83" s="55" t="n">
        <f aca="false">FALSE()</f>
        <v>0</v>
      </c>
      <c r="E83" s="46"/>
      <c r="F83" s="45"/>
    </row>
    <row r="84" customFormat="false" ht="15" hidden="false" customHeight="false" outlineLevel="0" collapsed="false">
      <c r="A84" s="47"/>
      <c r="B84" s="47"/>
      <c r="C84" s="75" t="n">
        <v>0</v>
      </c>
      <c r="D84" s="53" t="n">
        <f aca="false">FALSE()</f>
        <v>0</v>
      </c>
      <c r="E84" s="48"/>
      <c r="F84" s="47"/>
    </row>
    <row r="85" customFormat="false" ht="15" hidden="false" customHeight="false" outlineLevel="0" collapsed="false">
      <c r="A85" s="45"/>
      <c r="B85" s="45"/>
      <c r="C85" s="74" t="n">
        <v>0</v>
      </c>
      <c r="D85" s="55" t="n">
        <f aca="false">FALSE()</f>
        <v>0</v>
      </c>
      <c r="E85" s="46"/>
      <c r="F85" s="45"/>
    </row>
    <row r="86" customFormat="false" ht="15" hidden="false" customHeight="false" outlineLevel="0" collapsed="false">
      <c r="A86" s="47"/>
      <c r="B86" s="47"/>
      <c r="C86" s="75" t="n">
        <v>0</v>
      </c>
      <c r="D86" s="53" t="n">
        <f aca="false">FALSE()</f>
        <v>0</v>
      </c>
      <c r="E86" s="48"/>
      <c r="F86" s="47"/>
    </row>
    <row r="87" customFormat="false" ht="15" hidden="false" customHeight="false" outlineLevel="0" collapsed="false">
      <c r="A87" s="45"/>
      <c r="B87" s="45"/>
      <c r="C87" s="74" t="n">
        <v>0</v>
      </c>
      <c r="D87" s="55" t="n">
        <f aca="false">FALSE()</f>
        <v>0</v>
      </c>
      <c r="E87" s="46"/>
      <c r="F87" s="45"/>
    </row>
    <row r="88" customFormat="false" ht="15" hidden="false" customHeight="false" outlineLevel="0" collapsed="false">
      <c r="A88" s="47"/>
      <c r="B88" s="47"/>
      <c r="C88" s="75" t="n">
        <v>0</v>
      </c>
      <c r="D88" s="53" t="n">
        <f aca="false">FALSE()</f>
        <v>0</v>
      </c>
      <c r="E88" s="48"/>
      <c r="F88" s="47"/>
    </row>
    <row r="89" customFormat="false" ht="15" hidden="false" customHeight="false" outlineLevel="0" collapsed="false">
      <c r="A89" s="45"/>
      <c r="B89" s="45"/>
      <c r="C89" s="74" t="n">
        <v>0</v>
      </c>
      <c r="D89" s="55" t="n">
        <f aca="false">FALSE()</f>
        <v>0</v>
      </c>
      <c r="E89" s="46"/>
      <c r="F89" s="45"/>
    </row>
    <row r="90" customFormat="false" ht="15" hidden="false" customHeight="false" outlineLevel="0" collapsed="false">
      <c r="A90" s="47"/>
      <c r="B90" s="47"/>
      <c r="C90" s="75" t="n">
        <v>0</v>
      </c>
      <c r="D90" s="53" t="n">
        <f aca="false">FALSE()</f>
        <v>0</v>
      </c>
      <c r="E90" s="48"/>
      <c r="F90" s="47"/>
    </row>
    <row r="91" customFormat="false" ht="15" hidden="false" customHeight="false" outlineLevel="0" collapsed="false">
      <c r="A91" s="45"/>
      <c r="B91" s="45"/>
      <c r="C91" s="74" t="n">
        <v>0</v>
      </c>
      <c r="D91" s="55" t="n">
        <f aca="false">FALSE()</f>
        <v>0</v>
      </c>
      <c r="E91" s="46"/>
      <c r="F91" s="45"/>
    </row>
    <row r="92" customFormat="false" ht="15" hidden="false" customHeight="false" outlineLevel="0" collapsed="false">
      <c r="A92" s="47"/>
      <c r="B92" s="47"/>
      <c r="C92" s="75" t="n">
        <v>0</v>
      </c>
      <c r="D92" s="53" t="n">
        <f aca="false">FALSE()</f>
        <v>0</v>
      </c>
      <c r="E92" s="48"/>
      <c r="F92" s="47"/>
    </row>
    <row r="93" customFormat="false" ht="15" hidden="false" customHeight="false" outlineLevel="0" collapsed="false">
      <c r="A93" s="45"/>
      <c r="B93" s="45"/>
      <c r="C93" s="74" t="n">
        <v>0</v>
      </c>
      <c r="D93" s="55" t="n">
        <f aca="false">FALSE()</f>
        <v>0</v>
      </c>
      <c r="E93" s="46"/>
      <c r="F93" s="45"/>
    </row>
    <row r="94" customFormat="false" ht="15" hidden="false" customHeight="false" outlineLevel="0" collapsed="false">
      <c r="A94" s="47"/>
      <c r="B94" s="47"/>
      <c r="C94" s="75" t="n">
        <v>0</v>
      </c>
      <c r="D94" s="53" t="n">
        <f aca="false">FALSE()</f>
        <v>0</v>
      </c>
      <c r="E94" s="48"/>
      <c r="F94" s="47"/>
    </row>
    <row r="95" customFormat="false" ht="15" hidden="false" customHeight="false" outlineLevel="0" collapsed="false">
      <c r="A95" s="45"/>
      <c r="B95" s="45"/>
      <c r="C95" s="74" t="n">
        <v>0</v>
      </c>
      <c r="D95" s="55" t="n">
        <f aca="false">FALSE()</f>
        <v>0</v>
      </c>
      <c r="E95" s="46"/>
      <c r="F95" s="45"/>
    </row>
    <row r="96" customFormat="false" ht="15" hidden="false" customHeight="false" outlineLevel="0" collapsed="false">
      <c r="A96" s="47"/>
      <c r="B96" s="47"/>
      <c r="C96" s="75" t="n">
        <v>0</v>
      </c>
      <c r="D96" s="53" t="n">
        <f aca="false">FALSE()</f>
        <v>0</v>
      </c>
      <c r="E96" s="48"/>
      <c r="F96" s="47"/>
    </row>
    <row r="97" customFormat="false" ht="15" hidden="false" customHeight="false" outlineLevel="0" collapsed="false">
      <c r="A97" s="45"/>
      <c r="B97" s="45"/>
      <c r="C97" s="74" t="n">
        <v>0</v>
      </c>
      <c r="D97" s="55" t="n">
        <f aca="false">FALSE()</f>
        <v>0</v>
      </c>
      <c r="E97" s="46"/>
      <c r="F97" s="45"/>
    </row>
    <row r="98" customFormat="false" ht="15" hidden="false" customHeight="false" outlineLevel="0" collapsed="false">
      <c r="A98" s="47"/>
      <c r="B98" s="47"/>
      <c r="C98" s="75" t="n">
        <v>0</v>
      </c>
      <c r="D98" s="53" t="n">
        <f aca="false">FALSE()</f>
        <v>0</v>
      </c>
      <c r="E98" s="48"/>
      <c r="F98" s="47"/>
    </row>
    <row r="99" customFormat="false" ht="15" hidden="false" customHeight="false" outlineLevel="0" collapsed="false">
      <c r="A99" s="45"/>
      <c r="B99" s="45"/>
      <c r="C99" s="74" t="n">
        <v>0</v>
      </c>
      <c r="D99" s="55" t="n">
        <f aca="false">FALSE()</f>
        <v>0</v>
      </c>
      <c r="E99" s="46"/>
      <c r="F99" s="45"/>
    </row>
    <row r="100" customFormat="false" ht="15" hidden="false" customHeight="false" outlineLevel="0" collapsed="false">
      <c r="A100" s="47"/>
      <c r="B100" s="47"/>
      <c r="C100" s="75" t="n">
        <v>0</v>
      </c>
      <c r="D100" s="53" t="n">
        <f aca="false">FALSE()</f>
        <v>0</v>
      </c>
      <c r="E100" s="48"/>
      <c r="F100" s="47"/>
    </row>
    <row r="101" customFormat="false" ht="15" hidden="false" customHeight="false" outlineLevel="0" collapsed="false">
      <c r="A101" s="45"/>
      <c r="B101" s="45"/>
      <c r="C101" s="74" t="n">
        <v>0</v>
      </c>
      <c r="D101" s="55" t="n">
        <f aca="false">FALSE()</f>
        <v>0</v>
      </c>
      <c r="E101" s="46"/>
      <c r="F101" s="45"/>
    </row>
    <row r="102" customFormat="false" ht="15" hidden="false" customHeight="false" outlineLevel="0" collapsed="false">
      <c r="A102" s="47"/>
      <c r="B102" s="47"/>
      <c r="C102" s="75" t="n">
        <v>0</v>
      </c>
      <c r="D102" s="53" t="n">
        <f aca="false">FALSE()</f>
        <v>0</v>
      </c>
      <c r="E102" s="48"/>
      <c r="F102" s="47"/>
    </row>
    <row r="103" customFormat="false" ht="15" hidden="false" customHeight="false" outlineLevel="0" collapsed="false">
      <c r="A103" s="45"/>
      <c r="B103" s="45"/>
      <c r="C103" s="74" t="n">
        <v>0</v>
      </c>
      <c r="D103" s="55" t="n">
        <f aca="false">FALSE()</f>
        <v>0</v>
      </c>
      <c r="E103" s="46"/>
      <c r="F103" s="45"/>
    </row>
    <row r="104" customFormat="false" ht="15" hidden="false" customHeight="false" outlineLevel="0" collapsed="false">
      <c r="A104" s="47"/>
      <c r="B104" s="47"/>
      <c r="C104" s="75" t="n">
        <v>0</v>
      </c>
      <c r="D104" s="53" t="n">
        <f aca="false">FALSE()</f>
        <v>0</v>
      </c>
      <c r="E104" s="48"/>
      <c r="F104" s="47"/>
    </row>
    <row r="105" customFormat="false" ht="15" hidden="false" customHeight="false" outlineLevel="0" collapsed="false">
      <c r="A105" s="45"/>
      <c r="B105" s="45"/>
      <c r="C105" s="74" t="n">
        <v>0</v>
      </c>
      <c r="D105" s="55" t="n">
        <f aca="false">FALSE()</f>
        <v>0</v>
      </c>
      <c r="E105" s="46"/>
      <c r="F105" s="45"/>
    </row>
    <row r="106" customFormat="false" ht="15" hidden="false" customHeight="false" outlineLevel="0" collapsed="false">
      <c r="A106" s="47"/>
      <c r="B106" s="47"/>
      <c r="C106" s="75" t="n">
        <v>0</v>
      </c>
      <c r="D106" s="53" t="n">
        <f aca="false">FALSE()</f>
        <v>0</v>
      </c>
      <c r="E106" s="48"/>
      <c r="F106" s="47"/>
    </row>
    <row r="107" customFormat="false" ht="15" hidden="false" customHeight="false" outlineLevel="0" collapsed="false">
      <c r="A107" s="45"/>
      <c r="B107" s="45"/>
      <c r="C107" s="74" t="n">
        <v>0</v>
      </c>
      <c r="D107" s="55" t="n">
        <f aca="false">FALSE()</f>
        <v>0</v>
      </c>
      <c r="E107" s="46"/>
      <c r="F107" s="45"/>
    </row>
    <row r="108" customFormat="false" ht="15" hidden="false" customHeight="false" outlineLevel="0" collapsed="false">
      <c r="A108" s="47"/>
      <c r="B108" s="47"/>
      <c r="C108" s="75" t="n">
        <v>0</v>
      </c>
      <c r="D108" s="53" t="n">
        <f aca="false">FALSE()</f>
        <v>0</v>
      </c>
      <c r="E108" s="48"/>
      <c r="F108" s="47"/>
    </row>
    <row r="109" customFormat="false" ht="15" hidden="false" customHeight="false" outlineLevel="0" collapsed="false">
      <c r="A109" s="45"/>
      <c r="B109" s="45"/>
      <c r="C109" s="74" t="n">
        <v>0</v>
      </c>
      <c r="D109" s="55" t="n">
        <f aca="false">FALSE()</f>
        <v>0</v>
      </c>
      <c r="E109" s="46"/>
      <c r="F109" s="45"/>
    </row>
    <row r="110" customFormat="false" ht="15" hidden="false" customHeight="false" outlineLevel="0" collapsed="false">
      <c r="A110" s="47"/>
      <c r="B110" s="47"/>
      <c r="C110" s="75" t="n">
        <v>0</v>
      </c>
      <c r="D110" s="53" t="n">
        <f aca="false">FALSE()</f>
        <v>0</v>
      </c>
      <c r="E110" s="48"/>
      <c r="F110" s="47"/>
    </row>
    <row r="111" customFormat="false" ht="15" hidden="false" customHeight="false" outlineLevel="0" collapsed="false">
      <c r="A111" s="45"/>
      <c r="B111" s="45"/>
      <c r="C111" s="74" t="n">
        <v>0</v>
      </c>
      <c r="D111" s="55" t="n">
        <f aca="false">FALSE()</f>
        <v>0</v>
      </c>
      <c r="E111" s="46"/>
      <c r="F111" s="45"/>
    </row>
    <row r="112" customFormat="false" ht="15" hidden="false" customHeight="false" outlineLevel="0" collapsed="false">
      <c r="A112" s="47"/>
      <c r="B112" s="47"/>
      <c r="C112" s="75" t="n">
        <v>0</v>
      </c>
      <c r="D112" s="53" t="n">
        <f aca="false">FALSE()</f>
        <v>0</v>
      </c>
      <c r="E112" s="48"/>
      <c r="F112" s="47"/>
    </row>
    <row r="113" customFormat="false" ht="15" hidden="false" customHeight="false" outlineLevel="0" collapsed="false">
      <c r="A113" s="45"/>
      <c r="B113" s="45"/>
      <c r="C113" s="74" t="n">
        <v>0</v>
      </c>
      <c r="D113" s="55" t="n">
        <f aca="false">FALSE()</f>
        <v>0</v>
      </c>
      <c r="E113" s="46"/>
      <c r="F113" s="45"/>
    </row>
    <row r="114" customFormat="false" ht="15" hidden="false" customHeight="false" outlineLevel="0" collapsed="false">
      <c r="A114" s="47"/>
      <c r="B114" s="47"/>
      <c r="C114" s="75" t="n">
        <v>0</v>
      </c>
      <c r="D114" s="53" t="n">
        <f aca="false">FALSE()</f>
        <v>0</v>
      </c>
      <c r="E114" s="48"/>
      <c r="F114" s="47"/>
    </row>
    <row r="115" customFormat="false" ht="15" hidden="false" customHeight="false" outlineLevel="0" collapsed="false">
      <c r="A115" s="45"/>
      <c r="B115" s="45"/>
      <c r="C115" s="74" t="n">
        <v>0</v>
      </c>
      <c r="D115" s="55" t="n">
        <f aca="false">FALSE()</f>
        <v>0</v>
      </c>
      <c r="E115" s="46"/>
      <c r="F115" s="45"/>
    </row>
    <row r="116" customFormat="false" ht="15" hidden="false" customHeight="false" outlineLevel="0" collapsed="false">
      <c r="A116" s="47"/>
      <c r="B116" s="47"/>
      <c r="C116" s="75" t="n">
        <v>0</v>
      </c>
      <c r="D116" s="53" t="n">
        <f aca="false">FALSE()</f>
        <v>0</v>
      </c>
      <c r="E116" s="48"/>
      <c r="F116" s="47"/>
    </row>
    <row r="117" customFormat="false" ht="15" hidden="false" customHeight="false" outlineLevel="0" collapsed="false">
      <c r="A117" s="45"/>
      <c r="B117" s="45"/>
      <c r="C117" s="74" t="n">
        <v>0</v>
      </c>
      <c r="D117" s="55" t="n">
        <f aca="false">FALSE()</f>
        <v>0</v>
      </c>
      <c r="E117" s="46"/>
      <c r="F117" s="45"/>
    </row>
    <row r="118" customFormat="false" ht="15" hidden="false" customHeight="false" outlineLevel="0" collapsed="false">
      <c r="A118" s="47"/>
      <c r="B118" s="47"/>
      <c r="C118" s="75" t="n">
        <v>0</v>
      </c>
      <c r="D118" s="53" t="n">
        <f aca="false">FALSE()</f>
        <v>0</v>
      </c>
      <c r="E118" s="48"/>
      <c r="F118" s="47"/>
    </row>
    <row r="119" customFormat="false" ht="15" hidden="false" customHeight="false" outlineLevel="0" collapsed="false">
      <c r="A119" s="45"/>
      <c r="B119" s="45"/>
      <c r="C119" s="74" t="n">
        <v>0</v>
      </c>
      <c r="D119" s="55" t="n">
        <f aca="false">FALSE()</f>
        <v>0</v>
      </c>
      <c r="E119" s="46"/>
      <c r="F119" s="45"/>
    </row>
    <row r="120" customFormat="false" ht="15" hidden="false" customHeight="false" outlineLevel="0" collapsed="false">
      <c r="A120" s="47"/>
      <c r="B120" s="47"/>
      <c r="C120" s="75" t="n">
        <v>0</v>
      </c>
      <c r="D120" s="53" t="n">
        <f aca="false">FALSE()</f>
        <v>0</v>
      </c>
      <c r="E120" s="48"/>
      <c r="F120" s="47"/>
    </row>
    <row r="121" customFormat="false" ht="15" hidden="false" customHeight="false" outlineLevel="0" collapsed="false">
      <c r="A121" s="45"/>
      <c r="B121" s="45"/>
      <c r="C121" s="74" t="n">
        <v>0</v>
      </c>
      <c r="D121" s="55" t="n">
        <f aca="false">FALSE()</f>
        <v>0</v>
      </c>
      <c r="E121" s="46"/>
      <c r="F121" s="45"/>
    </row>
    <row r="122" customFormat="false" ht="15" hidden="false" customHeight="false" outlineLevel="0" collapsed="false">
      <c r="A122" s="47"/>
      <c r="B122" s="47"/>
      <c r="C122" s="75" t="n">
        <v>0</v>
      </c>
      <c r="D122" s="53" t="n">
        <f aca="false">FALSE()</f>
        <v>0</v>
      </c>
      <c r="E122" s="48"/>
      <c r="F122" s="47"/>
    </row>
    <row r="123" customFormat="false" ht="15" hidden="false" customHeight="false" outlineLevel="0" collapsed="false">
      <c r="A123" s="45"/>
      <c r="B123" s="45"/>
      <c r="C123" s="74" t="n">
        <v>0</v>
      </c>
      <c r="D123" s="55" t="n">
        <f aca="false">FALSE()</f>
        <v>0</v>
      </c>
      <c r="E123" s="46"/>
      <c r="F123" s="45"/>
    </row>
    <row r="124" customFormat="false" ht="15" hidden="false" customHeight="false" outlineLevel="0" collapsed="false">
      <c r="A124" s="47"/>
      <c r="B124" s="47"/>
      <c r="C124" s="75" t="n">
        <v>0</v>
      </c>
      <c r="D124" s="53" t="n">
        <f aca="false">FALSE()</f>
        <v>0</v>
      </c>
      <c r="E124" s="48"/>
      <c r="F124" s="47"/>
    </row>
    <row r="125" customFormat="false" ht="15" hidden="false" customHeight="false" outlineLevel="0" collapsed="false">
      <c r="A125" s="45"/>
      <c r="B125" s="45"/>
      <c r="C125" s="74" t="n">
        <v>0</v>
      </c>
      <c r="D125" s="55" t="n">
        <f aca="false">FALSE()</f>
        <v>0</v>
      </c>
      <c r="E125" s="46"/>
      <c r="F125" s="45"/>
    </row>
    <row r="126" customFormat="false" ht="15" hidden="false" customHeight="false" outlineLevel="0" collapsed="false">
      <c r="A126" s="47"/>
      <c r="B126" s="47"/>
      <c r="C126" s="75" t="n">
        <v>0</v>
      </c>
      <c r="D126" s="53" t="n">
        <f aca="false">FALSE()</f>
        <v>0</v>
      </c>
      <c r="E126" s="48"/>
      <c r="F126" s="47"/>
    </row>
    <row r="127" customFormat="false" ht="15" hidden="false" customHeight="false" outlineLevel="0" collapsed="false">
      <c r="A127" s="45"/>
      <c r="B127" s="45"/>
      <c r="C127" s="74" t="n">
        <v>0</v>
      </c>
      <c r="D127" s="55" t="n">
        <f aca="false">FALSE()</f>
        <v>0</v>
      </c>
      <c r="E127" s="46"/>
      <c r="F127" s="45"/>
    </row>
    <row r="128" customFormat="false" ht="15" hidden="false" customHeight="false" outlineLevel="0" collapsed="false">
      <c r="A128" s="47"/>
      <c r="B128" s="47"/>
      <c r="C128" s="75" t="n">
        <v>0</v>
      </c>
      <c r="D128" s="53" t="n">
        <f aca="false">FALSE()</f>
        <v>0</v>
      </c>
      <c r="E128" s="48"/>
      <c r="F128" s="47"/>
    </row>
    <row r="129" customFormat="false" ht="15" hidden="false" customHeight="false" outlineLevel="0" collapsed="false">
      <c r="A129" s="45"/>
      <c r="B129" s="45"/>
      <c r="C129" s="74" t="n">
        <v>0</v>
      </c>
      <c r="D129" s="55" t="n">
        <f aca="false">FALSE()</f>
        <v>0</v>
      </c>
      <c r="E129" s="46"/>
      <c r="F129" s="45"/>
    </row>
    <row r="130" customFormat="false" ht="15" hidden="false" customHeight="false" outlineLevel="0" collapsed="false">
      <c r="A130" s="47"/>
      <c r="B130" s="47"/>
      <c r="C130" s="75" t="n">
        <v>0</v>
      </c>
      <c r="D130" s="53" t="n">
        <f aca="false">FALSE()</f>
        <v>0</v>
      </c>
      <c r="E130" s="48"/>
      <c r="F130" s="47"/>
    </row>
    <row r="131" customFormat="false" ht="15" hidden="false" customHeight="false" outlineLevel="0" collapsed="false">
      <c r="A131" s="45"/>
      <c r="B131" s="45"/>
      <c r="C131" s="74" t="n">
        <v>0</v>
      </c>
      <c r="D131" s="55" t="n">
        <f aca="false">FALSE()</f>
        <v>0</v>
      </c>
      <c r="E131" s="46"/>
      <c r="F131" s="45"/>
    </row>
    <row r="132" customFormat="false" ht="15" hidden="false" customHeight="false" outlineLevel="0" collapsed="false">
      <c r="A132" s="47"/>
      <c r="B132" s="47"/>
      <c r="C132" s="75" t="n">
        <v>0</v>
      </c>
      <c r="D132" s="53" t="n">
        <f aca="false">FALSE()</f>
        <v>0</v>
      </c>
      <c r="E132" s="48"/>
      <c r="F132" s="47"/>
    </row>
    <row r="133" customFormat="false" ht="15" hidden="false" customHeight="false" outlineLevel="0" collapsed="false">
      <c r="A133" s="45"/>
      <c r="B133" s="45"/>
      <c r="C133" s="74" t="n">
        <v>0</v>
      </c>
      <c r="D133" s="55" t="n">
        <f aca="false">FALSE()</f>
        <v>0</v>
      </c>
      <c r="E133" s="46"/>
      <c r="F133" s="45"/>
    </row>
    <row r="134" customFormat="false" ht="15" hidden="false" customHeight="false" outlineLevel="0" collapsed="false">
      <c r="A134" s="47"/>
      <c r="B134" s="47"/>
      <c r="C134" s="75" t="n">
        <v>0</v>
      </c>
      <c r="D134" s="53" t="n">
        <f aca="false">FALSE()</f>
        <v>0</v>
      </c>
      <c r="E134" s="48"/>
      <c r="F134" s="47"/>
    </row>
    <row r="135" customFormat="false" ht="15" hidden="false" customHeight="false" outlineLevel="0" collapsed="false">
      <c r="A135" s="45"/>
      <c r="B135" s="45"/>
      <c r="C135" s="74" t="n">
        <v>0</v>
      </c>
      <c r="D135" s="55" t="n">
        <f aca="false">FALSE()</f>
        <v>0</v>
      </c>
      <c r="E135" s="46"/>
      <c r="F135" s="45"/>
    </row>
    <row r="136" customFormat="false" ht="15" hidden="false" customHeight="false" outlineLevel="0" collapsed="false">
      <c r="A136" s="47"/>
      <c r="B136" s="47"/>
      <c r="C136" s="75" t="n">
        <v>0</v>
      </c>
      <c r="D136" s="53" t="n">
        <f aca="false">FALSE()</f>
        <v>0</v>
      </c>
      <c r="E136" s="48"/>
      <c r="F136" s="47"/>
    </row>
    <row r="137" customFormat="false" ht="15" hidden="false" customHeight="false" outlineLevel="0" collapsed="false">
      <c r="A137" s="45"/>
      <c r="B137" s="45"/>
      <c r="C137" s="74" t="n">
        <v>0</v>
      </c>
      <c r="D137" s="55" t="n">
        <f aca="false">FALSE()</f>
        <v>0</v>
      </c>
      <c r="E137" s="46"/>
      <c r="F137" s="45"/>
    </row>
    <row r="138" customFormat="false" ht="15" hidden="false" customHeight="false" outlineLevel="0" collapsed="false">
      <c r="A138" s="47"/>
      <c r="B138" s="47"/>
      <c r="C138" s="75" t="n">
        <v>0</v>
      </c>
      <c r="D138" s="53" t="n">
        <f aca="false">FALSE()</f>
        <v>0</v>
      </c>
      <c r="E138" s="48"/>
      <c r="F138" s="47"/>
    </row>
    <row r="139" customFormat="false" ht="15" hidden="false" customHeight="false" outlineLevel="0" collapsed="false">
      <c r="A139" s="45"/>
      <c r="B139" s="45"/>
      <c r="C139" s="74" t="n">
        <v>0</v>
      </c>
      <c r="D139" s="55" t="n">
        <f aca="false">FALSE()</f>
        <v>0</v>
      </c>
      <c r="E139" s="46"/>
      <c r="F139" s="45"/>
    </row>
    <row r="140" customFormat="false" ht="15" hidden="false" customHeight="false" outlineLevel="0" collapsed="false">
      <c r="A140" s="47"/>
      <c r="B140" s="47"/>
      <c r="C140" s="75" t="n">
        <v>0</v>
      </c>
      <c r="D140" s="53" t="n">
        <f aca="false">FALSE()</f>
        <v>0</v>
      </c>
      <c r="E140" s="48"/>
      <c r="F140" s="47"/>
    </row>
    <row r="141" customFormat="false" ht="15" hidden="false" customHeight="false" outlineLevel="0" collapsed="false">
      <c r="A141" s="45"/>
      <c r="B141" s="45"/>
      <c r="C141" s="74" t="n">
        <v>0</v>
      </c>
      <c r="D141" s="55" t="n">
        <f aca="false">FALSE()</f>
        <v>0</v>
      </c>
      <c r="E141" s="46"/>
      <c r="F141" s="45"/>
    </row>
    <row r="142" customFormat="false" ht="15" hidden="false" customHeight="false" outlineLevel="0" collapsed="false">
      <c r="A142" s="47"/>
      <c r="B142" s="47"/>
      <c r="C142" s="75" t="n">
        <v>0</v>
      </c>
      <c r="D142" s="53" t="n">
        <f aca="false">FALSE()</f>
        <v>0</v>
      </c>
      <c r="E142" s="48"/>
      <c r="F142" s="47"/>
    </row>
    <row r="143" customFormat="false" ht="15" hidden="false" customHeight="false" outlineLevel="0" collapsed="false">
      <c r="A143" s="45"/>
      <c r="B143" s="45"/>
      <c r="C143" s="74" t="n">
        <v>0</v>
      </c>
      <c r="D143" s="55" t="n">
        <f aca="false">FALSE()</f>
        <v>0</v>
      </c>
      <c r="E143" s="46"/>
      <c r="F143" s="45"/>
    </row>
    <row r="144" customFormat="false" ht="15" hidden="false" customHeight="false" outlineLevel="0" collapsed="false">
      <c r="A144" s="47"/>
      <c r="B144" s="47"/>
      <c r="C144" s="75" t="n">
        <v>0</v>
      </c>
      <c r="D144" s="53" t="n">
        <f aca="false">FALSE()</f>
        <v>0</v>
      </c>
      <c r="E144" s="48"/>
      <c r="F144" s="47"/>
    </row>
    <row r="145" customFormat="false" ht="15" hidden="false" customHeight="false" outlineLevel="0" collapsed="false">
      <c r="A145" s="45"/>
      <c r="B145" s="45"/>
      <c r="C145" s="74" t="n">
        <v>0</v>
      </c>
      <c r="D145" s="55" t="n">
        <f aca="false">FALSE()</f>
        <v>0</v>
      </c>
      <c r="E145" s="46"/>
      <c r="F145" s="45"/>
    </row>
    <row r="146" customFormat="false" ht="15" hidden="false" customHeight="false" outlineLevel="0" collapsed="false">
      <c r="A146" s="47"/>
      <c r="B146" s="47"/>
      <c r="C146" s="75" t="n">
        <v>0</v>
      </c>
      <c r="D146" s="53" t="n">
        <f aca="false">FALSE()</f>
        <v>0</v>
      </c>
      <c r="E146" s="48"/>
      <c r="F146" s="47"/>
    </row>
    <row r="147" customFormat="false" ht="15" hidden="false" customHeight="false" outlineLevel="0" collapsed="false">
      <c r="A147" s="45"/>
      <c r="B147" s="45"/>
      <c r="C147" s="74" t="n">
        <v>0</v>
      </c>
      <c r="D147" s="55" t="n">
        <f aca="false">FALSE()</f>
        <v>0</v>
      </c>
      <c r="E147" s="46"/>
      <c r="F147" s="45"/>
    </row>
    <row r="148" customFormat="false" ht="15" hidden="false" customHeight="false" outlineLevel="0" collapsed="false">
      <c r="A148" s="47"/>
      <c r="B148" s="47"/>
      <c r="C148" s="75" t="n">
        <v>0</v>
      </c>
      <c r="D148" s="53" t="n">
        <f aca="false">FALSE()</f>
        <v>0</v>
      </c>
      <c r="E148" s="48"/>
      <c r="F148" s="47"/>
    </row>
    <row r="149" customFormat="false" ht="15" hidden="false" customHeight="false" outlineLevel="0" collapsed="false">
      <c r="A149" s="45"/>
      <c r="B149" s="45"/>
      <c r="C149" s="74" t="n">
        <v>0</v>
      </c>
      <c r="D149" s="55" t="n">
        <f aca="false">FALSE()</f>
        <v>0</v>
      </c>
      <c r="E149" s="46"/>
      <c r="F149" s="45"/>
    </row>
    <row r="150" customFormat="false" ht="15" hidden="false" customHeight="false" outlineLevel="0" collapsed="false">
      <c r="A150" s="47"/>
      <c r="B150" s="47"/>
      <c r="C150" s="75" t="n">
        <v>0</v>
      </c>
      <c r="D150" s="53" t="n">
        <f aca="false">FALSE()</f>
        <v>0</v>
      </c>
      <c r="E150" s="48"/>
      <c r="F150" s="47"/>
    </row>
    <row r="151" customFormat="false" ht="15" hidden="false" customHeight="false" outlineLevel="0" collapsed="false">
      <c r="A151" s="45"/>
      <c r="B151" s="45"/>
      <c r="C151" s="74" t="n">
        <v>0</v>
      </c>
      <c r="D151" s="55" t="n">
        <f aca="false">FALSE()</f>
        <v>0</v>
      </c>
      <c r="E151" s="46"/>
      <c r="F151" s="45"/>
    </row>
    <row r="152" customFormat="false" ht="15" hidden="false" customHeight="false" outlineLevel="0" collapsed="false">
      <c r="A152" s="47"/>
      <c r="B152" s="47"/>
      <c r="C152" s="75" t="n">
        <v>0</v>
      </c>
      <c r="D152" s="53" t="n">
        <f aca="false">FALSE()</f>
        <v>0</v>
      </c>
      <c r="E152" s="48"/>
      <c r="F152" s="47"/>
    </row>
    <row r="153" customFormat="false" ht="15" hidden="false" customHeight="false" outlineLevel="0" collapsed="false">
      <c r="A153" s="45"/>
      <c r="B153" s="45"/>
      <c r="C153" s="74" t="n">
        <v>0</v>
      </c>
      <c r="D153" s="55" t="n">
        <f aca="false">FALSE()</f>
        <v>0</v>
      </c>
      <c r="E153" s="46"/>
      <c r="F153" s="45"/>
    </row>
    <row r="154" customFormat="false" ht="15" hidden="false" customHeight="false" outlineLevel="0" collapsed="false">
      <c r="A154" s="47"/>
      <c r="B154" s="47"/>
      <c r="C154" s="75" t="n">
        <v>0</v>
      </c>
      <c r="D154" s="53" t="n">
        <f aca="false">FALSE()</f>
        <v>0</v>
      </c>
      <c r="E154" s="48"/>
      <c r="F154" s="47"/>
    </row>
    <row r="155" customFormat="false" ht="15" hidden="false" customHeight="false" outlineLevel="0" collapsed="false">
      <c r="A155" s="45"/>
      <c r="B155" s="45"/>
      <c r="C155" s="74" t="n">
        <v>0</v>
      </c>
      <c r="D155" s="55" t="n">
        <f aca="false">FALSE()</f>
        <v>0</v>
      </c>
      <c r="E155" s="46"/>
      <c r="F155" s="45"/>
    </row>
    <row r="156" customFormat="false" ht="15" hidden="false" customHeight="false" outlineLevel="0" collapsed="false">
      <c r="A156" s="47"/>
      <c r="B156" s="47"/>
      <c r="C156" s="75" t="n">
        <v>0</v>
      </c>
      <c r="D156" s="53" t="n">
        <f aca="false">FALSE()</f>
        <v>0</v>
      </c>
      <c r="E156" s="48"/>
      <c r="F156" s="47"/>
    </row>
    <row r="157" customFormat="false" ht="15" hidden="false" customHeight="false" outlineLevel="0" collapsed="false">
      <c r="A157" s="45"/>
      <c r="B157" s="45"/>
      <c r="C157" s="74" t="n">
        <v>0</v>
      </c>
      <c r="D157" s="55" t="n">
        <f aca="false">FALSE()</f>
        <v>0</v>
      </c>
      <c r="E157" s="46"/>
      <c r="F157" s="45"/>
    </row>
    <row r="158" customFormat="false" ht="15" hidden="false" customHeight="false" outlineLevel="0" collapsed="false">
      <c r="A158" s="47"/>
      <c r="B158" s="47"/>
      <c r="C158" s="75" t="n">
        <v>0</v>
      </c>
      <c r="D158" s="53" t="n">
        <f aca="false">FALSE()</f>
        <v>0</v>
      </c>
      <c r="E158" s="48"/>
      <c r="F158" s="47"/>
    </row>
    <row r="159" customFormat="false" ht="15" hidden="false" customHeight="false" outlineLevel="0" collapsed="false">
      <c r="A159" s="45"/>
      <c r="B159" s="45"/>
      <c r="C159" s="74" t="n">
        <v>0</v>
      </c>
      <c r="D159" s="55" t="n">
        <f aca="false">FALSE()</f>
        <v>0</v>
      </c>
      <c r="E159" s="46"/>
      <c r="F159" s="45"/>
    </row>
    <row r="160" customFormat="false" ht="15" hidden="false" customHeight="false" outlineLevel="0" collapsed="false">
      <c r="A160" s="47"/>
      <c r="B160" s="47"/>
      <c r="C160" s="75" t="n">
        <v>0</v>
      </c>
      <c r="D160" s="53" t="n">
        <f aca="false">FALSE()</f>
        <v>0</v>
      </c>
      <c r="E160" s="48"/>
      <c r="F160" s="47"/>
    </row>
    <row r="161" customFormat="false" ht="15" hidden="false" customHeight="false" outlineLevel="0" collapsed="false">
      <c r="A161" s="45"/>
      <c r="B161" s="45"/>
      <c r="C161" s="74" t="n">
        <v>0</v>
      </c>
      <c r="D161" s="55" t="n">
        <f aca="false">FALSE()</f>
        <v>0</v>
      </c>
      <c r="E161" s="46"/>
      <c r="F161" s="45"/>
    </row>
    <row r="162" customFormat="false" ht="15" hidden="false" customHeight="false" outlineLevel="0" collapsed="false">
      <c r="A162" s="47"/>
      <c r="B162" s="47"/>
      <c r="C162" s="75" t="n">
        <v>0</v>
      </c>
      <c r="D162" s="53" t="n">
        <f aca="false">FALSE()</f>
        <v>0</v>
      </c>
      <c r="E162" s="48"/>
      <c r="F162" s="47"/>
    </row>
    <row r="163" customFormat="false" ht="15" hidden="false" customHeight="false" outlineLevel="0" collapsed="false">
      <c r="A163" s="45"/>
      <c r="B163" s="45"/>
      <c r="C163" s="74" t="n">
        <v>0</v>
      </c>
      <c r="D163" s="55" t="n">
        <f aca="false">FALSE()</f>
        <v>0</v>
      </c>
      <c r="E163" s="46"/>
      <c r="F163" s="45"/>
    </row>
    <row r="164" customFormat="false" ht="15" hidden="false" customHeight="false" outlineLevel="0" collapsed="false">
      <c r="A164" s="47"/>
      <c r="B164" s="47"/>
      <c r="C164" s="75" t="n">
        <v>0</v>
      </c>
      <c r="D164" s="53" t="n">
        <f aca="false">FALSE()</f>
        <v>0</v>
      </c>
      <c r="E164" s="48"/>
      <c r="F164" s="47"/>
    </row>
    <row r="165" customFormat="false" ht="15" hidden="false" customHeight="false" outlineLevel="0" collapsed="false">
      <c r="A165" s="45"/>
      <c r="B165" s="45"/>
      <c r="C165" s="74" t="n">
        <v>0</v>
      </c>
      <c r="D165" s="55" t="n">
        <f aca="false">FALSE()</f>
        <v>0</v>
      </c>
      <c r="E165" s="46"/>
      <c r="F165" s="45"/>
    </row>
    <row r="166" customFormat="false" ht="15" hidden="false" customHeight="false" outlineLevel="0" collapsed="false">
      <c r="A166" s="47"/>
      <c r="B166" s="47"/>
      <c r="C166" s="75" t="n">
        <v>0</v>
      </c>
      <c r="D166" s="53" t="n">
        <f aca="false">FALSE()</f>
        <v>0</v>
      </c>
      <c r="E166" s="48"/>
      <c r="F166" s="47"/>
    </row>
    <row r="167" customFormat="false" ht="15" hidden="false" customHeight="false" outlineLevel="0" collapsed="false">
      <c r="A167" s="45"/>
      <c r="B167" s="45"/>
      <c r="C167" s="74" t="n">
        <v>0</v>
      </c>
      <c r="D167" s="55" t="n">
        <f aca="false">FALSE()</f>
        <v>0</v>
      </c>
      <c r="E167" s="46"/>
      <c r="F167" s="45"/>
    </row>
    <row r="168" customFormat="false" ht="15" hidden="false" customHeight="false" outlineLevel="0" collapsed="false">
      <c r="A168" s="47"/>
      <c r="B168" s="47"/>
      <c r="C168" s="75" t="n">
        <v>0</v>
      </c>
      <c r="D168" s="53" t="n">
        <f aca="false">FALSE()</f>
        <v>0</v>
      </c>
      <c r="E168" s="48"/>
      <c r="F168" s="47"/>
    </row>
    <row r="169" customFormat="false" ht="15" hidden="false" customHeight="false" outlineLevel="0" collapsed="false">
      <c r="A169" s="45"/>
      <c r="B169" s="45"/>
      <c r="C169" s="74" t="n">
        <v>0</v>
      </c>
      <c r="D169" s="55" t="n">
        <f aca="false">FALSE()</f>
        <v>0</v>
      </c>
      <c r="E169" s="46"/>
      <c r="F169" s="45"/>
    </row>
    <row r="170" customFormat="false" ht="15" hidden="false" customHeight="false" outlineLevel="0" collapsed="false">
      <c r="A170" s="47"/>
      <c r="B170" s="47"/>
      <c r="C170" s="75" t="n">
        <v>0</v>
      </c>
      <c r="D170" s="53" t="n">
        <f aca="false">FALSE()</f>
        <v>0</v>
      </c>
      <c r="E170" s="48"/>
      <c r="F170" s="47"/>
    </row>
    <row r="171" customFormat="false" ht="15" hidden="false" customHeight="false" outlineLevel="0" collapsed="false">
      <c r="A171" s="45"/>
      <c r="B171" s="45"/>
      <c r="C171" s="74" t="n">
        <v>0</v>
      </c>
      <c r="D171" s="55" t="n">
        <f aca="false">FALSE()</f>
        <v>0</v>
      </c>
      <c r="E171" s="46"/>
      <c r="F171" s="45"/>
    </row>
    <row r="172" customFormat="false" ht="15" hidden="false" customHeight="false" outlineLevel="0" collapsed="false">
      <c r="A172" s="47"/>
      <c r="B172" s="47"/>
      <c r="C172" s="75" t="n">
        <v>0</v>
      </c>
      <c r="D172" s="53" t="n">
        <f aca="false">FALSE()</f>
        <v>0</v>
      </c>
      <c r="E172" s="48"/>
      <c r="F172" s="47"/>
    </row>
    <row r="173" customFormat="false" ht="15" hidden="false" customHeight="false" outlineLevel="0" collapsed="false">
      <c r="A173" s="45"/>
      <c r="B173" s="45"/>
      <c r="C173" s="74" t="n">
        <v>0</v>
      </c>
      <c r="D173" s="55" t="n">
        <f aca="false">FALSE()</f>
        <v>0</v>
      </c>
      <c r="E173" s="46"/>
      <c r="F173" s="45"/>
    </row>
    <row r="174" customFormat="false" ht="15" hidden="false" customHeight="false" outlineLevel="0" collapsed="false">
      <c r="A174" s="47"/>
      <c r="B174" s="47"/>
      <c r="C174" s="75" t="n">
        <v>0</v>
      </c>
      <c r="D174" s="53" t="n">
        <f aca="false">FALSE()</f>
        <v>0</v>
      </c>
      <c r="E174" s="48"/>
      <c r="F174" s="47"/>
    </row>
    <row r="175" customFormat="false" ht="15" hidden="false" customHeight="false" outlineLevel="0" collapsed="false">
      <c r="A175" s="45"/>
      <c r="B175" s="45"/>
      <c r="C175" s="74" t="n">
        <v>0</v>
      </c>
      <c r="D175" s="55" t="n">
        <f aca="false">FALSE()</f>
        <v>0</v>
      </c>
      <c r="E175" s="46"/>
      <c r="F175" s="45"/>
    </row>
    <row r="176" customFormat="false" ht="15" hidden="false" customHeight="false" outlineLevel="0" collapsed="false">
      <c r="A176" s="47"/>
      <c r="B176" s="47"/>
      <c r="C176" s="75" t="n">
        <v>0</v>
      </c>
      <c r="D176" s="53" t="n">
        <f aca="false">FALSE()</f>
        <v>0</v>
      </c>
      <c r="E176" s="48"/>
      <c r="F176" s="47"/>
    </row>
    <row r="177" customFormat="false" ht="15" hidden="false" customHeight="false" outlineLevel="0" collapsed="false">
      <c r="A177" s="45"/>
      <c r="B177" s="45"/>
      <c r="C177" s="74" t="n">
        <v>0</v>
      </c>
      <c r="D177" s="55" t="n">
        <f aca="false">FALSE()</f>
        <v>0</v>
      </c>
      <c r="E177" s="46"/>
      <c r="F177" s="45"/>
    </row>
    <row r="178" customFormat="false" ht="15" hidden="false" customHeight="false" outlineLevel="0" collapsed="false">
      <c r="A178" s="47"/>
      <c r="B178" s="47"/>
      <c r="C178" s="75" t="n">
        <v>0</v>
      </c>
      <c r="D178" s="53" t="n">
        <f aca="false">FALSE()</f>
        <v>0</v>
      </c>
      <c r="E178" s="48"/>
      <c r="F178" s="47"/>
    </row>
    <row r="179" customFormat="false" ht="15" hidden="false" customHeight="false" outlineLevel="0" collapsed="false">
      <c r="A179" s="45"/>
      <c r="B179" s="45"/>
      <c r="C179" s="74" t="n">
        <v>0</v>
      </c>
      <c r="D179" s="55" t="n">
        <f aca="false">FALSE()</f>
        <v>0</v>
      </c>
      <c r="E179" s="46"/>
      <c r="F179" s="45"/>
    </row>
    <row r="180" customFormat="false" ht="15" hidden="false" customHeight="false" outlineLevel="0" collapsed="false">
      <c r="A180" s="47"/>
      <c r="B180" s="47"/>
      <c r="C180" s="75" t="n">
        <v>0</v>
      </c>
      <c r="D180" s="53" t="n">
        <f aca="false">FALSE()</f>
        <v>0</v>
      </c>
      <c r="E180" s="48"/>
      <c r="F180" s="47"/>
    </row>
    <row r="181" customFormat="false" ht="15" hidden="false" customHeight="false" outlineLevel="0" collapsed="false">
      <c r="A181" s="45"/>
      <c r="B181" s="45"/>
      <c r="C181" s="74" t="n">
        <v>0</v>
      </c>
      <c r="D181" s="55" t="n">
        <f aca="false">FALSE()</f>
        <v>0</v>
      </c>
      <c r="E181" s="46"/>
      <c r="F181" s="45"/>
    </row>
    <row r="182" customFormat="false" ht="15" hidden="false" customHeight="false" outlineLevel="0" collapsed="false">
      <c r="A182" s="47"/>
      <c r="B182" s="47"/>
      <c r="C182" s="75" t="n">
        <v>0</v>
      </c>
      <c r="D182" s="53" t="n">
        <f aca="false">FALSE()</f>
        <v>0</v>
      </c>
      <c r="E182" s="48"/>
      <c r="F182" s="47"/>
    </row>
    <row r="183" customFormat="false" ht="15" hidden="false" customHeight="false" outlineLevel="0" collapsed="false">
      <c r="A183" s="45"/>
      <c r="B183" s="45"/>
      <c r="C183" s="74" t="n">
        <v>0</v>
      </c>
      <c r="D183" s="55" t="n">
        <f aca="false">FALSE()</f>
        <v>0</v>
      </c>
      <c r="E183" s="46"/>
      <c r="F183" s="45"/>
    </row>
    <row r="184" customFormat="false" ht="15" hidden="false" customHeight="false" outlineLevel="0" collapsed="false">
      <c r="A184" s="47"/>
      <c r="B184" s="47"/>
      <c r="C184" s="75" t="n">
        <v>0</v>
      </c>
      <c r="D184" s="53" t="n">
        <f aca="false">FALSE()</f>
        <v>0</v>
      </c>
      <c r="E184" s="48"/>
      <c r="F184" s="47"/>
    </row>
    <row r="185" customFormat="false" ht="15" hidden="false" customHeight="false" outlineLevel="0" collapsed="false">
      <c r="A185" s="45"/>
      <c r="B185" s="45"/>
      <c r="C185" s="74" t="n">
        <v>0</v>
      </c>
      <c r="D185" s="55" t="n">
        <f aca="false">FALSE()</f>
        <v>0</v>
      </c>
      <c r="E185" s="46"/>
      <c r="F185" s="45"/>
    </row>
    <row r="186" customFormat="false" ht="15" hidden="false" customHeight="false" outlineLevel="0" collapsed="false">
      <c r="A186" s="47"/>
      <c r="B186" s="47"/>
      <c r="C186" s="75" t="n">
        <v>0</v>
      </c>
      <c r="D186" s="53" t="n">
        <f aca="false">FALSE()</f>
        <v>0</v>
      </c>
      <c r="E186" s="48"/>
      <c r="F186" s="47"/>
    </row>
    <row r="187" customFormat="false" ht="15" hidden="false" customHeight="false" outlineLevel="0" collapsed="false">
      <c r="A187" s="45"/>
      <c r="B187" s="45"/>
      <c r="C187" s="74" t="n">
        <v>0</v>
      </c>
      <c r="D187" s="55" t="n">
        <f aca="false">FALSE()</f>
        <v>0</v>
      </c>
      <c r="E187" s="46"/>
      <c r="F187" s="45"/>
    </row>
    <row r="188" customFormat="false" ht="15" hidden="false" customHeight="false" outlineLevel="0" collapsed="false">
      <c r="A188" s="47"/>
      <c r="B188" s="47"/>
      <c r="C188" s="75" t="n">
        <v>0</v>
      </c>
      <c r="D188" s="53" t="n">
        <f aca="false">FALSE()</f>
        <v>0</v>
      </c>
      <c r="E188" s="48"/>
      <c r="F188" s="47"/>
    </row>
    <row r="189" customFormat="false" ht="15" hidden="false" customHeight="false" outlineLevel="0" collapsed="false">
      <c r="A189" s="45"/>
      <c r="B189" s="45"/>
      <c r="C189" s="74" t="n">
        <v>0</v>
      </c>
      <c r="D189" s="55" t="n">
        <f aca="false">FALSE()</f>
        <v>0</v>
      </c>
      <c r="E189" s="46"/>
      <c r="F189" s="45"/>
    </row>
    <row r="190" customFormat="false" ht="15" hidden="false" customHeight="false" outlineLevel="0" collapsed="false">
      <c r="A190" s="47"/>
      <c r="B190" s="47"/>
      <c r="C190" s="75" t="n">
        <v>0</v>
      </c>
      <c r="D190" s="53" t="n">
        <f aca="false">FALSE()</f>
        <v>0</v>
      </c>
      <c r="E190" s="48"/>
      <c r="F190" s="47"/>
    </row>
    <row r="191" customFormat="false" ht="15" hidden="false" customHeight="false" outlineLevel="0" collapsed="false">
      <c r="A191" s="45"/>
      <c r="B191" s="45"/>
      <c r="C191" s="74" t="n">
        <v>0</v>
      </c>
      <c r="D191" s="55" t="n">
        <f aca="false">FALSE()</f>
        <v>0</v>
      </c>
      <c r="E191" s="46"/>
      <c r="F191" s="45"/>
    </row>
    <row r="192" customFormat="false" ht="15" hidden="false" customHeight="false" outlineLevel="0" collapsed="false">
      <c r="A192" s="47"/>
      <c r="B192" s="47"/>
      <c r="C192" s="75" t="n">
        <v>0</v>
      </c>
      <c r="D192" s="53" t="n">
        <f aca="false">FALSE()</f>
        <v>0</v>
      </c>
      <c r="E192" s="48"/>
      <c r="F192" s="47"/>
    </row>
    <row r="193" customFormat="false" ht="15" hidden="false" customHeight="false" outlineLevel="0" collapsed="false">
      <c r="A193" s="45"/>
      <c r="B193" s="45"/>
      <c r="C193" s="74" t="n">
        <v>0</v>
      </c>
      <c r="D193" s="55" t="n">
        <f aca="false">FALSE()</f>
        <v>0</v>
      </c>
      <c r="E193" s="46"/>
      <c r="F193" s="45"/>
    </row>
    <row r="194" customFormat="false" ht="15" hidden="false" customHeight="false" outlineLevel="0" collapsed="false">
      <c r="A194" s="47"/>
      <c r="B194" s="47"/>
      <c r="C194" s="75" t="n">
        <v>0</v>
      </c>
      <c r="D194" s="53" t="n">
        <f aca="false">FALSE()</f>
        <v>0</v>
      </c>
      <c r="E194" s="48"/>
      <c r="F194" s="47"/>
    </row>
    <row r="195" customFormat="false" ht="15" hidden="false" customHeight="false" outlineLevel="0" collapsed="false">
      <c r="A195" s="45"/>
      <c r="B195" s="45"/>
      <c r="C195" s="74" t="n">
        <v>0</v>
      </c>
      <c r="D195" s="55" t="n">
        <f aca="false">FALSE()</f>
        <v>0</v>
      </c>
      <c r="E195" s="46"/>
      <c r="F195" s="45"/>
    </row>
    <row r="196" customFormat="false" ht="15" hidden="false" customHeight="false" outlineLevel="0" collapsed="false">
      <c r="A196" s="47"/>
      <c r="B196" s="47"/>
      <c r="C196" s="75" t="n">
        <v>0</v>
      </c>
      <c r="D196" s="53" t="n">
        <f aca="false">FALSE()</f>
        <v>0</v>
      </c>
      <c r="E196" s="48"/>
      <c r="F196" s="47"/>
    </row>
    <row r="197" customFormat="false" ht="15" hidden="false" customHeight="false" outlineLevel="0" collapsed="false">
      <c r="A197" s="45"/>
      <c r="B197" s="45"/>
      <c r="C197" s="74" t="n">
        <v>0</v>
      </c>
      <c r="D197" s="55" t="n">
        <f aca="false">FALSE()</f>
        <v>0</v>
      </c>
      <c r="E197" s="46"/>
      <c r="F197" s="45"/>
    </row>
    <row r="198" customFormat="false" ht="15" hidden="false" customHeight="false" outlineLevel="0" collapsed="false">
      <c r="A198" s="47"/>
      <c r="B198" s="47"/>
      <c r="C198" s="75" t="n">
        <v>0</v>
      </c>
      <c r="D198" s="53" t="n">
        <f aca="false">FALSE()</f>
        <v>0</v>
      </c>
      <c r="E198" s="48"/>
      <c r="F198" s="47"/>
    </row>
    <row r="199" customFormat="false" ht="15" hidden="false" customHeight="false" outlineLevel="0" collapsed="false">
      <c r="A199" s="45"/>
      <c r="B199" s="45"/>
      <c r="C199" s="74" t="n">
        <v>0</v>
      </c>
      <c r="D199" s="55" t="n">
        <f aca="false">FALSE()</f>
        <v>0</v>
      </c>
      <c r="E199" s="46"/>
      <c r="F199" s="45"/>
    </row>
    <row r="200" customFormat="false" ht="15" hidden="false" customHeight="false" outlineLevel="0" collapsed="false">
      <c r="A200" s="47"/>
      <c r="B200" s="47"/>
      <c r="C200" s="75" t="n">
        <v>0</v>
      </c>
      <c r="D200" s="53" t="n">
        <f aca="false">FALSE()</f>
        <v>0</v>
      </c>
      <c r="E200" s="48"/>
      <c r="F200" s="47"/>
    </row>
    <row r="201" customFormat="false" ht="15" hidden="false" customHeight="false" outlineLevel="0" collapsed="false">
      <c r="A201" s="45"/>
      <c r="B201" s="45"/>
      <c r="C201" s="74" t="n">
        <v>0</v>
      </c>
      <c r="D201" s="55" t="n">
        <f aca="false">FALSE()</f>
        <v>0</v>
      </c>
      <c r="E201" s="46"/>
      <c r="F201" s="45"/>
    </row>
    <row r="202" customFormat="false" ht="15" hidden="false" customHeight="false" outlineLevel="0" collapsed="false">
      <c r="A202" s="47"/>
      <c r="B202" s="47"/>
      <c r="C202" s="75" t="n">
        <v>0</v>
      </c>
      <c r="D202" s="53" t="n">
        <f aca="false">FALSE()</f>
        <v>0</v>
      </c>
      <c r="E202" s="48"/>
      <c r="F202" s="47"/>
    </row>
    <row r="203" customFormat="false" ht="15" hidden="false" customHeight="false" outlineLevel="0" collapsed="false">
      <c r="A203" s="45"/>
      <c r="B203" s="45"/>
      <c r="C203" s="74" t="n">
        <v>0</v>
      </c>
      <c r="D203" s="55" t="n">
        <f aca="false">FALSE()</f>
        <v>0</v>
      </c>
      <c r="E203" s="46"/>
      <c r="F203" s="45"/>
    </row>
    <row r="204" customFormat="false" ht="15" hidden="false" customHeight="false" outlineLevel="0" collapsed="false">
      <c r="A204" s="47"/>
      <c r="B204" s="47"/>
      <c r="C204" s="75" t="n">
        <v>0</v>
      </c>
      <c r="D204" s="53" t="n">
        <f aca="false">FALSE()</f>
        <v>0</v>
      </c>
      <c r="E204" s="48"/>
      <c r="F204" s="47"/>
    </row>
    <row r="205" customFormat="false" ht="15" hidden="false" customHeight="false" outlineLevel="0" collapsed="false">
      <c r="A205" s="45"/>
      <c r="B205" s="45"/>
      <c r="C205" s="74" t="n">
        <v>0</v>
      </c>
      <c r="D205" s="55" t="n">
        <f aca="false">FALSE()</f>
        <v>0</v>
      </c>
      <c r="E205" s="46"/>
      <c r="F205" s="45"/>
    </row>
    <row r="206" customFormat="false" ht="15" hidden="false" customHeight="false" outlineLevel="0" collapsed="false">
      <c r="A206" s="47"/>
      <c r="B206" s="47"/>
      <c r="C206" s="75" t="n">
        <v>0</v>
      </c>
      <c r="D206" s="53" t="n">
        <f aca="false">FALSE()</f>
        <v>0</v>
      </c>
      <c r="E206" s="48"/>
      <c r="F206" s="47"/>
    </row>
  </sheetData>
  <mergeCells count="3">
    <mergeCell ref="A1:F1"/>
    <mergeCell ref="A3:C3"/>
    <mergeCell ref="A4:C4"/>
  </mergeCells>
  <conditionalFormatting sqref="D7:D206">
    <cfRule type="expression" priority="2" aboveAverage="0" equalAverage="0" bottom="0" percent="0" rank="0" text="" dxfId="4">
      <formula>D7=1</formula>
    </cfRule>
  </conditionalFormatting>
  <dataValidations count="1">
    <dataValidation allowBlank="true" errorStyle="stop" operator="between" showDropDown="false" showErrorMessage="false" showInputMessage="false" sqref="D7:D206" type="list">
      <formula1>TrueFalse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E1DA"/>
    <pageSetUpPr fitToPage="false"/>
  </sheetPr>
  <dimension ref="A1:A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16" t="s">
        <v>1590</v>
      </c>
      <c r="B1" s="16" t="s">
        <v>123</v>
      </c>
      <c r="C1" s="16" t="s">
        <v>1591</v>
      </c>
      <c r="D1" s="16" t="s">
        <v>1592</v>
      </c>
      <c r="E1" s="16" t="s">
        <v>1593</v>
      </c>
      <c r="F1" s="16" t="s">
        <v>1594</v>
      </c>
      <c r="G1" s="16" t="s">
        <v>1595</v>
      </c>
      <c r="H1" s="16" t="s">
        <v>1596</v>
      </c>
      <c r="I1" s="16" t="s">
        <v>1597</v>
      </c>
      <c r="J1" s="16" t="s">
        <v>1598</v>
      </c>
      <c r="K1" s="16" t="s">
        <v>1599</v>
      </c>
      <c r="L1" s="16" t="s">
        <v>1600</v>
      </c>
      <c r="M1" s="16" t="s">
        <v>1601</v>
      </c>
      <c r="N1" s="16" t="s">
        <v>1602</v>
      </c>
      <c r="O1" s="16" t="s">
        <v>1603</v>
      </c>
      <c r="P1" s="16" t="s">
        <v>1604</v>
      </c>
      <c r="Q1" s="16" t="s">
        <v>1605</v>
      </c>
      <c r="R1" s="16" t="s">
        <v>1606</v>
      </c>
      <c r="S1" s="16" t="s">
        <v>1607</v>
      </c>
      <c r="T1" s="16" t="s">
        <v>1608</v>
      </c>
      <c r="U1" s="16" t="s">
        <v>1609</v>
      </c>
      <c r="V1" s="16" t="s">
        <v>1610</v>
      </c>
      <c r="W1" s="16" t="s">
        <v>1611</v>
      </c>
      <c r="X1" s="16" t="s">
        <v>1612</v>
      </c>
      <c r="Y1" s="16" t="s">
        <v>1613</v>
      </c>
      <c r="Z1" s="16" t="s">
        <v>1614</v>
      </c>
      <c r="AA1" s="16" t="s">
        <v>1615</v>
      </c>
      <c r="AB1" s="16" t="s">
        <v>1616</v>
      </c>
    </row>
    <row r="2" customFormat="false" ht="15" hidden="false" customHeight="false" outlineLevel="0" collapsed="false">
      <c r="A2" s="0" t="s">
        <v>64</v>
      </c>
      <c r="B2" s="0" t="s">
        <v>1617</v>
      </c>
      <c r="C2" s="0" t="s">
        <v>1252</v>
      </c>
      <c r="D2" s="0" t="s">
        <v>1252</v>
      </c>
      <c r="E2" s="0" t="s">
        <v>64</v>
      </c>
      <c r="F2" s="0" t="s">
        <v>1618</v>
      </c>
      <c r="G2" s="0" t="s">
        <v>1369</v>
      </c>
      <c r="H2" s="0" t="s">
        <v>1215</v>
      </c>
      <c r="I2" s="0" t="s">
        <v>78</v>
      </c>
      <c r="J2" s="0" t="s">
        <v>162</v>
      </c>
      <c r="K2" s="0" t="s">
        <v>1434</v>
      </c>
      <c r="L2" s="0" t="s">
        <v>1022</v>
      </c>
      <c r="M2" s="0" t="s">
        <v>1256</v>
      </c>
      <c r="N2" s="0" t="s">
        <v>1619</v>
      </c>
      <c r="O2" s="0" t="s">
        <v>78</v>
      </c>
      <c r="P2" s="0" t="s">
        <v>1419</v>
      </c>
      <c r="Q2" s="0" t="s">
        <v>1620</v>
      </c>
      <c r="R2" s="0" t="s">
        <v>1510</v>
      </c>
      <c r="S2" s="0" t="s">
        <v>78</v>
      </c>
      <c r="T2" s="0" t="s">
        <v>1502</v>
      </c>
      <c r="U2" s="0" t="s">
        <v>1621</v>
      </c>
      <c r="V2" s="0" t="s">
        <v>1235</v>
      </c>
      <c r="W2" s="125" t="b">
        <f aca="false">TRUE()</f>
        <v>1</v>
      </c>
      <c r="X2" s="0" t="s">
        <v>1535</v>
      </c>
      <c r="Y2" s="0" t="s">
        <v>1568</v>
      </c>
      <c r="Z2" s="0" t="s">
        <v>1622</v>
      </c>
      <c r="AA2" s="0" t="s">
        <v>1623</v>
      </c>
      <c r="AB2" s="0" t="s">
        <v>128</v>
      </c>
    </row>
    <row r="3" customFormat="false" ht="15" hidden="false" customHeight="false" outlineLevel="0" collapsed="false">
      <c r="A3" s="0" t="s">
        <v>65</v>
      </c>
      <c r="B3" s="0" t="s">
        <v>127</v>
      </c>
      <c r="C3" s="0" t="s">
        <v>1266</v>
      </c>
      <c r="D3" s="0" t="s">
        <v>1266</v>
      </c>
      <c r="E3" s="0" t="s">
        <v>65</v>
      </c>
      <c r="F3" s="0" t="s">
        <v>1624</v>
      </c>
      <c r="G3" s="0" t="s">
        <v>1371</v>
      </c>
      <c r="H3" s="0" t="s">
        <v>1216</v>
      </c>
      <c r="I3" s="0" t="s">
        <v>79</v>
      </c>
      <c r="J3" s="0" t="s">
        <v>1625</v>
      </c>
      <c r="K3" s="0" t="s">
        <v>1409</v>
      </c>
      <c r="L3" s="0" t="s">
        <v>1025</v>
      </c>
      <c r="M3" s="0" t="s">
        <v>1449</v>
      </c>
      <c r="N3" s="0" t="s">
        <v>1626</v>
      </c>
      <c r="O3" s="0" t="s">
        <v>79</v>
      </c>
      <c r="P3" s="0" t="s">
        <v>1627</v>
      </c>
      <c r="Q3" s="0" t="s">
        <v>1628</v>
      </c>
      <c r="R3" s="0" t="s">
        <v>1512</v>
      </c>
      <c r="S3" s="0" t="s">
        <v>1489</v>
      </c>
      <c r="T3" s="0" t="s">
        <v>1498</v>
      </c>
      <c r="U3" s="0" t="s">
        <v>1629</v>
      </c>
      <c r="V3" s="0" t="s">
        <v>1238</v>
      </c>
      <c r="W3" s="125" t="b">
        <f aca="false">FALSE()</f>
        <v>0</v>
      </c>
      <c r="X3" s="0" t="s">
        <v>1630</v>
      </c>
      <c r="Y3" s="0" t="s">
        <v>1569</v>
      </c>
      <c r="Z3" s="0" t="s">
        <v>1631</v>
      </c>
      <c r="AA3" s="0" t="s">
        <v>1632</v>
      </c>
      <c r="AB3" s="0" t="s">
        <v>132</v>
      </c>
    </row>
    <row r="4" customFormat="false" ht="15" hidden="false" customHeight="false" outlineLevel="0" collapsed="false">
      <c r="A4" s="0" t="s">
        <v>66</v>
      </c>
      <c r="B4" s="0" t="s">
        <v>1633</v>
      </c>
      <c r="D4" s="0" t="s">
        <v>1374</v>
      </c>
      <c r="E4" s="0" t="s">
        <v>66</v>
      </c>
      <c r="F4" s="0" t="s">
        <v>1634</v>
      </c>
      <c r="G4" s="0" t="s">
        <v>1375</v>
      </c>
      <c r="H4" s="0" t="s">
        <v>1217</v>
      </c>
      <c r="I4" s="0" t="s">
        <v>80</v>
      </c>
      <c r="J4" s="0" t="s">
        <v>164</v>
      </c>
      <c r="L4" s="0" t="s">
        <v>1448</v>
      </c>
      <c r="M4" s="0" t="s">
        <v>1635</v>
      </c>
      <c r="O4" s="0" t="s">
        <v>1256</v>
      </c>
      <c r="P4" s="0" t="s">
        <v>1636</v>
      </c>
      <c r="Q4" s="0" t="s">
        <v>1637</v>
      </c>
      <c r="R4" s="0" t="s">
        <v>1513</v>
      </c>
      <c r="S4" s="0" t="s">
        <v>1496</v>
      </c>
      <c r="T4" s="0" t="s">
        <v>79</v>
      </c>
      <c r="U4" s="0" t="s">
        <v>1638</v>
      </c>
      <c r="V4" s="0" t="s">
        <v>1639</v>
      </c>
      <c r="Y4" s="0" t="s">
        <v>1640</v>
      </c>
      <c r="Z4" s="0" t="s">
        <v>1641</v>
      </c>
      <c r="AA4" s="0" t="s">
        <v>1642</v>
      </c>
      <c r="AB4" s="0" t="s">
        <v>134</v>
      </c>
    </row>
    <row r="5" customFormat="false" ht="15" hidden="false" customHeight="false" outlineLevel="0" collapsed="false">
      <c r="A5" s="0" t="s">
        <v>160</v>
      </c>
      <c r="B5" s="0" t="s">
        <v>1643</v>
      </c>
      <c r="F5" s="0" t="s">
        <v>1644</v>
      </c>
      <c r="G5" s="0" t="s">
        <v>1377</v>
      </c>
      <c r="H5" s="0" t="s">
        <v>1218</v>
      </c>
      <c r="I5" s="0" t="s">
        <v>81</v>
      </c>
      <c r="J5" s="0" t="s">
        <v>1645</v>
      </c>
      <c r="L5" s="0" t="s">
        <v>1450</v>
      </c>
      <c r="O5" s="0" t="s">
        <v>1646</v>
      </c>
      <c r="P5" s="0" t="s">
        <v>1647</v>
      </c>
      <c r="Q5" s="0" t="s">
        <v>1648</v>
      </c>
      <c r="T5" s="0" t="s">
        <v>1506</v>
      </c>
      <c r="U5" s="0" t="s">
        <v>102</v>
      </c>
      <c r="V5" s="0" t="s">
        <v>1649</v>
      </c>
      <c r="Y5" s="0" t="s">
        <v>1650</v>
      </c>
      <c r="Z5" s="0" t="s">
        <v>1638</v>
      </c>
      <c r="AA5" s="0" t="s">
        <v>1651</v>
      </c>
      <c r="AB5" s="0" t="s">
        <v>136</v>
      </c>
    </row>
    <row r="6" customFormat="false" ht="15" hidden="false" customHeight="false" outlineLevel="0" collapsed="false">
      <c r="A6" s="0" t="s">
        <v>162</v>
      </c>
      <c r="F6" s="0" t="s">
        <v>168</v>
      </c>
      <c r="G6" s="0" t="s">
        <v>1379</v>
      </c>
      <c r="H6" s="0" t="s">
        <v>1219</v>
      </c>
      <c r="I6" s="0" t="s">
        <v>82</v>
      </c>
      <c r="J6" s="0" t="s">
        <v>1652</v>
      </c>
      <c r="L6" s="0" t="s">
        <v>1451</v>
      </c>
      <c r="P6" s="0" t="s">
        <v>1653</v>
      </c>
      <c r="Q6" s="0" t="s">
        <v>1654</v>
      </c>
      <c r="Y6" s="0" t="s">
        <v>1655</v>
      </c>
      <c r="Z6" s="0" t="s">
        <v>1635</v>
      </c>
      <c r="AA6" s="0" t="s">
        <v>1656</v>
      </c>
      <c r="AB6" s="0" t="s">
        <v>138</v>
      </c>
    </row>
    <row r="7" customFormat="false" ht="15" hidden="false" customHeight="false" outlineLevel="0" collapsed="false">
      <c r="A7" s="0" t="s">
        <v>164</v>
      </c>
      <c r="G7" s="0" t="s">
        <v>1381</v>
      </c>
      <c r="H7" s="0" t="s">
        <v>1220</v>
      </c>
      <c r="I7" s="0" t="s">
        <v>83</v>
      </c>
      <c r="J7" s="0" t="s">
        <v>1657</v>
      </c>
      <c r="L7" s="0" t="s">
        <v>1452</v>
      </c>
      <c r="Y7" s="0" t="s">
        <v>1658</v>
      </c>
      <c r="AA7" s="0" t="s">
        <v>1659</v>
      </c>
      <c r="AB7" s="0" t="s">
        <v>140</v>
      </c>
    </row>
    <row r="8" customFormat="false" ht="15" hidden="false" customHeight="false" outlineLevel="0" collapsed="false">
      <c r="A8" s="0" t="s">
        <v>166</v>
      </c>
      <c r="G8" s="0" t="s">
        <v>1382</v>
      </c>
      <c r="H8" s="0" t="s">
        <v>1023</v>
      </c>
      <c r="J8" s="0" t="s">
        <v>1660</v>
      </c>
      <c r="L8" s="0" t="s">
        <v>1453</v>
      </c>
      <c r="Y8" s="0" t="s">
        <v>1661</v>
      </c>
      <c r="AA8" s="0" t="s">
        <v>1662</v>
      </c>
      <c r="AB8" s="0" t="s">
        <v>142</v>
      </c>
    </row>
    <row r="9" customFormat="false" ht="15" hidden="false" customHeight="false" outlineLevel="0" collapsed="false">
      <c r="A9" s="0" t="s">
        <v>168</v>
      </c>
      <c r="H9" s="0" t="s">
        <v>1221</v>
      </c>
      <c r="J9" s="0" t="s">
        <v>1023</v>
      </c>
      <c r="L9" s="0" t="s">
        <v>1454</v>
      </c>
      <c r="AA9" s="0" t="s">
        <v>93</v>
      </c>
      <c r="AB9" s="0" t="s">
        <v>144</v>
      </c>
    </row>
    <row r="10" customFormat="false" ht="15" hidden="false" customHeight="false" outlineLevel="0" collapsed="false">
      <c r="H10" s="0" t="s">
        <v>1222</v>
      </c>
      <c r="J10" s="0" t="s">
        <v>1663</v>
      </c>
      <c r="L10" s="0" t="s">
        <v>168</v>
      </c>
      <c r="AA10" s="0" t="s">
        <v>1664</v>
      </c>
      <c r="AB10" s="0" t="s">
        <v>146</v>
      </c>
    </row>
    <row r="11" customFormat="false" ht="15" hidden="false" customHeight="false" outlineLevel="0" collapsed="false">
      <c r="H11" s="0" t="s">
        <v>1223</v>
      </c>
      <c r="J11" s="0" t="s">
        <v>1665</v>
      </c>
      <c r="AA11" s="0" t="s">
        <v>1666</v>
      </c>
      <c r="AB11" s="0" t="s">
        <v>148</v>
      </c>
    </row>
    <row r="12" customFormat="false" ht="15" hidden="false" customHeight="false" outlineLevel="0" collapsed="false">
      <c r="H12" s="0" t="s">
        <v>1224</v>
      </c>
      <c r="J12" s="0" t="s">
        <v>168</v>
      </c>
      <c r="AA12" s="0" t="s">
        <v>1667</v>
      </c>
      <c r="AB12" s="0" t="s">
        <v>150</v>
      </c>
    </row>
    <row r="13" customFormat="false" ht="15" hidden="false" customHeight="false" outlineLevel="0" collapsed="false">
      <c r="H13" s="0" t="s">
        <v>1225</v>
      </c>
      <c r="AA13" s="0" t="s">
        <v>1668</v>
      </c>
      <c r="AB13" s="0" t="s">
        <v>152</v>
      </c>
    </row>
    <row r="14" customFormat="false" ht="15" hidden="false" customHeight="false" outlineLevel="0" collapsed="false">
      <c r="H14" s="0" t="s">
        <v>97</v>
      </c>
    </row>
    <row r="15" customFormat="false" ht="15" hidden="false" customHeight="false" outlineLevel="0" collapsed="false">
      <c r="H15" s="0" t="s">
        <v>1226</v>
      </c>
    </row>
    <row r="16" customFormat="false" ht="15" hidden="false" customHeight="false" outlineLevel="0" collapsed="false">
      <c r="H16" s="0" t="s">
        <v>1227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2026-08-18T05:52:23Z</dcterms:created>
  <dc:creator>openpyxl</dc:creator>
  <dc:description/>
  <dc:language>en-US</dc:language>
  <cp:lastModifiedBy/>
  <dcterms:modified xsi:type="dcterms:W3CDTF">2026-08-18T05:52:32Z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