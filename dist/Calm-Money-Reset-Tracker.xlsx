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11.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5.xml" ContentType="application/vnd.openxmlformats-officedocument.drawing+xml"/>
  <Override PartName="/xl/comments/comment2.xml" ContentType="application/vnd.openxmlformats-officedocument.spreadsheetml.comments+xml"/>
  <Override PartName="/xl/worksheets/sheet15.xml" ContentType="application/vnd.openxmlformats-officedocument.spreadsheetml.worksheet+xml"/>
  <Override PartName="/xl/drawings/drawing6.xml" ContentType="application/vnd.openxmlformats-officedocument.drawing+xml"/>
  <Override PartName="/xl/comments/comment3.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3280" windowHeight="11880" tabRatio="887" firstSheet="3" activeTab="1" autoFilterDateGrouping="1"/>
  </bookViews>
  <sheets>
    <sheet name="🌸 Welcome" sheetId="1" state="visible" r:id="rId1"/>
    <sheet name="🌿 Dashboard" sheetId="2" state="visible" r:id="rId2"/>
    <sheet name="Flexible Income Budget" sheetId="3" state="visible" r:id="rId3"/>
    <sheet name="🪴 Transactions Log" sheetId="4" state="visible" r:id="rId4"/>
    <sheet name="🏦 Bank Import" sheetId="5" state="visible" r:id="rId5"/>
    <sheet name="💛 Doom Spending Log" sheetId="6" state="visible" r:id="rId6"/>
    <sheet name="🌱 Low-Spend Streaks" sheetId="7" state="visible" r:id="rId7"/>
    <sheet name="✋ Pause Before You Buy" sheetId="8" state="visible" r:id="rId8"/>
    <sheet name="🗓️ Bill Calendar" sheetId="9" state="visible" r:id="rId9"/>
    <sheet name="Savings &amp; Debt Goal Tracker" sheetId="10" state="visible" r:id="rId10"/>
    <sheet name="Subscription Tracker" sheetId="11" state="visible" r:id="rId11"/>
    <sheet name="🌼 Habit Tracker" sheetId="12" state="visible" r:id="rId12"/>
    <sheet name="✨ Monthly Reflection" sheetId="13" state="visible" r:id="rId13"/>
    <sheet name="Paycheck Budget" sheetId="14" state="visible" r:id="rId14"/>
    <sheet name="Example" sheetId="15" state="visible" r:id="rId15"/>
    <sheet name="💬 Notes FAQ" sheetId="16" state="visible" r:id="rId16"/>
    <sheet name="Settings" sheetId="17" state="visible" r:id="rId17"/>
  </sheets>
  <definedNames>
    <definedName name="BillingFrequencyList">Settings!$N$3:$N$5</definedName>
    <definedName name="CategoryList">Settings!$A$3:$A$82</definedName>
    <definedName name="CategoryTypeList">Settings!$B$3:$B$82</definedName>
    <definedName name="CurrencyList">Settings!$H$3:$H$7</definedName>
    <definedName name="MonthList">Settings!$J$3:$J$14</definedName>
    <definedName name="PayFrequencyList">Settings!$F$3:$F$6</definedName>
    <definedName name="SubCategoryList">Settings!$T$3:$T$10</definedName>
    <definedName name="TypeList">Settings!$D$3:$D$7</definedName>
    <definedName name="WeekStartList">Settings!$L$3:$L$4</definedName>
    <definedName name="YearList">Settings!$P$3:$P$9</definedName>
    <definedName name="YesNoList">Settings!$R$3:$R$4</definedName>
    <definedName name="TriggerList">Settings!$V$3:$V$8</definedName>
    <definedName name="FeelingList">Settings!$X$3:$X$5</definedName>
    <definedName name="DecisionList">Settings!$Z$3:$Z$5</definedName>
    <definedName name="AsOfDate" localSheetId="2">'Flexible Income Budget'!$B$66</definedName>
    <definedName name="PeriodEnd" localSheetId="2">'Flexible Income Budget'!$B$7</definedName>
    <definedName name="PeriodStart" localSheetId="2">'Flexible Income Budget'!$B$5</definedName>
    <definedName name="_xlnm.Print_Area" localSheetId="2">'Flexible Income Budget'!$A$1:$W$61</definedName>
    <definedName name="GoalNameList" localSheetId="9">'Savings &amp; Debt Goal Tracker'!$J$6:$J$21</definedName>
    <definedName name="PeriodEnd" localSheetId="13">'Paycheck Budget'!$B$7</definedName>
    <definedName name="PeriodStart" localSheetId="13">'Paycheck Budget'!$B$5</definedName>
    <definedName name="_xlnm.Print_Area" localSheetId="13">'Paycheck Budget'!$A$1:$W$61</definedName>
    <definedName name="PeriodEnd" localSheetId="14">Example!$B$7</definedName>
    <definedName name="PeriodStart" localSheetId="14">Example!$B$5</definedName>
    <definedName name="_xlnm.Print_Area" localSheetId="14">'Example'!$A$1:$W$61</definedName>
  </definedNames>
  <calcPr calcId="191029" fullCalcOnLoad="1"/>
</workbook>
</file>

<file path=xl/styles.xml><?xml version="1.0" encoding="utf-8"?>
<styleSheet xmlns="http://schemas.openxmlformats.org/spreadsheetml/2006/main">
  <numFmts count="11">
    <numFmt numFmtId="164" formatCode="[$$-409]#,##0.00;\([$$-409]#,##0.00\);&quot;-&quot;"/>
    <numFmt numFmtId="165" formatCode="[$$-409]#,##0.00;[Red]\-[$$-409]#,##0.00;&quot;-&quot;"/>
    <numFmt numFmtId="166" formatCode="mm/dd/yyyy"/>
    <numFmt numFmtId="167" formatCode="[$$-409]#,##0;\([$$-409]#,##0\);&quot;&quot;"/>
    <numFmt numFmtId="168" formatCode="[$$-409]#,##0;[Red]\-[$$-409]#,##0;&quot;$0&quot;"/>
    <numFmt numFmtId="169" formatCode="[$$-409]#,##0;[Red]\-[$$-409]#,##0;&quot;-&quot;"/>
    <numFmt numFmtId="170" formatCode="&quot;$&quot;#,##0"/>
    <numFmt numFmtId="171" formatCode="0&quot; days&quot;"/>
    <numFmt numFmtId="172" formatCode="mmm d"/>
    <numFmt numFmtId="173" formatCode="&quot;$&quot;#,##0.00"/>
    <numFmt numFmtId="174" formatCode="mmm d, yyyy"/>
  </numFmts>
  <fonts count="116">
    <font>
      <name val="Aptos Narrow"/>
      <family val="2"/>
      <color theme="1"/>
      <sz val="11"/>
      <scheme val="minor"/>
    </font>
    <font>
      <name val="Calibri"/>
      <color rgb="FF3B3733"/>
      <sz val="12"/>
    </font>
    <font>
      <name val="Calibri"/>
      <b val="1"/>
      <color rgb="FF3B3733"/>
      <sz val="12"/>
    </font>
    <font>
      <name val="Aptos Narrow"/>
      <family val="2"/>
      <b val="1"/>
      <color rgb="FFFFFFFF"/>
      <sz val="11"/>
      <scheme val="minor"/>
    </font>
    <font>
      <name val="Calibri"/>
      <i val="1"/>
      <color rgb="FF3B3733"/>
      <sz val="11"/>
    </font>
    <font>
      <name val="Calibri"/>
      <color rgb="FF3B3733"/>
      <sz val="11"/>
    </font>
    <font>
      <name val="Calibri"/>
      <b val="1"/>
      <color rgb="FF3B3733"/>
      <sz val="11"/>
    </font>
    <font>
      <name val="Calibri"/>
      <b val="1"/>
      <color rgb="FFFFFFFF"/>
      <sz val="11"/>
    </font>
    <font>
      <name val="Georgia"/>
      <b val="1"/>
      <color rgb="FF3B3733"/>
      <sz val="13"/>
    </font>
    <font>
      <name val="Georgia"/>
      <b val="1"/>
      <color rgb="FF3B3733"/>
      <sz val="12"/>
    </font>
    <font>
      <name val="Aptos Narrow"/>
      <family val="2"/>
      <color rgb="FFB0AAA3"/>
      <sz val="8"/>
      <scheme val="minor"/>
    </font>
    <font>
      <name val="Calibri"/>
      <b val="1"/>
      <color rgb="FF3B3733"/>
      <sz val="13"/>
    </font>
    <font>
      <name val="Calibri"/>
      <i val="1"/>
      <color rgb="FF3B3733"/>
      <sz val="9"/>
    </font>
    <font>
      <name val="Calibri"/>
      <color rgb="FF3B3733"/>
      <sz val="9"/>
    </font>
    <font>
      <name val="Calibri"/>
      <color rgb="FFB0AAA3"/>
      <sz val="9"/>
    </font>
    <font>
      <name val="Aptos Narrow"/>
      <family val="2"/>
      <color rgb="FFB0AAA3"/>
      <sz val="9"/>
      <scheme val="minor"/>
    </font>
    <font>
      <name val="Georgia"/>
      <color rgb="FF3B3733"/>
      <sz val="11"/>
    </font>
    <font>
      <name val="Georgia"/>
      <b val="1"/>
      <color rgb="FF3B3733"/>
      <sz val="11"/>
    </font>
    <font>
      <name val="Calibri"/>
      <color rgb="FFB0AAA3"/>
      <sz val="8"/>
    </font>
    <font>
      <name val="Calibri"/>
      <b val="1"/>
      <color rgb="FF3B3733"/>
      <sz val="8"/>
    </font>
    <font>
      <name val="Calibri"/>
      <color rgb="FF3B3733"/>
      <sz val="8"/>
    </font>
    <font>
      <name val="Calibri"/>
      <i val="1"/>
      <color rgb="FF3B3733"/>
      <sz val="10"/>
    </font>
    <font>
      <name val="Georgia"/>
      <b val="1"/>
      <color rgb="FF3B3733"/>
      <sz val="30"/>
    </font>
    <font>
      <name val="Georgia"/>
      <i val="1"/>
      <color rgb="FF3B3733"/>
      <sz val="14"/>
    </font>
    <font>
      <name val="Georgia"/>
      <b val="1"/>
      <color rgb="FF3B3733"/>
      <sz val="16"/>
    </font>
    <font>
      <name val="Georgia"/>
      <b val="1"/>
      <color rgb="FF3B3733"/>
      <sz val="14"/>
    </font>
    <font>
      <name val="Calibri"/>
      <color rgb="FF3B3733"/>
      <sz val="10"/>
    </font>
    <font>
      <name val="Georgia"/>
      <i val="1"/>
      <color rgb="FF3B3733"/>
      <sz val="13"/>
    </font>
    <font>
      <name val="Calibri"/>
      <b val="1"/>
      <color rgb="FF3B3733"/>
      <sz val="10"/>
    </font>
    <font>
      <name val="Calibri"/>
      <i val="1"/>
      <color rgb="FF3B3733"/>
      <sz val="12"/>
    </font>
    <font>
      <name val="Aptos Narrow"/>
      <family val="2"/>
      <color theme="0"/>
      <sz val="11"/>
      <scheme val="minor"/>
    </font>
    <font>
      <name val="Georgia"/>
      <color rgb="FF3B3733"/>
      <sz val="30"/>
    </font>
    <font>
      <name val="Aptos Narrow"/>
      <family val="2"/>
      <color rgb="FFFBF9F6"/>
      <sz val="11"/>
      <scheme val="minor"/>
    </font>
    <font>
      <name val="Calibri"/>
      <color rgb="FFFBF9F6"/>
      <sz val="9"/>
    </font>
    <font>
      <name val="Calibri"/>
      <color rgb="FFFBF9F6"/>
      <sz val="11"/>
    </font>
    <font>
      <name val="Calibri"/>
      <i val="1"/>
      <color rgb="FFFBF9F6"/>
      <sz val="9"/>
    </font>
    <font>
      <name val="Calibri"/>
      <color rgb="FFFBF9F6"/>
      <sz val="8"/>
    </font>
    <font>
      <name val="Calibri"/>
      <i val="1"/>
      <color theme="0"/>
      <sz val="8"/>
    </font>
    <font>
      <name val="Calibri"/>
      <family val="2"/>
      <color theme="0"/>
      <sz val="8"/>
    </font>
    <font>
      <name val="Calibri"/>
      <family val="2"/>
      <color rgb="FF3B3733"/>
      <sz val="11"/>
    </font>
    <font>
      <name val="Calibri"/>
      <family val="2"/>
      <b val="1"/>
      <color rgb="FF3B3733"/>
      <sz val="9"/>
    </font>
    <font>
      <name val="Georgia"/>
      <family val="1"/>
      <b val="1"/>
      <color rgb="FF3B3733"/>
      <sz val="26"/>
    </font>
    <font>
      <name val="Calibri"/>
      <family val="2"/>
      <i val="1"/>
      <color rgb="FF3B3733"/>
      <sz val="11"/>
    </font>
    <font>
      <name val="Calibri"/>
      <family val="2"/>
      <i val="1"/>
      <color theme="0"/>
      <sz val="8"/>
    </font>
    <font>
      <name val="Georgia"/>
      <family val="1"/>
      <b val="1"/>
      <color rgb="FF3B3733"/>
      <sz val="17"/>
    </font>
    <font>
      <name val="Georgia"/>
      <family val="1"/>
      <b val="1"/>
      <color rgb="FF3B3733"/>
      <sz val="12"/>
    </font>
    <font>
      <name val="Aptos Narrow"/>
      <family val="2"/>
      <b val="1"/>
      <i val="1"/>
      <color rgb="FF3B3733"/>
      <sz val="9"/>
      <scheme val="minor"/>
    </font>
    <font>
      <name val="Aptos Narrow"/>
      <family val="2"/>
      <i val="1"/>
      <color theme="1"/>
      <sz val="11"/>
      <scheme val="minor"/>
    </font>
    <font>
      <name val="Aptos Narrow"/>
      <family val="2"/>
      <i val="1"/>
      <color rgb="FF3B3733"/>
      <sz val="11"/>
      <scheme val="minor"/>
    </font>
    <font>
      <name val="Calibri"/>
      <family val="2"/>
      <b val="1"/>
      <color rgb="FF3B3733"/>
      <sz val="10"/>
    </font>
    <font>
      <name val="Lora"/>
      <color rgb="FF3A3A3A"/>
      <sz val="30"/>
    </font>
    <font>
      <name val="Lora"/>
      <i val="1"/>
      <color rgb="FF3A3A3A"/>
      <sz val="14"/>
    </font>
    <font>
      <name val="Work Sans"/>
      <color rgb="FF3A3A3A"/>
      <sz val="11"/>
    </font>
    <font>
      <name val="Work Sans"/>
      <color rgb="FF3A3A3A"/>
      <sz val="12"/>
    </font>
    <font>
      <name val="Work Sans"/>
      <i val="1"/>
      <color rgb="FF3A3A3A"/>
      <sz val="10"/>
    </font>
    <font>
      <name val="Lora"/>
      <b val="1"/>
      <color rgb="FF3A3A3A"/>
      <sz val="16"/>
    </font>
    <font>
      <name val="Lora"/>
      <b val="1"/>
      <color rgb="FF3A3A3A"/>
      <sz val="14"/>
    </font>
    <font>
      <name val="Work Sans"/>
      <family val="2"/>
      <color rgb="FF3A3A3A"/>
      <sz val="11"/>
    </font>
    <font>
      <name val="Lora"/>
      <i val="1"/>
      <color rgb="FF3A3A3A"/>
      <sz val="13"/>
    </font>
    <font>
      <name val="Work Sans"/>
      <i val="1"/>
      <color rgb="FF3A3A3A"/>
      <sz val="11"/>
    </font>
    <font>
      <name val="Work Sans"/>
      <color rgb="FF3A3A3A"/>
      <sz val="10"/>
    </font>
    <font>
      <name val="Work Sans"/>
      <b val="1"/>
      <color rgb="FF3A3A3A"/>
      <sz val="8"/>
    </font>
    <font>
      <name val="Work Sans"/>
      <family val="2"/>
      <color theme="1"/>
      <sz val="11"/>
      <scheme val="minor"/>
    </font>
    <font>
      <name val="Work Sans"/>
      <family val="2"/>
      <b val="1"/>
      <color rgb="FF3A3A3A"/>
      <sz val="9"/>
    </font>
    <font>
      <name val="Work Sans"/>
      <family val="2"/>
      <color rgb="FFFBF6EF"/>
      <sz val="11"/>
      <scheme val="minor"/>
    </font>
    <font>
      <name val="Lora"/>
      <b val="1"/>
      <color rgb="FF3A3A3A"/>
      <sz val="30"/>
    </font>
    <font>
      <name val="Lora"/>
      <family val="1"/>
      <b val="1"/>
      <color rgb="FF3A3A3A"/>
      <sz val="17"/>
    </font>
    <font>
      <name val="Work Sans"/>
      <color rgb="FFFBF6EF"/>
      <sz val="9"/>
    </font>
    <font>
      <name val="Work Sans"/>
      <color rgb="FFFBF6EF"/>
      <sz val="11"/>
    </font>
    <font>
      <name val="Work Sans"/>
      <i val="1"/>
      <color rgb="FFFBF6EF"/>
      <sz val="9"/>
    </font>
    <font>
      <name val="Lora"/>
      <b val="1"/>
      <color rgb="FF3A3A3A"/>
      <sz val="13"/>
    </font>
    <font>
      <name val="Lora"/>
      <color rgb="FF3A3A3A"/>
      <sz val="11"/>
    </font>
    <font>
      <name val="Work Sans"/>
      <family val="2"/>
      <i val="1"/>
      <color theme="0"/>
      <sz val="8"/>
    </font>
    <font>
      <name val="Work Sans"/>
      <i val="1"/>
      <color rgb="FF3A3A3A"/>
      <sz val="9"/>
    </font>
    <font>
      <name val="Work Sans"/>
      <b val="1"/>
      <color rgb="FF3A3A3A"/>
      <sz val="11"/>
    </font>
    <font>
      <name val="Lora"/>
      <family val="1"/>
      <b val="1"/>
      <color rgb="FF3A3A3A"/>
      <sz val="12"/>
    </font>
    <font>
      <name val="Lora"/>
      <b val="1"/>
      <color rgb="FF3A3A3A"/>
      <sz val="12"/>
    </font>
    <font>
      <name val="Lora"/>
      <b val="1"/>
      <color rgb="FF3A3A3A"/>
      <sz val="11"/>
    </font>
    <font>
      <name val="Work Sans"/>
      <b val="1"/>
      <color rgb="FF3A3A3A"/>
      <sz val="10"/>
    </font>
    <font>
      <name val="Work Sans"/>
      <color rgb="FFFBF6EF"/>
      <sz val="8"/>
    </font>
    <font>
      <name val="Work Sans"/>
      <i val="1"/>
      <color rgb="FF3A3A3A"/>
      <sz val="12"/>
    </font>
    <font>
      <name val="Work Sans"/>
      <color rgb="FF8C8681"/>
      <sz val="9"/>
    </font>
    <font>
      <name val="Work Sans"/>
      <family val="2"/>
      <color rgb="FF8C8681"/>
      <sz val="9"/>
      <scheme val="minor"/>
    </font>
    <font>
      <name val="Work Sans"/>
      <i val="1"/>
      <color theme="0"/>
      <sz val="8"/>
    </font>
    <font>
      <name val="Work Sans"/>
      <family val="2"/>
      <i val="1"/>
      <color rgb="FF3A3A3A"/>
      <sz val="11"/>
    </font>
    <font>
      <name val="Work Sans"/>
      <color rgb="FF3A3A3A"/>
      <sz val="8"/>
    </font>
    <font>
      <name val="Work Sans"/>
      <b val="1"/>
      <color rgb="FFFFFFFF"/>
      <sz val="11"/>
    </font>
    <font>
      <name val="Work Sans"/>
      <family val="2"/>
      <b val="1"/>
      <i val="1"/>
      <color rgb="FF3A3A3A"/>
      <sz val="9"/>
      <scheme val="minor"/>
    </font>
    <font>
      <name val="Work Sans"/>
      <family val="2"/>
      <b val="1"/>
      <color rgb="FFFFFFFF"/>
      <sz val="11"/>
      <scheme val="minor"/>
    </font>
    <font>
      <name val="Work Sans"/>
      <family val="2"/>
      <i val="1"/>
      <color rgb="FF3A3A3A"/>
      <sz val="11"/>
      <scheme val="minor"/>
    </font>
    <font>
      <name val="Work Sans"/>
      <family val="2"/>
      <i val="1"/>
      <color theme="1"/>
      <sz val="11"/>
      <scheme val="minor"/>
    </font>
    <font>
      <name val="Work Sans"/>
      <family val="2"/>
      <color theme="0"/>
      <sz val="8"/>
    </font>
    <font>
      <name val="Work Sans"/>
      <color rgb="FF3A3A3A"/>
      <sz val="9"/>
    </font>
    <font>
      <name val="Work Sans"/>
      <color rgb="FF8C8681"/>
      <sz val="8"/>
    </font>
    <font>
      <name val="Work Sans"/>
      <family val="2"/>
      <b val="1"/>
      <color rgb="FF3A3A3A"/>
      <sz val="10"/>
    </font>
    <font>
      <name val="Lora"/>
      <family val="1"/>
      <b val="1"/>
      <color rgb="FF3A3A3A"/>
      <sz val="26"/>
    </font>
    <font>
      <name val="Work Sans"/>
      <b val="1"/>
      <color rgb="FF3A3A3A"/>
      <sz val="13"/>
    </font>
    <font>
      <name val="Work Sans"/>
      <b val="1"/>
      <color rgb="FF3A3A3A"/>
      <sz val="12"/>
    </font>
    <font>
      <name val="Poppins"/>
      <b val="1"/>
      <color rgb="FF3A3A3A"/>
      <sz val="10.5"/>
    </font>
    <font>
      <name val="Work Sans"/>
      <color rgb="FF3A3A3A"/>
      <sz val="10.5"/>
    </font>
    <font>
      <name val="Lora"/>
      <b val="1"/>
      <color rgb="FF3A3A3A"/>
      <sz val="24"/>
    </font>
    <font>
      <name val="Work Sans"/>
      <i val="1"/>
      <color rgb="FF8C8681"/>
      <sz val="10.5"/>
    </font>
    <font>
      <name val="Lora"/>
      <b val="1"/>
      <color rgb="FF3A3A3A"/>
      <sz val="26"/>
    </font>
    <font>
      <name val="Poppins"/>
      <b val="1"/>
      <color rgb="FF3A3A3A"/>
      <sz val="12.5"/>
    </font>
    <font>
      <name val="Work Sans"/>
      <b val="1"/>
      <color rgb="FF3A3A3A"/>
      <sz val="10.5"/>
    </font>
    <font>
      <name val="Work Sans"/>
      <color rgb="FF7BA87A"/>
      <sz val="11"/>
    </font>
    <font>
      <name val="Poppins"/>
      <b val="1"/>
      <color rgb="FF3A3A3A"/>
      <sz val="12"/>
    </font>
    <font>
      <name val="Poppins"/>
      <b val="1"/>
      <color rgb="FF8C8681"/>
      <sz val="10"/>
    </font>
    <font>
      <name val="Work Sans"/>
      <i val="1"/>
      <color rgb="FF3A3A3A"/>
      <sz val="10.5"/>
    </font>
    <font>
      <name val="Lora"/>
      <b val="1"/>
      <color rgb="FF3A3A3A"/>
      <sz val="22"/>
    </font>
    <font>
      <name val="Lora"/>
      <b val="1"/>
      <color rgb="FF3A3A3A"/>
      <sz val="18"/>
    </font>
    <font>
      <name val="Poppins"/>
      <b val="1"/>
      <color rgb="FFFBF6EF"/>
      <sz val="10.5"/>
    </font>
    <font>
      <name val="Poppins"/>
      <b val="1"/>
      <color rgb="FF8C8681"/>
      <sz val="11"/>
    </font>
    <font>
      <name val="Work Sans"/>
      <b val="1"/>
      <color rgb="FF7BA87A"/>
      <sz val="16"/>
    </font>
    <font>
      <name val="Poppins"/>
      <b val="1"/>
      <color rgb="FF3A3A3A"/>
      <sz val="13"/>
    </font>
    <font>
      <name val="Lora"/>
      <b val="1"/>
      <color rgb="FF3A3A3A"/>
      <sz val="20"/>
    </font>
  </fonts>
  <fills count="25">
    <fill>
      <patternFill/>
    </fill>
    <fill>
      <patternFill patternType="gray125"/>
    </fill>
    <fill>
      <patternFill patternType="solid">
        <fgColor rgb="FF3B3733"/>
        <bgColor indexed="64"/>
      </patternFill>
    </fill>
    <fill>
      <patternFill patternType="solid">
        <fgColor rgb="FFFFFFFF"/>
        <bgColor indexed="64"/>
      </patternFill>
    </fill>
    <fill>
      <patternFill patternType="solid">
        <fgColor rgb="FFD6E8D6"/>
        <bgColor indexed="64"/>
      </patternFill>
    </fill>
    <fill>
      <patternFill patternType="solid">
        <fgColor rgb="FFCFE2ED"/>
        <bgColor indexed="64"/>
      </patternFill>
    </fill>
    <fill>
      <patternFill patternType="solid">
        <fgColor rgb="FFF5D6DC"/>
        <bgColor indexed="64"/>
      </patternFill>
    </fill>
    <fill>
      <patternFill patternType="solid">
        <fgColor rgb="FFF7ECC9"/>
        <bgColor indexed="64"/>
      </patternFill>
    </fill>
    <fill>
      <patternFill patternType="solid">
        <fgColor rgb="FFE3DCEF"/>
        <bgColor indexed="64"/>
      </patternFill>
    </fill>
    <fill>
      <patternFill patternType="solid">
        <fgColor rgb="FFFBF9F6"/>
        <bgColor indexed="64"/>
      </patternFill>
    </fill>
    <fill>
      <patternFill patternType="solid">
        <fgColor rgb="FFE3DCF0"/>
        <bgColor indexed="64"/>
      </patternFill>
    </fill>
    <fill>
      <patternFill patternType="solid">
        <fgColor rgb="FFF5EBD2"/>
        <bgColor indexed="64"/>
      </patternFill>
    </fill>
    <fill>
      <patternFill patternType="solid">
        <fgColor theme="0"/>
        <bgColor indexed="64"/>
      </patternFill>
    </fill>
    <fill>
      <patternFill patternType="solid">
        <fgColor rgb="FFC8D8C4"/>
        <bgColor rgb="FFC8D8C4"/>
      </patternFill>
    </fill>
    <fill>
      <patternFill patternType="solid">
        <fgColor rgb="FFC9DDE8"/>
        <bgColor rgb="FFC9DDE8"/>
      </patternFill>
    </fill>
    <fill>
      <patternFill patternType="solid">
        <fgColor rgb="FFF5E3B3"/>
        <bgColor rgb="FFF5E3B3"/>
      </patternFill>
    </fill>
    <fill>
      <patternFill patternType="solid">
        <fgColor rgb="FFFBF6EF"/>
        <bgColor rgb="FFFBF6EF"/>
      </patternFill>
    </fill>
    <fill>
      <patternFill patternType="solid">
        <fgColor rgb="FFF4C9CE"/>
        <bgColor rgb="FFF4C9CE"/>
      </patternFill>
    </fill>
    <fill>
      <patternFill patternType="solid">
        <fgColor rgb="FFD9D0E8"/>
        <bgColor rgb="FFD9D0E8"/>
      </patternFill>
    </fill>
    <fill>
      <patternFill patternType="solid">
        <fgColor rgb="FF3A3A3A"/>
        <bgColor rgb="FF3A3A3A"/>
      </patternFill>
    </fill>
    <fill>
      <patternFill patternType="solid">
        <fgColor rgb="FFE7EFE4"/>
        <bgColor rgb="FFE7EFE4"/>
      </patternFill>
    </fill>
    <fill>
      <patternFill patternType="solid">
        <fgColor rgb="FFE9F2F7"/>
        <bgColor rgb="FFE9F2F7"/>
      </patternFill>
    </fill>
    <fill>
      <patternFill patternType="solid">
        <fgColor rgb="FFFBE7E9"/>
        <bgColor rgb="FFFBE7E9"/>
      </patternFill>
    </fill>
    <fill>
      <patternFill patternType="solid">
        <fgColor rgb="FFFBF2DA"/>
        <bgColor rgb="FFFBF2DA"/>
      </patternFill>
    </fill>
    <fill>
      <patternFill patternType="solid">
        <fgColor rgb="FFF0EBF7"/>
        <bgColor rgb="FFF0EBF7"/>
      </patternFill>
    </fill>
  </fills>
  <borders count="83">
    <border>
      <left/>
      <right/>
      <top/>
      <bottom/>
      <diagonal/>
    </border>
    <border>
      <left/>
      <right/>
      <top style="thin">
        <color rgb="FFD8D3CC"/>
      </top>
      <bottom/>
      <diagonal/>
    </border>
    <border>
      <left/>
      <right/>
      <top style="thin">
        <color rgb="FFD8D3CC"/>
      </top>
      <bottom style="thin">
        <color rgb="FFD8D3CC"/>
      </bottom>
      <diagonal/>
    </border>
    <border>
      <left/>
      <right/>
      <top/>
      <bottom style="thin">
        <color rgb="FFD8D3CC"/>
      </bottom>
      <diagonal/>
    </border>
    <border>
      <left style="thin">
        <color rgb="FFD8D3CC"/>
      </left>
      <right/>
      <top style="thin">
        <color rgb="FFD8D3CC"/>
      </top>
      <bottom style="thin">
        <color rgb="FFD8D3CC"/>
      </bottom>
      <diagonal/>
    </border>
    <border>
      <left style="thin">
        <color rgb="FFD8D3CC"/>
      </left>
      <right/>
      <top style="thin">
        <color rgb="FFD8D3CC"/>
      </top>
      <bottom/>
      <diagonal/>
    </border>
    <border>
      <left style="thin">
        <color rgb="FFD8D3CC"/>
      </left>
      <right/>
      <top/>
      <bottom/>
      <diagonal/>
    </border>
    <border>
      <left style="thin">
        <color rgb="FFD8D3CC"/>
      </left>
      <right/>
      <top/>
      <bottom style="thin">
        <color rgb="FFD8D3CC"/>
      </bottom>
      <diagonal/>
    </border>
    <border>
      <left style="thin">
        <color rgb="FFD8D3CC"/>
      </left>
      <right style="thin">
        <color rgb="FFD8D3CC"/>
      </right>
      <top style="thin">
        <color rgb="FFD8D3CC"/>
      </top>
      <bottom style="thin">
        <color rgb="FFD8D3CC"/>
      </bottom>
      <diagonal/>
    </border>
    <border>
      <left/>
      <right style="thin">
        <color rgb="FFD8D3CC"/>
      </right>
      <top style="thin">
        <color rgb="FFD8D3CC"/>
      </top>
      <bottom/>
      <diagonal/>
    </border>
    <border>
      <left/>
      <right style="thin">
        <color rgb="FFD8D3CC"/>
      </right>
      <top/>
      <bottom/>
      <diagonal/>
    </border>
    <border>
      <left/>
      <right style="thin">
        <color rgb="FFD8D3CC"/>
      </right>
      <top/>
      <bottom style="thin">
        <color rgb="FFD8D3CC"/>
      </bottom>
      <diagonal/>
    </border>
    <border>
      <left style="thin">
        <color rgb="FFD8D3CC"/>
      </left>
      <right style="thin">
        <color rgb="FFD8D3CC"/>
      </right>
      <top style="thin">
        <color rgb="FFD8D3CC"/>
      </top>
      <bottom/>
      <diagonal/>
    </border>
    <border>
      <left style="thin">
        <color rgb="FFD8D3CC"/>
      </left>
      <right style="thin">
        <color rgb="FFD8D3CC"/>
      </right>
      <top/>
      <bottom/>
      <diagonal/>
    </border>
    <border>
      <left style="thin">
        <color rgb="FFD8D3CC"/>
      </left>
      <right style="thin">
        <color rgb="FFD8D3CC"/>
      </right>
      <top/>
      <bottom style="thin">
        <color rgb="FFD8D3CC"/>
      </bottom>
      <diagonal/>
    </border>
    <border>
      <left/>
      <right style="thin">
        <color rgb="FFD8D3CC"/>
      </right>
      <top style="thin">
        <color rgb="FFD8D3CC"/>
      </top>
      <bottom style="thin">
        <color rgb="FFD8D3CC"/>
      </bottom>
      <diagonal/>
    </border>
    <border>
      <left style="thin">
        <color rgb="FFA9C9A9"/>
      </left>
      <right/>
      <top style="thin">
        <color rgb="FFA9C9A9"/>
      </top>
      <bottom/>
      <diagonal/>
    </border>
    <border>
      <left style="thin">
        <color rgb="FFA9C9A9"/>
      </left>
      <right/>
      <top/>
      <bottom/>
      <diagonal/>
    </border>
    <border>
      <left style="thin">
        <color rgb="FFA9C9A9"/>
      </left>
      <right/>
      <top/>
      <bottom style="thin">
        <color rgb="FFA9C9A9"/>
      </bottom>
      <diagonal/>
    </border>
    <border>
      <left style="thin">
        <color rgb="FF9FC3D6"/>
      </left>
      <right/>
      <top style="thin">
        <color rgb="FF9FC3D6"/>
      </top>
      <bottom/>
      <diagonal/>
    </border>
    <border>
      <left style="thin">
        <color rgb="FF9FC3D6"/>
      </left>
      <right/>
      <top/>
      <bottom/>
      <diagonal/>
    </border>
    <border>
      <left style="thin">
        <color rgb="FF9FC3D6"/>
      </left>
      <right/>
      <top/>
      <bottom style="thin">
        <color rgb="FF9FC3D6"/>
      </bottom>
      <diagonal/>
    </border>
    <border>
      <left style="thin">
        <color rgb="FFE8AFC0"/>
      </left>
      <right/>
      <top style="thin">
        <color rgb="FFE8AFC0"/>
      </top>
      <bottom/>
      <diagonal/>
    </border>
    <border>
      <left style="thin">
        <color rgb="FFE8AFC0"/>
      </left>
      <right/>
      <top/>
      <bottom/>
      <diagonal/>
    </border>
    <border>
      <left style="thin">
        <color rgb="FFE8AFC0"/>
      </left>
      <right/>
      <top/>
      <bottom style="thin">
        <color rgb="FFE8AFC0"/>
      </bottom>
      <diagonal/>
    </border>
    <border>
      <left style="thin">
        <color rgb="FFEBD98F"/>
      </left>
      <right/>
      <top style="thin">
        <color rgb="FFEBD98F"/>
      </top>
      <bottom/>
      <diagonal/>
    </border>
    <border>
      <left style="thin">
        <color rgb="FFEBD98F"/>
      </left>
      <right/>
      <top/>
      <bottom/>
      <diagonal/>
    </border>
    <border>
      <left style="thin">
        <color rgb="FFEBD98F"/>
      </left>
      <right/>
      <top/>
      <bottom style="thin">
        <color rgb="FFEBD98F"/>
      </bottom>
      <diagonal/>
    </border>
    <border>
      <left style="thin">
        <color rgb="FFC7B8E8"/>
      </left>
      <right/>
      <top style="thin">
        <color rgb="FFC7B8E8"/>
      </top>
      <bottom/>
      <diagonal/>
    </border>
    <border>
      <left style="thin">
        <color rgb="FFC7B8E8"/>
      </left>
      <right/>
      <top/>
      <bottom/>
      <diagonal/>
    </border>
    <border>
      <left style="thin">
        <color rgb="FFC7B8E8"/>
      </left>
      <right/>
      <top/>
      <bottom style="thin">
        <color rgb="FFC7B8E8"/>
      </bottom>
      <diagonal/>
    </border>
    <border>
      <left style="thin">
        <color rgb="FFC7B8E8"/>
      </left>
      <right style="thin">
        <color rgb="FFC7B8E8"/>
      </right>
      <top style="thin">
        <color rgb="FFC7B8E8"/>
      </top>
      <bottom/>
      <diagonal/>
    </border>
    <border>
      <left style="thin">
        <color rgb="FFC7B8E8"/>
      </left>
      <right style="thin">
        <color rgb="FFC7B8E8"/>
      </right>
      <top/>
      <bottom/>
      <diagonal/>
    </border>
    <border>
      <left style="thin">
        <color rgb="FFC7B8E8"/>
      </left>
      <right style="thin">
        <color rgb="FFC7B8E8"/>
      </right>
      <top/>
      <bottom style="thin">
        <color rgb="FFC7B8E8"/>
      </bottom>
      <diagonal/>
    </border>
    <border>
      <left/>
      <right style="thin">
        <color rgb="FFA9C9A9"/>
      </right>
      <top/>
      <bottom/>
      <diagonal/>
    </border>
    <border>
      <left/>
      <right/>
      <top style="thin">
        <color rgb="FFA9C9A9"/>
      </top>
      <bottom/>
      <diagonal/>
    </border>
    <border>
      <left/>
      <right/>
      <top/>
      <bottom style="thin">
        <color rgb="FFA9C9A9"/>
      </bottom>
      <diagonal/>
    </border>
    <border>
      <left/>
      <right style="medium">
        <color rgb="FFA9C9A9"/>
      </right>
      <top/>
      <bottom/>
      <diagonal/>
    </border>
    <border>
      <left/>
      <right style="thin">
        <color rgb="FFD8D3CC"/>
      </right>
      <top style="thin">
        <color rgb="FFA9C9A9"/>
      </top>
      <bottom/>
      <diagonal/>
    </border>
    <border>
      <left/>
      <right style="thin">
        <color rgb="FFD8D3CC"/>
      </right>
      <top/>
      <bottom style="thin">
        <color rgb="FFA9C9A9"/>
      </bottom>
      <diagonal/>
    </border>
    <border>
      <left/>
      <right style="thin">
        <color rgb="FFA9C9A9"/>
      </right>
      <top style="thin">
        <color rgb="FFA9C9A9"/>
      </top>
      <bottom/>
      <diagonal/>
    </border>
    <border>
      <left/>
      <right style="thin">
        <color rgb="FFA9C9A9"/>
      </right>
      <top/>
      <bottom style="thin">
        <color rgb="FFA9C9A9"/>
      </bottom>
      <diagonal/>
    </border>
    <border>
      <left/>
      <right/>
      <top style="thin">
        <color rgb="FF9FC3D6"/>
      </top>
      <bottom/>
      <diagonal/>
    </border>
    <border>
      <left/>
      <right style="thin">
        <color rgb="FFD8D3CC"/>
      </right>
      <top style="thin">
        <color rgb="FF9FC3D6"/>
      </top>
      <bottom/>
      <diagonal/>
    </border>
    <border>
      <left/>
      <right/>
      <top/>
      <bottom style="thin">
        <color rgb="FF9FC3D6"/>
      </bottom>
      <diagonal/>
    </border>
    <border>
      <left/>
      <right style="thin">
        <color rgb="FFD8D3CC"/>
      </right>
      <top/>
      <bottom style="thin">
        <color rgb="FF9FC3D6"/>
      </bottom>
      <diagonal/>
    </border>
    <border>
      <left/>
      <right style="thin">
        <color rgb="FF9FC3D6"/>
      </right>
      <top style="thin">
        <color rgb="FF9FC3D6"/>
      </top>
      <bottom/>
      <diagonal/>
    </border>
    <border>
      <left/>
      <right style="thin">
        <color rgb="FF9FC3D6"/>
      </right>
      <top/>
      <bottom/>
      <diagonal/>
    </border>
    <border>
      <left/>
      <right style="thin">
        <color rgb="FF9FC3D6"/>
      </right>
      <top/>
      <bottom style="thin">
        <color rgb="FF9FC3D6"/>
      </bottom>
      <diagonal/>
    </border>
    <border>
      <left/>
      <right/>
      <top style="thin">
        <color rgb="FFE8AFC0"/>
      </top>
      <bottom/>
      <diagonal/>
    </border>
    <border>
      <left/>
      <right style="thin">
        <color rgb="FFD8D3CC"/>
      </right>
      <top style="thin">
        <color rgb="FFE8AFC0"/>
      </top>
      <bottom/>
      <diagonal/>
    </border>
    <border>
      <left/>
      <right/>
      <top/>
      <bottom style="thin">
        <color rgb="FFE8AFC0"/>
      </bottom>
      <diagonal/>
    </border>
    <border>
      <left/>
      <right style="thin">
        <color rgb="FFD8D3CC"/>
      </right>
      <top/>
      <bottom style="thin">
        <color rgb="FFE8AFC0"/>
      </bottom>
      <diagonal/>
    </border>
    <border>
      <left/>
      <right style="thin">
        <color rgb="FFE8AFC0"/>
      </right>
      <top style="thin">
        <color rgb="FFE8AFC0"/>
      </top>
      <bottom/>
      <diagonal/>
    </border>
    <border>
      <left/>
      <right style="thin">
        <color rgb="FFE8AFC0"/>
      </right>
      <top/>
      <bottom/>
      <diagonal/>
    </border>
    <border>
      <left/>
      <right style="thin">
        <color rgb="FFE8AFC0"/>
      </right>
      <top/>
      <bottom style="thin">
        <color rgb="FFE8AFC0"/>
      </bottom>
      <diagonal/>
    </border>
    <border>
      <left/>
      <right/>
      <top style="thin">
        <color rgb="FFEBD98F"/>
      </top>
      <bottom/>
      <diagonal/>
    </border>
    <border>
      <left/>
      <right style="thin">
        <color rgb="FFD8D3CC"/>
      </right>
      <top style="thin">
        <color rgb="FFEBD98F"/>
      </top>
      <bottom/>
      <diagonal/>
    </border>
    <border>
      <left/>
      <right/>
      <top/>
      <bottom style="thin">
        <color rgb="FFEBD98F"/>
      </bottom>
      <diagonal/>
    </border>
    <border>
      <left/>
      <right style="thin">
        <color rgb="FFD8D3CC"/>
      </right>
      <top/>
      <bottom style="thin">
        <color rgb="FFEBD98F"/>
      </bottom>
      <diagonal/>
    </border>
    <border>
      <left/>
      <right style="thin">
        <color rgb="FFEBD98F"/>
      </right>
      <top style="thin">
        <color rgb="FFEBD98F"/>
      </top>
      <bottom/>
      <diagonal/>
    </border>
    <border>
      <left/>
      <right style="thin">
        <color rgb="FFEBD98F"/>
      </right>
      <top/>
      <bottom/>
      <diagonal/>
    </border>
    <border>
      <left/>
      <right style="thin">
        <color rgb="FFEBD98F"/>
      </right>
      <top/>
      <bottom style="thin">
        <color rgb="FFEBD98F"/>
      </bottom>
      <diagonal/>
    </border>
    <border>
      <left/>
      <right/>
      <top style="thin">
        <color rgb="FFC7B8E8"/>
      </top>
      <bottom/>
      <diagonal/>
    </border>
    <border>
      <left/>
      <right style="thin">
        <color rgb="FFD8D3CC"/>
      </right>
      <top style="thin">
        <color rgb="FFC7B8E8"/>
      </top>
      <bottom/>
      <diagonal/>
    </border>
    <border>
      <left/>
      <right/>
      <top/>
      <bottom style="thin">
        <color rgb="FFC7B8E8"/>
      </bottom>
      <diagonal/>
    </border>
    <border>
      <left/>
      <right style="thin">
        <color rgb="FFD8D3CC"/>
      </right>
      <top/>
      <bottom style="thin">
        <color rgb="FFC7B8E8"/>
      </bottom>
      <diagonal/>
    </border>
    <border>
      <left/>
      <right style="thin">
        <color rgb="FFC7B8E8"/>
      </right>
      <top style="thin">
        <color rgb="FFC7B8E8"/>
      </top>
      <bottom/>
      <diagonal/>
    </border>
    <border>
      <left/>
      <right style="thin">
        <color rgb="FFC7B8E8"/>
      </right>
      <top/>
      <bottom/>
      <diagonal/>
    </border>
    <border>
      <left/>
      <right style="thin">
        <color rgb="FFC7B8E8"/>
      </right>
      <top/>
      <bottom style="thin">
        <color rgb="FFC7B8E8"/>
      </bottom>
      <diagonal/>
    </border>
    <border>
      <left/>
      <right/>
      <top style="medium">
        <color rgb="FFA9C9A9"/>
      </top>
      <bottom/>
      <diagonal/>
    </border>
    <border>
      <left/>
      <right/>
      <top/>
      <bottom style="medium">
        <color rgb="FFA9C9A9"/>
      </bottom>
      <diagonal/>
    </border>
    <border>
      <left style="medium">
        <color rgb="FFA9C9A9"/>
      </left>
      <right/>
      <top style="medium">
        <color rgb="FFA9C9A9"/>
      </top>
      <bottom/>
      <diagonal/>
    </border>
    <border>
      <left style="medium">
        <color rgb="FFA9C9A9"/>
      </left>
      <right/>
      <top/>
      <bottom/>
      <diagonal/>
    </border>
    <border>
      <left style="medium">
        <color rgb="FFA9C9A9"/>
      </left>
      <right/>
      <top/>
      <bottom style="medium">
        <color rgb="FFA9C9A9"/>
      </bottom>
      <diagonal/>
    </border>
    <border>
      <left/>
      <right style="medium">
        <color rgb="FFA9C9A9"/>
      </right>
      <top style="medium">
        <color rgb="FFA9C9A9"/>
      </top>
      <bottom/>
      <diagonal/>
    </border>
    <border>
      <left/>
      <right style="medium">
        <color rgb="FFA9C9A9"/>
      </right>
      <top/>
      <bottom style="medium">
        <color rgb="FFA9C9A9"/>
      </bottom>
      <diagonal/>
    </border>
    <border>
      <left style="medium">
        <color rgb="FFA9C9A9"/>
      </left>
      <right/>
      <top style="medium">
        <color rgb="FFA9C9A9"/>
      </top>
      <bottom style="thin">
        <color rgb="FFA9C9A9"/>
      </bottom>
      <diagonal/>
    </border>
    <border>
      <left/>
      <right style="medium">
        <color rgb="FFA9C9A9"/>
      </right>
      <top style="medium">
        <color rgb="FFA9C9A9"/>
      </top>
      <bottom style="thin">
        <color rgb="FFA9C9A9"/>
      </bottom>
      <diagonal/>
    </border>
    <border>
      <left style="medium">
        <color rgb="FFA9C9A9"/>
      </left>
      <right style="medium">
        <color rgb="FFA9C9A9"/>
      </right>
      <top style="medium">
        <color rgb="FFA9C9A9"/>
      </top>
      <bottom style="thin">
        <color rgb="FFA9C9A9"/>
      </bottom>
      <diagonal/>
    </border>
    <border>
      <left style="medium">
        <color rgb="FFA9C9A9"/>
      </left>
      <right style="medium">
        <color rgb="FFA9C9A9"/>
      </right>
      <top/>
      <bottom style="medium">
        <color rgb="FFA9C9A9"/>
      </bottom>
      <diagonal/>
    </border>
    <border>
      <left style="medium">
        <color rgb="FFA9C9A9"/>
      </left>
      <right style="medium">
        <color rgb="FFA9C9A9"/>
      </right>
      <top style="medium">
        <color rgb="FFA9C9A9"/>
      </top>
      <bottom/>
      <diagonal/>
    </border>
    <border>
      <left style="thin">
        <color rgb="FFEAE2D6"/>
      </left>
      <right style="thin">
        <color rgb="FFEAE2D6"/>
      </right>
      <top style="thin">
        <color rgb="FFEAE2D6"/>
      </top>
      <bottom style="thin">
        <color rgb="FFEAE2D6"/>
      </bottom>
    </border>
  </borders>
  <cellStyleXfs count="1">
    <xf numFmtId="0" fontId="0" fillId="0" borderId="0"/>
  </cellStyleXfs>
  <cellXfs count="543">
    <xf numFmtId="0" fontId="0"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4" fillId="3" borderId="0" pivotButton="0" quotePrefix="0" xfId="0"/>
    <xf numFmtId="0" fontId="6" fillId="0" borderId="0" pivotButton="0" quotePrefix="0" xfId="0"/>
    <xf numFmtId="0" fontId="7" fillId="2" borderId="0" pivotButton="0" quotePrefix="0" xfId="0"/>
    <xf numFmtId="0" fontId="8" fillId="0" borderId="0" pivotButton="0" quotePrefix="0" xfId="0"/>
    <xf numFmtId="0" fontId="9" fillId="6" borderId="0" pivotButton="0" quotePrefix="0" xfId="0"/>
    <xf numFmtId="0" fontId="10" fillId="0" borderId="0" pivotButton="0" quotePrefix="0" xfId="0"/>
    <xf numFmtId="0" fontId="6" fillId="6" borderId="0" pivotButton="0" quotePrefix="0" xfId="0"/>
    <xf numFmtId="0" fontId="15" fillId="0" borderId="0" pivotButton="0" quotePrefix="0" xfId="0"/>
    <xf numFmtId="0" fontId="16" fillId="4" borderId="1" pivotButton="0" quotePrefix="0" xfId="0"/>
    <xf numFmtId="0" fontId="8" fillId="4" borderId="5" pivotButton="0" quotePrefix="0" xfId="0"/>
    <xf numFmtId="0" fontId="16" fillId="4" borderId="9" pivotButton="0" quotePrefix="0" xfId="0"/>
    <xf numFmtId="164" fontId="5" fillId="0" borderId="0" pivotButton="0" quotePrefix="0" xfId="0"/>
    <xf numFmtId="164" fontId="6" fillId="0" borderId="0" pivotButton="0" quotePrefix="0" xfId="0"/>
    <xf numFmtId="164" fontId="4" fillId="3" borderId="0" pivotButton="0" quotePrefix="0" xfId="0"/>
    <xf numFmtId="0" fontId="18" fillId="0" borderId="0" pivotButton="0" quotePrefix="0" xfId="0"/>
    <xf numFmtId="0" fontId="20" fillId="0" borderId="0" pivotButton="0" quotePrefix="0" xfId="0"/>
    <xf numFmtId="0" fontId="6" fillId="5" borderId="12" applyAlignment="1" pivotButton="0" quotePrefix="0" xfId="0">
      <alignment horizontal="center"/>
    </xf>
    <xf numFmtId="0" fontId="5" fillId="7" borderId="0" pivotButton="0" quotePrefix="0" xfId="0"/>
    <xf numFmtId="0" fontId="6" fillId="7" borderId="4" pivotButton="0" quotePrefix="0" xfId="0"/>
    <xf numFmtId="0" fontId="6" fillId="7" borderId="2" pivotButton="0" quotePrefix="0" xfId="0"/>
    <xf numFmtId="0" fontId="6" fillId="7" borderId="15" pivotButton="0" quotePrefix="0" xfId="0"/>
    <xf numFmtId="164" fontId="5" fillId="0" borderId="2" pivotButton="0" quotePrefix="0" xfId="0"/>
    <xf numFmtId="9" fontId="5" fillId="0" borderId="15" pivotButton="0" quotePrefix="0" xfId="0"/>
    <xf numFmtId="0" fontId="5" fillId="8" borderId="0" pivotButton="0" quotePrefix="0" xfId="0"/>
    <xf numFmtId="0" fontId="6" fillId="8" borderId="4" pivotButton="0" quotePrefix="0" xfId="0"/>
    <xf numFmtId="0" fontId="6" fillId="8" borderId="2" pivotButton="0" quotePrefix="0" xfId="0"/>
    <xf numFmtId="0" fontId="6" fillId="8" borderId="15" pivotButton="0" quotePrefix="0" xfId="0"/>
    <xf numFmtId="0" fontId="21" fillId="0" borderId="0" pivotButton="0" quotePrefix="0" xfId="0"/>
    <xf numFmtId="0" fontId="8" fillId="7" borderId="0" pivotButton="0" quotePrefix="0" xfId="0"/>
    <xf numFmtId="0" fontId="8" fillId="8" borderId="0" pivotButton="0" quotePrefix="0" xfId="0"/>
    <xf numFmtId="0" fontId="6" fillId="4" borderId="8" pivotButton="0" quotePrefix="0" xfId="0"/>
    <xf numFmtId="0" fontId="6" fillId="4" borderId="8" applyAlignment="1" pivotButton="0" quotePrefix="0" xfId="0">
      <alignment horizontal="center"/>
    </xf>
    <xf numFmtId="9" fontId="6" fillId="0" borderId="0" pivotButton="0" quotePrefix="0" xfId="0"/>
    <xf numFmtId="0" fontId="23" fillId="0" borderId="0" applyAlignment="1" pivotButton="0" quotePrefix="0" xfId="0">
      <alignment wrapText="1"/>
    </xf>
    <xf numFmtId="0" fontId="1" fillId="0" borderId="0" applyAlignment="1" pivotButton="0" quotePrefix="0" xfId="0">
      <alignment wrapText="1"/>
    </xf>
    <xf numFmtId="0" fontId="24" fillId="4" borderId="0" applyAlignment="1" pivotButton="0" quotePrefix="0" xfId="0">
      <alignment wrapText="1"/>
    </xf>
    <xf numFmtId="0" fontId="5" fillId="0" borderId="0" applyAlignment="1" pivotButton="0" quotePrefix="0" xfId="0">
      <alignment wrapText="1"/>
    </xf>
    <xf numFmtId="0" fontId="25" fillId="5" borderId="0" applyAlignment="1" pivotButton="0" quotePrefix="0" xfId="0">
      <alignment wrapText="1"/>
    </xf>
    <xf numFmtId="0" fontId="25" fillId="7" borderId="0" applyAlignment="1" pivotButton="0" quotePrefix="0" xfId="0">
      <alignment wrapText="1"/>
    </xf>
    <xf numFmtId="0" fontId="4" fillId="0" borderId="0" applyAlignment="1" pivotButton="0" quotePrefix="0" xfId="0">
      <alignment wrapText="1"/>
    </xf>
    <xf numFmtId="0" fontId="21" fillId="0" borderId="0" applyAlignment="1" pivotButton="0" quotePrefix="0" xfId="0">
      <alignment wrapText="1"/>
    </xf>
    <xf numFmtId="0" fontId="26" fillId="0" borderId="0" applyAlignment="1" pivotButton="0" quotePrefix="0" xfId="0">
      <alignment wrapText="1"/>
    </xf>
    <xf numFmtId="0" fontId="27" fillId="0" borderId="0" applyAlignment="1" pivotButton="0" quotePrefix="0" xfId="0">
      <alignment wrapText="1"/>
    </xf>
    <xf numFmtId="0" fontId="11" fillId="4" borderId="0" applyAlignment="1" pivotButton="0" quotePrefix="0" xfId="0">
      <alignment wrapText="1"/>
    </xf>
    <xf numFmtId="0" fontId="11" fillId="5" borderId="0" applyAlignment="1" pivotButton="0" quotePrefix="0" xfId="0">
      <alignment wrapText="1"/>
    </xf>
    <xf numFmtId="0" fontId="11" fillId="6" borderId="0" applyAlignment="1" pivotButton="0" quotePrefix="0" xfId="0">
      <alignment wrapText="1"/>
    </xf>
    <xf numFmtId="0" fontId="11" fillId="7" borderId="0" applyAlignment="1" pivotButton="0" quotePrefix="0" xfId="0">
      <alignment wrapText="1"/>
    </xf>
    <xf numFmtId="0" fontId="11" fillId="8" borderId="0" applyAlignment="1" pivotButton="0" quotePrefix="0" xfId="0">
      <alignment wrapText="1"/>
    </xf>
    <xf numFmtId="0" fontId="5" fillId="9" borderId="0" pivotButton="0" quotePrefix="0" xfId="0"/>
    <xf numFmtId="0" fontId="14" fillId="9" borderId="0" pivotButton="0" quotePrefix="0" xfId="0"/>
    <xf numFmtId="0" fontId="16" fillId="9" borderId="0" pivotButton="0" quotePrefix="0" xfId="0"/>
    <xf numFmtId="0" fontId="5" fillId="9" borderId="6" pivotButton="0" quotePrefix="0" xfId="0"/>
    <xf numFmtId="164" fontId="5" fillId="9" borderId="0" pivotButton="0" quotePrefix="0" xfId="0"/>
    <xf numFmtId="0" fontId="5" fillId="9" borderId="10" pivotButton="0" quotePrefix="0" xfId="0"/>
    <xf numFmtId="0" fontId="12" fillId="9" borderId="0" pivotButton="0" quotePrefix="0" xfId="0"/>
    <xf numFmtId="0" fontId="5" fillId="9" borderId="7" pivotButton="0" quotePrefix="0" xfId="0"/>
    <xf numFmtId="0" fontId="5" fillId="9" borderId="11" pivotButton="0" quotePrefix="0" xfId="0"/>
    <xf numFmtId="0" fontId="6" fillId="9" borderId="7" pivotButton="0" quotePrefix="0" xfId="0"/>
    <xf numFmtId="164" fontId="6" fillId="9" borderId="3" pivotButton="0" quotePrefix="0" xfId="0"/>
    <xf numFmtId="0" fontId="0" fillId="9" borderId="0" pivotButton="0" quotePrefix="0" xfId="0"/>
    <xf numFmtId="0" fontId="15" fillId="9" borderId="0" pivotButton="0" quotePrefix="0" xfId="0"/>
    <xf numFmtId="0" fontId="5" fillId="9" borderId="3" pivotButton="0" quotePrefix="0" xfId="0"/>
    <xf numFmtId="0" fontId="6" fillId="9" borderId="5" pivotButton="0" quotePrefix="0" xfId="0"/>
    <xf numFmtId="0" fontId="6" fillId="9" borderId="1" pivotButton="0" quotePrefix="0" xfId="0"/>
    <xf numFmtId="0" fontId="6" fillId="9" borderId="9" pivotButton="0" quotePrefix="0" xfId="0"/>
    <xf numFmtId="0" fontId="19" fillId="9" borderId="0" pivotButton="0" quotePrefix="0" xfId="0"/>
    <xf numFmtId="0" fontId="20" fillId="9" borderId="0" pivotButton="0" quotePrefix="0" xfId="0"/>
    <xf numFmtId="164" fontId="5" fillId="9" borderId="3" pivotButton="0" quotePrefix="0" xfId="0"/>
    <xf numFmtId="0" fontId="5" fillId="4" borderId="1" pivotButton="0" quotePrefix="0" xfId="0"/>
    <xf numFmtId="0" fontId="5" fillId="4" borderId="9" pivotButton="0" quotePrefix="0" xfId="0"/>
    <xf numFmtId="0" fontId="0" fillId="4" borderId="0" pivotButton="0" quotePrefix="0" xfId="0"/>
    <xf numFmtId="165" fontId="5" fillId="9" borderId="10" pivotButton="0" quotePrefix="0" xfId="0"/>
    <xf numFmtId="165" fontId="6" fillId="9" borderId="3" pivotButton="0" quotePrefix="0" xfId="0"/>
    <xf numFmtId="0" fontId="0" fillId="0" borderId="0" applyProtection="1" pivotButton="0" quotePrefix="0" xfId="0">
      <protection locked="0" hidden="0"/>
    </xf>
    <xf numFmtId="0" fontId="17" fillId="4" borderId="35" pivotButton="0" quotePrefix="0" xfId="0"/>
    <xf numFmtId="0" fontId="17" fillId="4" borderId="38" pivotButton="0" quotePrefix="0" xfId="0"/>
    <xf numFmtId="164" fontId="6" fillId="9" borderId="36" pivotButton="0" quotePrefix="0" xfId="0"/>
    <xf numFmtId="165" fontId="6" fillId="9" borderId="39" pivotButton="0" quotePrefix="0" xfId="0"/>
    <xf numFmtId="0" fontId="9" fillId="4" borderId="16" pivotButton="0" quotePrefix="0" xfId="0"/>
    <xf numFmtId="0" fontId="5" fillId="9" borderId="17" pivotButton="0" quotePrefix="0" xfId="0"/>
    <xf numFmtId="0" fontId="6" fillId="9" borderId="18" pivotButton="0" quotePrefix="0" xfId="0"/>
    <xf numFmtId="0" fontId="28" fillId="4" borderId="40" applyAlignment="1" pivotButton="0" quotePrefix="0" xfId="0">
      <alignment horizontal="center"/>
    </xf>
    <xf numFmtId="0" fontId="6" fillId="9" borderId="41" pivotButton="0" quotePrefix="0" xfId="0"/>
    <xf numFmtId="0" fontId="17" fillId="5" borderId="42" pivotButton="0" quotePrefix="0" xfId="0"/>
    <xf numFmtId="0" fontId="17" fillId="5" borderId="43" pivotButton="0" quotePrefix="0" xfId="0"/>
    <xf numFmtId="164" fontId="6" fillId="9" borderId="44" pivotButton="0" quotePrefix="0" xfId="0"/>
    <xf numFmtId="165" fontId="6" fillId="9" borderId="45" pivotButton="0" quotePrefix="0" xfId="0"/>
    <xf numFmtId="0" fontId="9" fillId="5" borderId="19" pivotButton="0" quotePrefix="0" xfId="0"/>
    <xf numFmtId="0" fontId="5" fillId="9" borderId="20" pivotButton="0" quotePrefix="0" xfId="0"/>
    <xf numFmtId="0" fontId="6" fillId="9" borderId="21" pivotButton="0" quotePrefix="0" xfId="0"/>
    <xf numFmtId="0" fontId="28" fillId="5" borderId="46" applyAlignment="1" pivotButton="0" quotePrefix="0" xfId="0">
      <alignment horizontal="center"/>
    </xf>
    <xf numFmtId="0" fontId="6" fillId="9" borderId="48" pivotButton="0" quotePrefix="0" xfId="0"/>
    <xf numFmtId="0" fontId="17" fillId="6" borderId="49" pivotButton="0" quotePrefix="0" xfId="0"/>
    <xf numFmtId="0" fontId="17" fillId="6" borderId="50" pivotButton="0" quotePrefix="0" xfId="0"/>
    <xf numFmtId="164" fontId="6" fillId="9" borderId="51" pivotButton="0" quotePrefix="0" xfId="0"/>
    <xf numFmtId="165" fontId="6" fillId="9" borderId="52" pivotButton="0" quotePrefix="0" xfId="0"/>
    <xf numFmtId="0" fontId="9" fillId="6" borderId="22" pivotButton="0" quotePrefix="0" xfId="0"/>
    <xf numFmtId="0" fontId="5" fillId="9" borderId="23" pivotButton="0" quotePrefix="0" xfId="0"/>
    <xf numFmtId="0" fontId="6" fillId="9" borderId="24" pivotButton="0" quotePrefix="0" xfId="0"/>
    <xf numFmtId="0" fontId="28" fillId="6" borderId="53" applyAlignment="1" pivotButton="0" quotePrefix="0" xfId="0">
      <alignment horizontal="center"/>
    </xf>
    <xf numFmtId="0" fontId="6" fillId="9" borderId="55" pivotButton="0" quotePrefix="0" xfId="0"/>
    <xf numFmtId="0" fontId="17" fillId="7" borderId="56" pivotButton="0" quotePrefix="0" xfId="0"/>
    <xf numFmtId="0" fontId="17" fillId="7" borderId="57" pivotButton="0" quotePrefix="0" xfId="0"/>
    <xf numFmtId="164" fontId="6" fillId="9" borderId="58" pivotButton="0" quotePrefix="0" xfId="0"/>
    <xf numFmtId="165" fontId="6" fillId="9" borderId="59" pivotButton="0" quotePrefix="0" xfId="0"/>
    <xf numFmtId="0" fontId="9" fillId="7" borderId="25" pivotButton="0" quotePrefix="0" xfId="0"/>
    <xf numFmtId="0" fontId="5" fillId="9" borderId="26" pivotButton="0" quotePrefix="0" xfId="0"/>
    <xf numFmtId="0" fontId="6" fillId="9" borderId="27" pivotButton="0" quotePrefix="0" xfId="0"/>
    <xf numFmtId="0" fontId="28" fillId="7" borderId="60" applyAlignment="1" pivotButton="0" quotePrefix="0" xfId="0">
      <alignment horizontal="center"/>
    </xf>
    <xf numFmtId="0" fontId="6" fillId="9" borderId="62" pivotButton="0" quotePrefix="0" xfId="0"/>
    <xf numFmtId="164" fontId="6" fillId="9" borderId="65" pivotButton="0" quotePrefix="0" xfId="0"/>
    <xf numFmtId="165" fontId="6" fillId="9" borderId="66" pivotButton="0" quotePrefix="0" xfId="0"/>
    <xf numFmtId="0" fontId="5" fillId="9" borderId="29" pivotButton="0" quotePrefix="0" xfId="0"/>
    <xf numFmtId="0" fontId="6" fillId="9" borderId="30" pivotButton="0" quotePrefix="0" xfId="0"/>
    <xf numFmtId="0" fontId="6" fillId="9" borderId="69" pivotButton="0" quotePrefix="0" xfId="0"/>
    <xf numFmtId="0" fontId="31" fillId="9" borderId="0" pivotButton="0" quotePrefix="0" xfId="0"/>
    <xf numFmtId="0" fontId="31" fillId="0" borderId="0" applyAlignment="1" pivotButton="0" quotePrefix="0" xfId="0">
      <alignment wrapText="1"/>
    </xf>
    <xf numFmtId="0" fontId="9" fillId="10" borderId="28" pivotButton="0" quotePrefix="0" xfId="0"/>
    <xf numFmtId="0" fontId="17" fillId="10" borderId="63" pivotButton="0" quotePrefix="0" xfId="0"/>
    <xf numFmtId="0" fontId="17" fillId="10" borderId="64" pivotButton="0" quotePrefix="0" xfId="0"/>
    <xf numFmtId="0" fontId="28" fillId="10" borderId="67" applyAlignment="1" pivotButton="0" quotePrefix="0" xfId="0">
      <alignment horizontal="center"/>
    </xf>
    <xf numFmtId="0" fontId="31" fillId="0" borderId="0" pivotButton="0" quotePrefix="0" xfId="0"/>
    <xf numFmtId="164" fontId="5" fillId="11" borderId="0" pivotButton="0" quotePrefix="0" xfId="0"/>
    <xf numFmtId="0" fontId="1" fillId="11" borderId="34" applyAlignment="1" pivotButton="0" quotePrefix="0" xfId="0">
      <alignment horizontal="center"/>
    </xf>
    <xf numFmtId="0" fontId="1" fillId="11" borderId="47" applyAlignment="1" pivotButton="0" quotePrefix="0" xfId="0">
      <alignment horizontal="center"/>
    </xf>
    <xf numFmtId="0" fontId="29" fillId="11" borderId="47" applyAlignment="1" pivotButton="0" quotePrefix="0" xfId="0">
      <alignment horizontal="center"/>
    </xf>
    <xf numFmtId="0" fontId="1" fillId="11" borderId="54" applyAlignment="1" pivotButton="0" quotePrefix="0" xfId="0">
      <alignment horizontal="center"/>
    </xf>
    <xf numFmtId="0" fontId="1" fillId="11" borderId="61" applyAlignment="1" pivotButton="0" quotePrefix="0" xfId="0">
      <alignment horizontal="center"/>
    </xf>
    <xf numFmtId="0" fontId="1" fillId="11" borderId="68" applyAlignment="1" pivotButton="0" quotePrefix="0" xfId="0">
      <alignment horizontal="center"/>
    </xf>
    <xf numFmtId="164" fontId="5" fillId="11" borderId="0" applyProtection="1" pivotButton="0" quotePrefix="0" xfId="0">
      <protection locked="0" hidden="0"/>
    </xf>
    <xf numFmtId="0" fontId="1" fillId="11" borderId="34" applyAlignment="1" applyProtection="1" pivotButton="0" quotePrefix="0" xfId="0">
      <alignment horizontal="center"/>
      <protection locked="0" hidden="0"/>
    </xf>
    <xf numFmtId="0" fontId="1" fillId="11" borderId="47" applyAlignment="1" applyProtection="1" pivotButton="0" quotePrefix="0" xfId="0">
      <alignment horizontal="center"/>
      <protection locked="0" hidden="0"/>
    </xf>
    <xf numFmtId="0" fontId="29" fillId="11" borderId="47" applyAlignment="1" applyProtection="1" pivotButton="0" quotePrefix="0" xfId="0">
      <alignment horizontal="center"/>
      <protection locked="0" hidden="0"/>
    </xf>
    <xf numFmtId="0" fontId="1" fillId="11" borderId="54" applyAlignment="1" applyProtection="1" pivotButton="0" quotePrefix="0" xfId="0">
      <alignment horizontal="center"/>
      <protection locked="0" hidden="0"/>
    </xf>
    <xf numFmtId="0" fontId="1" fillId="11" borderId="61" applyAlignment="1" applyProtection="1" pivotButton="0" quotePrefix="0" xfId="0">
      <alignment horizontal="center"/>
      <protection locked="0" hidden="0"/>
    </xf>
    <xf numFmtId="0" fontId="1" fillId="11" borderId="68" applyAlignment="1" applyProtection="1" pivotButton="0" quotePrefix="0" xfId="0">
      <alignment horizontal="center"/>
      <protection locked="0" hidden="0"/>
    </xf>
    <xf numFmtId="0" fontId="5" fillId="11" borderId="0" applyProtection="1" pivotButton="0" quotePrefix="0" xfId="0">
      <protection locked="0" hidden="0"/>
    </xf>
    <xf numFmtId="1" fontId="5" fillId="11" borderId="0" applyProtection="1" pivotButton="0" quotePrefix="0" xfId="0">
      <protection locked="0" hidden="0"/>
    </xf>
    <xf numFmtId="0" fontId="33" fillId="9" borderId="0" pivotButton="0" quotePrefix="0" xfId="0"/>
    <xf numFmtId="0" fontId="34" fillId="9" borderId="0" pivotButton="0" quotePrefix="0" xfId="0"/>
    <xf numFmtId="0" fontId="35" fillId="9" borderId="0" pivotButton="0" quotePrefix="0" xfId="0"/>
    <xf numFmtId="164" fontId="33" fillId="9" borderId="0" pivotButton="0" quotePrefix="0" xfId="0"/>
    <xf numFmtId="0" fontId="36" fillId="9" borderId="0" pivotButton="0" quotePrefix="0" xfId="0"/>
    <xf numFmtId="166" fontId="5" fillId="11" borderId="10" pivotButton="0" quotePrefix="1" xfId="0"/>
    <xf numFmtId="166" fontId="5" fillId="11" borderId="10" pivotButton="0" quotePrefix="0" xfId="0"/>
    <xf numFmtId="166" fontId="5" fillId="11" borderId="10" applyProtection="1" pivotButton="0" quotePrefix="1" xfId="0">
      <protection locked="0" hidden="0"/>
    </xf>
    <xf numFmtId="166" fontId="5" fillId="11" borderId="10" applyProtection="1" pivotButton="0" quotePrefix="0" xfId="0">
      <protection locked="0" hidden="0"/>
    </xf>
    <xf numFmtId="14" fontId="5" fillId="11" borderId="10" applyProtection="1" pivotButton="0" quotePrefix="1" xfId="0">
      <protection locked="0" hidden="0"/>
    </xf>
    <xf numFmtId="0" fontId="5" fillId="11" borderId="10" applyAlignment="1" applyProtection="1" pivotButton="0" quotePrefix="0" xfId="0">
      <alignment horizontal="right"/>
      <protection locked="0" hidden="0"/>
    </xf>
    <xf numFmtId="0" fontId="5" fillId="11" borderId="11" applyAlignment="1" applyProtection="1" pivotButton="0" quotePrefix="0" xfId="0">
      <alignment horizontal="right"/>
      <protection locked="0" hidden="0"/>
    </xf>
    <xf numFmtId="166" fontId="5" fillId="11" borderId="0" applyProtection="1" pivotButton="0" quotePrefix="0" xfId="0">
      <protection locked="0" hidden="0"/>
    </xf>
    <xf numFmtId="0" fontId="5" fillId="11" borderId="4" applyProtection="1" pivotButton="0" quotePrefix="0" xfId="0">
      <protection locked="0" hidden="0"/>
    </xf>
    <xf numFmtId="164" fontId="5" fillId="11" borderId="2" applyProtection="1" pivotButton="0" quotePrefix="0" xfId="0">
      <protection locked="0" hidden="0"/>
    </xf>
    <xf numFmtId="0" fontId="5" fillId="11" borderId="8" applyProtection="1" pivotButton="0" quotePrefix="0" xfId="0">
      <protection locked="0" hidden="0"/>
    </xf>
    <xf numFmtId="0" fontId="5" fillId="11" borderId="8" applyAlignment="1" applyProtection="1" pivotButton="0" quotePrefix="0" xfId="0">
      <alignment horizontal="center"/>
      <protection locked="0" hidden="0"/>
    </xf>
    <xf numFmtId="9" fontId="5" fillId="11" borderId="8" pivotButton="0" quotePrefix="0" xfId="0"/>
    <xf numFmtId="0" fontId="7" fillId="2" borderId="0" applyProtection="1" pivotButton="0" quotePrefix="0" xfId="0">
      <protection locked="0" hidden="0"/>
    </xf>
    <xf numFmtId="0" fontId="38" fillId="0" borderId="0" pivotButton="0" quotePrefix="0" xfId="0"/>
    <xf numFmtId="0" fontId="39" fillId="3" borderId="0" applyAlignment="1" pivotButton="0" quotePrefix="0" xfId="0">
      <alignment wrapText="1"/>
    </xf>
    <xf numFmtId="0" fontId="5" fillId="12" borderId="0" pivotButton="0" quotePrefix="0" xfId="0"/>
    <xf numFmtId="0" fontId="20" fillId="12" borderId="0" pivotButton="0" quotePrefix="0" xfId="0"/>
    <xf numFmtId="166" fontId="0" fillId="11" borderId="0" applyProtection="1" pivotButton="0" quotePrefix="0" xfId="0">
      <protection locked="0" hidden="0"/>
    </xf>
    <xf numFmtId="0" fontId="0" fillId="11" borderId="0" applyProtection="1" pivotButton="0" quotePrefix="0" xfId="0">
      <protection locked="0" hidden="0"/>
    </xf>
    <xf numFmtId="164" fontId="0" fillId="11" borderId="0" applyProtection="1" pivotButton="0" quotePrefix="0" xfId="0">
      <protection locked="0" hidden="0"/>
    </xf>
    <xf numFmtId="166" fontId="0" fillId="11" borderId="0" pivotButton="0" quotePrefix="0" xfId="0"/>
    <xf numFmtId="0" fontId="0" fillId="11" borderId="0" pivotButton="0" quotePrefix="0" xfId="0"/>
    <xf numFmtId="164" fontId="0" fillId="11" borderId="0" pivotButton="0" quotePrefix="0" xfId="0"/>
    <xf numFmtId="0" fontId="5" fillId="11" borderId="10" applyAlignment="1" pivotButton="0" quotePrefix="0" xfId="0">
      <alignment horizontal="right"/>
    </xf>
    <xf numFmtId="0" fontId="5" fillId="11" borderId="11" applyAlignment="1" pivotButton="0" quotePrefix="0" xfId="0">
      <alignment horizontal="right"/>
    </xf>
    <xf numFmtId="0" fontId="40" fillId="4" borderId="35" applyAlignment="1" pivotButton="0" quotePrefix="0" xfId="0">
      <alignment horizontal="center" vertical="center"/>
    </xf>
    <xf numFmtId="0" fontId="40" fillId="5" borderId="19" applyAlignment="1" pivotButton="0" quotePrefix="0" xfId="0">
      <alignment horizontal="center" vertical="center"/>
    </xf>
    <xf numFmtId="0" fontId="40" fillId="6" borderId="22" applyAlignment="1" pivotButton="0" quotePrefix="0" xfId="0">
      <alignment horizontal="center" vertical="center"/>
    </xf>
    <xf numFmtId="0" fontId="40" fillId="7" borderId="25" applyAlignment="1" pivotButton="0" quotePrefix="0" xfId="0">
      <alignment horizontal="center" vertical="center"/>
    </xf>
    <xf numFmtId="0" fontId="40" fillId="10" borderId="31" applyAlignment="1" pivotButton="0" quotePrefix="0" xfId="0">
      <alignment horizontal="center" vertical="center"/>
    </xf>
    <xf numFmtId="0" fontId="6" fillId="4" borderId="13" applyAlignment="1" pivotButton="0" quotePrefix="0" xfId="0">
      <alignment horizontal="left" vertical="top"/>
    </xf>
    <xf numFmtId="167" fontId="13" fillId="4" borderId="14" applyAlignment="1" pivotButton="0" quotePrefix="0" xfId="0">
      <alignment horizontal="left" vertical="top" wrapText="1"/>
    </xf>
    <xf numFmtId="0" fontId="6" fillId="5" borderId="12" applyAlignment="1" pivotButton="0" quotePrefix="0" xfId="0">
      <alignment horizontal="left" vertical="top"/>
    </xf>
    <xf numFmtId="167" fontId="13" fillId="5" borderId="14" applyAlignment="1" pivotButton="0" quotePrefix="0" xfId="0">
      <alignment horizontal="left" vertical="top" wrapText="1"/>
    </xf>
    <xf numFmtId="0" fontId="6" fillId="6" borderId="12" applyAlignment="1" pivotButton="0" quotePrefix="0" xfId="0">
      <alignment horizontal="left" vertical="top"/>
    </xf>
    <xf numFmtId="167" fontId="13" fillId="6" borderId="14" applyAlignment="1" pivotButton="0" quotePrefix="0" xfId="0">
      <alignment horizontal="left" vertical="top" wrapText="1"/>
    </xf>
    <xf numFmtId="0" fontId="6" fillId="7" borderId="12" applyAlignment="1" pivotButton="0" quotePrefix="0" xfId="0">
      <alignment horizontal="left" vertical="top"/>
    </xf>
    <xf numFmtId="167" fontId="13" fillId="7" borderId="14" applyAlignment="1" pivotButton="0" quotePrefix="0" xfId="0">
      <alignment horizontal="left" vertical="top" wrapText="1"/>
    </xf>
    <xf numFmtId="0" fontId="6" fillId="10" borderId="12" applyAlignment="1" pivotButton="0" quotePrefix="0" xfId="0">
      <alignment horizontal="left" vertical="top"/>
    </xf>
    <xf numFmtId="167" fontId="13" fillId="10" borderId="14" applyAlignment="1" pivotButton="0" quotePrefix="0" xfId="0">
      <alignment horizontal="left" vertical="top" wrapText="1"/>
    </xf>
    <xf numFmtId="0" fontId="6" fillId="4" borderId="12" applyAlignment="1" pivotButton="0" quotePrefix="0" xfId="0">
      <alignment horizontal="left" vertical="top"/>
    </xf>
    <xf numFmtId="0" fontId="5" fillId="12" borderId="0" applyProtection="1" pivotButton="0" quotePrefix="0" xfId="0">
      <protection locked="0" hidden="0"/>
    </xf>
    <xf numFmtId="0" fontId="32" fillId="9" borderId="0" pivotButton="0" quotePrefix="0" xfId="0"/>
    <xf numFmtId="0" fontId="46" fillId="9" borderId="0" applyAlignment="1" pivotButton="0" quotePrefix="0" xfId="0">
      <alignment vertical="top"/>
    </xf>
    <xf numFmtId="0" fontId="0" fillId="9" borderId="0" applyProtection="1" pivotButton="0" quotePrefix="0" xfId="0">
      <protection locked="0" hidden="0"/>
    </xf>
    <xf numFmtId="0" fontId="0" fillId="9" borderId="0" applyAlignment="1" pivotButton="0" quotePrefix="0" xfId="0">
      <alignment vertical="top"/>
    </xf>
    <xf numFmtId="166" fontId="0" fillId="9" borderId="0" applyProtection="1" pivotButton="0" quotePrefix="0" xfId="0">
      <protection locked="0" hidden="0"/>
    </xf>
    <xf numFmtId="164" fontId="0" fillId="9" borderId="0" applyProtection="1" pivotButton="0" quotePrefix="0" xfId="0">
      <protection locked="0" hidden="0"/>
    </xf>
    <xf numFmtId="0" fontId="48" fillId="9" borderId="0" pivotButton="0" quotePrefix="0" xfId="0"/>
    <xf numFmtId="166" fontId="0" fillId="9" borderId="0" pivotButton="0" quotePrefix="0" xfId="0"/>
    <xf numFmtId="0" fontId="47" fillId="9" borderId="0" pivotButton="0" quotePrefix="0" xfId="0"/>
    <xf numFmtId="164" fontId="0" fillId="9" borderId="0" pivotButton="0" quotePrefix="0" xfId="0"/>
    <xf numFmtId="0" fontId="4" fillId="9" borderId="0" applyAlignment="1" pivotButton="0" quotePrefix="0" xfId="0">
      <alignment wrapText="1"/>
    </xf>
    <xf numFmtId="0" fontId="4" fillId="9" borderId="37" applyAlignment="1" pivotButton="0" quotePrefix="0" xfId="0">
      <alignment wrapText="1"/>
    </xf>
    <xf numFmtId="168" fontId="45" fillId="9" borderId="0" applyAlignment="1" pivotButton="0" quotePrefix="0" xfId="0">
      <alignment horizontal="center" vertical="center"/>
    </xf>
    <xf numFmtId="169" fontId="44" fillId="3" borderId="32" applyAlignment="1" pivotButton="0" quotePrefix="0" xfId="0">
      <alignment horizontal="center" vertical="center"/>
    </xf>
    <xf numFmtId="0" fontId="0" fillId="0" borderId="33" pivotButton="0" quotePrefix="0" xfId="0"/>
    <xf numFmtId="0" fontId="43" fillId="0" borderId="6" applyAlignment="1" pivotButton="0" quotePrefix="0" xfId="0">
      <alignment horizontal="right" vertical="center"/>
    </xf>
    <xf numFmtId="0" fontId="30" fillId="0" borderId="0" pivotButton="0" quotePrefix="0" xfId="0"/>
    <xf numFmtId="0" fontId="19" fillId="3" borderId="77" applyAlignment="1" pivotButton="0" quotePrefix="0" xfId="0">
      <alignment horizontal="center" vertical="center"/>
    </xf>
    <xf numFmtId="0" fontId="0" fillId="0" borderId="78" pivotButton="0" quotePrefix="0" xfId="0"/>
    <xf numFmtId="169" fontId="22" fillId="3" borderId="73" applyAlignment="1" pivotButton="0" quotePrefix="0" xfId="0">
      <alignment horizontal="center" vertical="center"/>
    </xf>
    <xf numFmtId="0" fontId="0" fillId="0" borderId="37" pivotButton="0" quotePrefix="0" xfId="0"/>
    <xf numFmtId="0" fontId="0" fillId="0" borderId="74" pivotButton="0" quotePrefix="0" xfId="0"/>
    <xf numFmtId="0" fontId="0" fillId="0" borderId="76" pivotButton="0" quotePrefix="0" xfId="0"/>
    <xf numFmtId="169" fontId="44" fillId="3" borderId="0" applyAlignment="1" pivotButton="0" quotePrefix="0" xfId="0">
      <alignment horizontal="center" vertical="center"/>
    </xf>
    <xf numFmtId="0" fontId="0" fillId="0" borderId="36" pivotButton="0" quotePrefix="0" xfId="0"/>
    <xf numFmtId="169" fontId="44" fillId="3" borderId="20" applyAlignment="1" pivotButton="0" quotePrefix="0" xfId="0">
      <alignment horizontal="center" vertical="center"/>
    </xf>
    <xf numFmtId="0" fontId="0" fillId="0" borderId="21" pivotButton="0" quotePrefix="0" xfId="0"/>
    <xf numFmtId="169" fontId="44" fillId="3" borderId="23" applyAlignment="1" pivotButton="0" quotePrefix="0" xfId="0">
      <alignment horizontal="center" vertical="center"/>
    </xf>
    <xf numFmtId="0" fontId="0" fillId="0" borderId="24" pivotButton="0" quotePrefix="0" xfId="0"/>
    <xf numFmtId="169" fontId="44" fillId="3" borderId="26" applyAlignment="1" pivotButton="0" quotePrefix="0" xfId="0">
      <alignment horizontal="center" vertical="center"/>
    </xf>
    <xf numFmtId="0" fontId="0" fillId="0" borderId="27" pivotButton="0" quotePrefix="0" xfId="0"/>
    <xf numFmtId="0" fontId="37" fillId="0" borderId="6" applyAlignment="1" pivotButton="0" quotePrefix="0" xfId="0">
      <alignment horizontal="right" vertical="center"/>
    </xf>
    <xf numFmtId="0" fontId="42" fillId="9" borderId="0" applyAlignment="1" pivotButton="0" quotePrefix="0" xfId="0">
      <alignment wrapText="1"/>
    </xf>
    <xf numFmtId="0" fontId="42" fillId="9" borderId="37" applyAlignment="1" pivotButton="0" quotePrefix="0" xfId="0">
      <alignment wrapText="1"/>
    </xf>
    <xf numFmtId="0" fontId="4" fillId="9" borderId="0" applyAlignment="1" pivotButton="0" quotePrefix="0" xfId="0">
      <alignment vertical="top" wrapText="1"/>
    </xf>
    <xf numFmtId="0" fontId="21" fillId="9" borderId="0" applyAlignment="1" pivotButton="0" quotePrefix="0" xfId="0">
      <alignment wrapText="1"/>
    </xf>
    <xf numFmtId="0" fontId="9" fillId="4" borderId="0" pivotButton="0" quotePrefix="0" xfId="0"/>
    <xf numFmtId="0" fontId="12" fillId="9" borderId="0" applyAlignment="1" pivotButton="0" quotePrefix="0" xfId="0">
      <alignment vertical="top" wrapText="1"/>
    </xf>
    <xf numFmtId="0" fontId="0" fillId="0" borderId="70" pivotButton="0" quotePrefix="0" xfId="0"/>
    <xf numFmtId="0" fontId="0" fillId="0" borderId="75" pivotButton="0" quotePrefix="0" xfId="0"/>
    <xf numFmtId="9" fontId="41" fillId="3" borderId="73" applyAlignment="1" pivotButton="0" quotePrefix="0" xfId="0">
      <alignment horizontal="center" vertical="center"/>
    </xf>
    <xf numFmtId="0" fontId="0" fillId="0" borderId="0" pivotButton="0" quotePrefix="0" xfId="0"/>
    <xf numFmtId="0" fontId="0" fillId="0" borderId="71" pivotButton="0" quotePrefix="0" xfId="0"/>
    <xf numFmtId="0" fontId="49" fillId="4" borderId="72" applyAlignment="1" pivotButton="0" quotePrefix="0" xfId="0">
      <alignment horizontal="center" vertical="center"/>
    </xf>
    <xf numFmtId="0" fontId="102" fillId="17" borderId="0" applyAlignment="1" pivotButton="0" quotePrefix="0" xfId="0">
      <alignment horizontal="left" vertical="center" indent="1"/>
    </xf>
    <xf numFmtId="0" fontId="51" fillId="0" borderId="0" applyAlignment="1" pivotButton="0" quotePrefix="0" xfId="0">
      <alignment wrapText="1"/>
    </xf>
    <xf numFmtId="0" fontId="52" fillId="0" borderId="0" applyAlignment="1" pivotButton="0" quotePrefix="0" xfId="0">
      <alignment wrapText="1"/>
    </xf>
    <xf numFmtId="0" fontId="53" fillId="0" borderId="0" applyAlignment="1" pivotButton="0" quotePrefix="0" xfId="0">
      <alignment horizontal="left" vertical="center" wrapText="1" indent="1"/>
    </xf>
    <xf numFmtId="0" fontId="54" fillId="0" borderId="0" applyAlignment="1" pivotButton="0" quotePrefix="0" xfId="0">
      <alignment horizontal="left" vertical="center" wrapText="1" indent="1"/>
    </xf>
    <xf numFmtId="0" fontId="55" fillId="13" borderId="0" applyAlignment="1" pivotButton="0" quotePrefix="0" xfId="0">
      <alignment horizontal="left" vertical="center" wrapText="1" indent="1"/>
    </xf>
    <xf numFmtId="0" fontId="52" fillId="0" borderId="0" applyAlignment="1" pivotButton="0" quotePrefix="0" xfId="0">
      <alignment horizontal="left" vertical="center" wrapText="1" indent="1"/>
    </xf>
    <xf numFmtId="0" fontId="56" fillId="14" borderId="0" applyAlignment="1" pivotButton="0" quotePrefix="0" xfId="0">
      <alignment horizontal="left" vertical="center" wrapText="1" indent="1"/>
    </xf>
    <xf numFmtId="0" fontId="56" fillId="15" borderId="0" applyAlignment="1" pivotButton="0" quotePrefix="0" xfId="0">
      <alignment horizontal="left" vertical="center" wrapText="1" indent="1"/>
    </xf>
    <xf numFmtId="0" fontId="57" fillId="3" borderId="0" applyAlignment="1" pivotButton="0" quotePrefix="0" xfId="0">
      <alignment horizontal="left" vertical="center" wrapText="1" indent="1"/>
    </xf>
    <xf numFmtId="0" fontId="58" fillId="0" borderId="0" applyAlignment="1" pivotButton="0" quotePrefix="0" xfId="0">
      <alignment horizontal="left" vertical="center" wrapText="1" indent="1"/>
    </xf>
    <xf numFmtId="0" fontId="59" fillId="0" borderId="0" applyAlignment="1" pivotButton="0" quotePrefix="0" xfId="0">
      <alignment horizontal="left" vertical="center" wrapText="1" indent="1"/>
    </xf>
    <xf numFmtId="0" fontId="60" fillId="0" borderId="0" applyAlignment="1" pivotButton="0" quotePrefix="0" xfId="0">
      <alignment horizontal="left" vertical="center" wrapText="1" indent="1"/>
    </xf>
    <xf numFmtId="0" fontId="54" fillId="0" borderId="0" applyAlignment="1" pivotButton="0" quotePrefix="0" xfId="0">
      <alignment wrapText="1"/>
    </xf>
    <xf numFmtId="0" fontId="100" fillId="17" borderId="0" applyAlignment="1" pivotButton="0" quotePrefix="0" xfId="0">
      <alignment horizontal="left" vertical="center" indent="1"/>
    </xf>
    <xf numFmtId="0" fontId="0" fillId="17" borderId="0" pivotButton="0" quotePrefix="0" xfId="0"/>
    <xf numFmtId="0" fontId="101" fillId="0" borderId="0" applyAlignment="1" pivotButton="0" quotePrefix="0" xfId="0">
      <alignment horizontal="left" vertical="center" wrapText="1" indent="1"/>
    </xf>
    <xf numFmtId="0" fontId="98" fillId="20" borderId="82" applyAlignment="1" pivotButton="0" quotePrefix="0" xfId="0">
      <alignment horizontal="center" vertical="top"/>
    </xf>
    <xf numFmtId="0" fontId="0" fillId="20" borderId="82" pivotButton="0" quotePrefix="0" xfId="0"/>
    <xf numFmtId="0" fontId="98" fillId="21" borderId="82" applyAlignment="1" pivotButton="0" quotePrefix="0" xfId="0">
      <alignment horizontal="center" vertical="top"/>
    </xf>
    <xf numFmtId="0" fontId="0" fillId="21" borderId="82" pivotButton="0" quotePrefix="0" xfId="0"/>
    <xf numFmtId="0" fontId="98" fillId="22" borderId="82" applyAlignment="1" pivotButton="0" quotePrefix="0" xfId="0">
      <alignment horizontal="center" vertical="top"/>
    </xf>
    <xf numFmtId="0" fontId="0" fillId="22" borderId="82" pivotButton="0" quotePrefix="0" xfId="0"/>
    <xf numFmtId="170" fontId="102" fillId="20" borderId="82" applyAlignment="1" pivotButton="0" quotePrefix="0" xfId="0">
      <alignment horizontal="center" vertical="center"/>
    </xf>
    <xf numFmtId="171" fontId="102" fillId="21" borderId="82" applyAlignment="1" pivotButton="0" quotePrefix="0" xfId="0">
      <alignment horizontal="center" vertical="center"/>
    </xf>
    <xf numFmtId="171" fontId="102" fillId="22" borderId="82" applyAlignment="1" pivotButton="0" quotePrefix="0" xfId="0">
      <alignment horizontal="center" vertical="center"/>
    </xf>
    <xf numFmtId="0" fontId="103" fillId="13" borderId="0" applyAlignment="1" pivotButton="0" quotePrefix="0" xfId="0">
      <alignment horizontal="left" vertical="center" indent="1"/>
    </xf>
    <xf numFmtId="0" fontId="104" fillId="0" borderId="0" applyAlignment="1" pivotButton="0" quotePrefix="0" xfId="0">
      <alignment horizontal="left" vertical="center" wrapText="1" indent="1"/>
    </xf>
    <xf numFmtId="0" fontId="105" fillId="0" borderId="0" applyAlignment="1" pivotButton="0" quotePrefix="0" xfId="0">
      <alignment horizontal="left" vertical="center"/>
    </xf>
    <xf numFmtId="9" fontId="106" fillId="0" borderId="0" applyAlignment="1" pivotButton="0" quotePrefix="0" xfId="0">
      <alignment horizontal="center" vertical="center"/>
    </xf>
    <xf numFmtId="0" fontId="103" fillId="14" borderId="0" applyAlignment="1" pivotButton="0" quotePrefix="0" xfId="0">
      <alignment horizontal="left" vertical="center" indent="1"/>
    </xf>
    <xf numFmtId="0" fontId="107" fillId="20" borderId="82" applyAlignment="1" pivotButton="0" quotePrefix="0" xfId="0">
      <alignment horizontal="center" vertical="center"/>
    </xf>
    <xf numFmtId="0" fontId="107" fillId="22" borderId="82" applyAlignment="1" pivotButton="0" quotePrefix="0" xfId="0">
      <alignment horizontal="center" vertical="center"/>
    </xf>
    <xf numFmtId="0" fontId="107" fillId="23" borderId="82" applyAlignment="1" pivotButton="0" quotePrefix="0" xfId="0">
      <alignment horizontal="center" vertical="center"/>
    </xf>
    <xf numFmtId="0" fontId="0" fillId="23" borderId="82" pivotButton="0" quotePrefix="0" xfId="0"/>
    <xf numFmtId="170" fontId="55" fillId="20" borderId="82" applyAlignment="1" pivotButton="0" quotePrefix="0" xfId="0">
      <alignment horizontal="center" vertical="center"/>
    </xf>
    <xf numFmtId="170" fontId="55" fillId="22" borderId="82" applyAlignment="1" pivotButton="0" quotePrefix="0" xfId="0">
      <alignment horizontal="center" vertical="center"/>
    </xf>
    <xf numFmtId="170" fontId="55" fillId="23" borderId="82" applyAlignment="1" pivotButton="0" quotePrefix="0" xfId="0">
      <alignment horizontal="center" vertical="center"/>
    </xf>
    <xf numFmtId="0" fontId="108" fillId="24" borderId="0" applyAlignment="1" pivotButton="0" quotePrefix="0" xfId="0">
      <alignment horizontal="center" vertical="center" wrapText="1"/>
    </xf>
    <xf numFmtId="0" fontId="109" fillId="17" borderId="0" applyAlignment="1" pivotButton="0" quotePrefix="0" xfId="0">
      <alignment horizontal="left" vertical="center" indent="1"/>
    </xf>
    <xf numFmtId="0" fontId="61" fillId="3" borderId="79" applyAlignment="1" pivotButton="0" quotePrefix="0" xfId="0">
      <alignment horizontal="center" vertical="center"/>
    </xf>
    <xf numFmtId="0" fontId="62" fillId="0" borderId="78" pivotButton="0" quotePrefix="0" xfId="0"/>
    <xf numFmtId="0" fontId="63" fillId="13" borderId="35" applyAlignment="1" pivotButton="0" quotePrefix="0" xfId="0">
      <alignment horizontal="center" vertical="center"/>
    </xf>
    <xf numFmtId="0" fontId="63" fillId="14" borderId="19" applyAlignment="1" pivotButton="0" quotePrefix="0" xfId="0">
      <alignment horizontal="center" vertical="center"/>
    </xf>
    <xf numFmtId="0" fontId="63" fillId="17" borderId="22" applyAlignment="1" pivotButton="0" quotePrefix="0" xfId="0">
      <alignment horizontal="center" vertical="center"/>
    </xf>
    <xf numFmtId="0" fontId="63" fillId="15" borderId="25" applyAlignment="1" pivotButton="0" quotePrefix="0" xfId="0">
      <alignment horizontal="center" vertical="center"/>
    </xf>
    <xf numFmtId="0" fontId="63" fillId="18" borderId="31" applyAlignment="1" pivotButton="0" quotePrefix="0" xfId="0">
      <alignment horizontal="center" vertical="center"/>
    </xf>
    <xf numFmtId="0" fontId="64" fillId="16" borderId="0" pivotButton="0" quotePrefix="0" xfId="0"/>
    <xf numFmtId="0" fontId="62" fillId="16" borderId="0" pivotButton="0" quotePrefix="0" xfId="0"/>
    <xf numFmtId="0" fontId="101" fillId="16" borderId="37" applyAlignment="1" pivotButton="0" quotePrefix="0" xfId="0">
      <alignment horizontal="left" vertical="center" wrapText="1" indent="1"/>
    </xf>
    <xf numFmtId="0" fontId="62" fillId="0" borderId="0" pivotButton="0" quotePrefix="0" xfId="0"/>
    <xf numFmtId="0" fontId="62" fillId="0" borderId="37" pivotButton="0" quotePrefix="0" xfId="0"/>
    <xf numFmtId="169" fontId="65" fillId="3" borderId="80" applyAlignment="1" pivotButton="0" quotePrefix="0" xfId="0">
      <alignment horizontal="center" vertical="center"/>
    </xf>
    <xf numFmtId="169" fontId="66" fillId="3" borderId="36" applyAlignment="1" pivotButton="0" quotePrefix="0" xfId="0">
      <alignment horizontal="center" vertical="center"/>
    </xf>
    <xf numFmtId="169" fontId="66" fillId="3" borderId="21" applyAlignment="1" pivotButton="0" quotePrefix="0" xfId="0">
      <alignment horizontal="center" vertical="center"/>
    </xf>
    <xf numFmtId="169" fontId="66" fillId="3" borderId="24" applyAlignment="1" pivotButton="0" quotePrefix="0" xfId="0">
      <alignment horizontal="center" vertical="center"/>
    </xf>
    <xf numFmtId="169" fontId="66" fillId="3" borderId="27" applyAlignment="1" pivotButton="0" quotePrefix="0" xfId="0">
      <alignment horizontal="center" vertical="center"/>
    </xf>
    <xf numFmtId="169" fontId="66" fillId="3" borderId="33" applyAlignment="1" pivotButton="0" quotePrefix="0" xfId="0">
      <alignment horizontal="center" vertical="center"/>
    </xf>
    <xf numFmtId="0" fontId="67" fillId="16" borderId="0" pivotButton="0" quotePrefix="0" xfId="0"/>
    <xf numFmtId="0" fontId="68" fillId="16" borderId="0" pivotButton="0" quotePrefix="0" xfId="0"/>
    <xf numFmtId="0" fontId="52" fillId="16" borderId="0" pivotButton="0" quotePrefix="0" xfId="0"/>
    <xf numFmtId="0" fontId="62" fillId="0" borderId="74" pivotButton="0" quotePrefix="0" xfId="0"/>
    <xf numFmtId="0" fontId="62" fillId="0" borderId="76" pivotButton="0" quotePrefix="0" xfId="0"/>
    <xf numFmtId="0" fontId="62" fillId="0" borderId="36" pivotButton="0" quotePrefix="0" xfId="0"/>
    <xf numFmtId="0" fontId="62" fillId="0" borderId="21" pivotButton="0" quotePrefix="0" xfId="0"/>
    <xf numFmtId="0" fontId="62" fillId="0" borderId="24" pivotButton="0" quotePrefix="0" xfId="0"/>
    <xf numFmtId="0" fontId="62" fillId="0" borderId="27" pivotButton="0" quotePrefix="0" xfId="0"/>
    <xf numFmtId="0" fontId="62" fillId="0" borderId="33" pivotButton="0" quotePrefix="0" xfId="0"/>
    <xf numFmtId="0" fontId="69" fillId="16" borderId="0" pivotButton="0" quotePrefix="0" xfId="0"/>
    <xf numFmtId="0" fontId="103" fillId="14" borderId="12" applyAlignment="1" pivotButton="0" quotePrefix="0" xfId="0">
      <alignment horizontal="left" vertical="center" indent="1"/>
    </xf>
    <xf numFmtId="0" fontId="0" fillId="14" borderId="9" pivotButton="0" quotePrefix="0" xfId="0"/>
    <xf numFmtId="0" fontId="71" fillId="16" borderId="0" pivotButton="0" quotePrefix="0" xfId="0"/>
    <xf numFmtId="0" fontId="103" fillId="14" borderId="5" applyAlignment="1" pivotButton="0" quotePrefix="0" xfId="0">
      <alignment horizontal="left" vertical="center" indent="1"/>
    </xf>
    <xf numFmtId="0" fontId="0" fillId="14" borderId="1" pivotButton="0" quotePrefix="0" xfId="0"/>
    <xf numFmtId="0" fontId="71" fillId="13" borderId="9" pivotButton="0" quotePrefix="0" xfId="0"/>
    <xf numFmtId="0" fontId="83" fillId="0" borderId="6" applyAlignment="1" pivotButton="0" quotePrefix="0" xfId="0">
      <alignment horizontal="right" vertical="center"/>
    </xf>
    <xf numFmtId="164" fontId="67" fillId="16" borderId="0" pivotButton="0" quotePrefix="0" xfId="0"/>
    <xf numFmtId="0" fontId="52" fillId="16" borderId="6" pivotButton="0" quotePrefix="0" xfId="0"/>
    <xf numFmtId="14" fontId="52" fillId="15" borderId="10" applyProtection="1" pivotButton="0" quotePrefix="1" xfId="0">
      <protection locked="0" hidden="0"/>
    </xf>
    <xf numFmtId="164" fontId="52" fillId="16" borderId="0" pivotButton="0" quotePrefix="0" xfId="0"/>
    <xf numFmtId="0" fontId="52" fillId="16" borderId="10" pivotButton="0" quotePrefix="0" xfId="0"/>
    <xf numFmtId="0" fontId="52" fillId="15" borderId="10" applyAlignment="1" applyProtection="1" pivotButton="0" quotePrefix="0" xfId="0">
      <alignment horizontal="right"/>
      <protection locked="0" hidden="0"/>
    </xf>
    <xf numFmtId="166" fontId="52" fillId="15" borderId="10" applyProtection="1" pivotButton="0" quotePrefix="0" xfId="0">
      <protection locked="0" hidden="0"/>
    </xf>
    <xf numFmtId="0" fontId="73" fillId="16" borderId="0" pivotButton="0" quotePrefix="0" xfId="0"/>
    <xf numFmtId="0" fontId="52" fillId="16" borderId="7" pivotButton="0" quotePrefix="0" xfId="0"/>
    <xf numFmtId="0" fontId="52" fillId="15" borderId="11" applyAlignment="1" applyProtection="1" pivotButton="0" quotePrefix="0" xfId="0">
      <alignment horizontal="right"/>
      <protection locked="0" hidden="0"/>
    </xf>
    <xf numFmtId="0" fontId="74" fillId="16" borderId="7" pivotButton="0" quotePrefix="0" xfId="0"/>
    <xf numFmtId="165" fontId="74" fillId="16" borderId="3" pivotButton="0" quotePrefix="0" xfId="0"/>
    <xf numFmtId="0" fontId="52" fillId="16" borderId="11" pivotButton="0" quotePrefix="0" xfId="0"/>
    <xf numFmtId="168" fontId="75" fillId="16" borderId="0" applyAlignment="1" pivotButton="0" quotePrefix="0" xfId="0">
      <alignment horizontal="center" vertical="center"/>
    </xf>
    <xf numFmtId="0" fontId="103" fillId="13" borderId="16" applyAlignment="1" pivotButton="0" quotePrefix="0" xfId="0">
      <alignment horizontal="left" vertical="center" indent="1"/>
    </xf>
    <xf numFmtId="0" fontId="77" fillId="13" borderId="35" applyAlignment="1" pivotButton="0" quotePrefix="0" xfId="0">
      <alignment horizontal="center" vertical="center" wrapText="1"/>
    </xf>
    <xf numFmtId="0" fontId="77" fillId="13" borderId="38" applyAlignment="1" pivotButton="0" quotePrefix="0" xfId="0">
      <alignment horizontal="center" vertical="center" wrapText="1"/>
    </xf>
    <xf numFmtId="0" fontId="78" fillId="13" borderId="40" applyAlignment="1" pivotButton="0" quotePrefix="0" xfId="0">
      <alignment horizontal="center" vertical="center" wrapText="1"/>
    </xf>
    <xf numFmtId="0" fontId="52" fillId="16" borderId="17" pivotButton="0" quotePrefix="0" xfId="0"/>
    <xf numFmtId="164" fontId="52" fillId="15" borderId="0" applyProtection="1" pivotButton="0" quotePrefix="0" xfId="0">
      <protection locked="0" hidden="0"/>
    </xf>
    <xf numFmtId="165" fontId="52" fillId="16" borderId="10" pivotButton="0" quotePrefix="0" xfId="0"/>
    <xf numFmtId="0" fontId="53" fillId="15" borderId="34" applyAlignment="1" applyProtection="1" pivotButton="0" quotePrefix="0" xfId="0">
      <alignment horizontal="center"/>
      <protection locked="0" hidden="0"/>
    </xf>
    <xf numFmtId="0" fontId="74" fillId="16" borderId="18" pivotButton="0" quotePrefix="0" xfId="0"/>
    <xf numFmtId="164" fontId="74" fillId="16" borderId="36" pivotButton="0" quotePrefix="0" xfId="0"/>
    <xf numFmtId="165" fontId="74" fillId="16" borderId="39" pivotButton="0" quotePrefix="0" xfId="0"/>
    <xf numFmtId="0" fontId="74" fillId="16" borderId="41" pivotButton="0" quotePrefix="0" xfId="0"/>
    <xf numFmtId="0" fontId="103" fillId="13" borderId="19" applyAlignment="1" pivotButton="0" quotePrefix="0" xfId="0">
      <alignment horizontal="left" vertical="center" indent="1"/>
    </xf>
    <xf numFmtId="0" fontId="77" fillId="14" borderId="42" applyAlignment="1" pivotButton="0" quotePrefix="0" xfId="0">
      <alignment horizontal="center" vertical="center" wrapText="1"/>
    </xf>
    <xf numFmtId="0" fontId="77" fillId="14" borderId="43" applyAlignment="1" pivotButton="0" quotePrefix="0" xfId="0">
      <alignment horizontal="center" vertical="center" wrapText="1"/>
    </xf>
    <xf numFmtId="0" fontId="78" fillId="14" borderId="46" applyAlignment="1" pivotButton="0" quotePrefix="0" xfId="0">
      <alignment horizontal="center" vertical="center" wrapText="1"/>
    </xf>
    <xf numFmtId="0" fontId="52" fillId="16" borderId="20" pivotButton="0" quotePrefix="0" xfId="0"/>
    <xf numFmtId="0" fontId="53" fillId="15" borderId="47" applyAlignment="1" applyProtection="1" pivotButton="0" quotePrefix="0" xfId="0">
      <alignment horizontal="center"/>
      <protection locked="0" hidden="0"/>
    </xf>
    <xf numFmtId="0" fontId="79" fillId="16" borderId="0" pivotButton="0" quotePrefix="0" xfId="0"/>
    <xf numFmtId="0" fontId="80" fillId="15" borderId="47" applyAlignment="1" applyProtection="1" pivotButton="0" quotePrefix="0" xfId="0">
      <alignment horizontal="center"/>
      <protection locked="0" hidden="0"/>
    </xf>
    <xf numFmtId="0" fontId="74" fillId="16" borderId="21" pivotButton="0" quotePrefix="0" xfId="0"/>
    <xf numFmtId="164" fontId="74" fillId="16" borderId="44" pivotButton="0" quotePrefix="0" xfId="0"/>
    <xf numFmtId="165" fontId="74" fillId="16" borderId="45" pivotButton="0" quotePrefix="0" xfId="0"/>
    <xf numFmtId="0" fontId="74" fillId="16" borderId="48" pivotButton="0" quotePrefix="0" xfId="0"/>
    <xf numFmtId="0" fontId="103" fillId="13" borderId="22" applyAlignment="1" pivotButton="0" quotePrefix="0" xfId="0">
      <alignment horizontal="left" vertical="center" indent="1"/>
    </xf>
    <xf numFmtId="0" fontId="77" fillId="17" borderId="49" applyAlignment="1" pivotButton="0" quotePrefix="0" xfId="0">
      <alignment horizontal="center" vertical="center" wrapText="1"/>
    </xf>
    <xf numFmtId="0" fontId="77" fillId="17" borderId="50" applyAlignment="1" pivotButton="0" quotePrefix="0" xfId="0">
      <alignment horizontal="center" vertical="center" wrapText="1"/>
    </xf>
    <xf numFmtId="0" fontId="78" fillId="17" borderId="53" applyAlignment="1" pivotButton="0" quotePrefix="0" xfId="0">
      <alignment horizontal="center" vertical="center" wrapText="1"/>
    </xf>
    <xf numFmtId="0" fontId="52" fillId="16" borderId="23" pivotButton="0" quotePrefix="0" xfId="0"/>
    <xf numFmtId="0" fontId="53" fillId="15" borderId="54" applyAlignment="1" applyProtection="1" pivotButton="0" quotePrefix="0" xfId="0">
      <alignment horizontal="center"/>
      <protection locked="0" hidden="0"/>
    </xf>
    <xf numFmtId="0" fontId="81" fillId="16" borderId="0" pivotButton="0" quotePrefix="0" xfId="0"/>
    <xf numFmtId="0" fontId="74" fillId="16" borderId="24" pivotButton="0" quotePrefix="0" xfId="0"/>
    <xf numFmtId="164" fontId="74" fillId="16" borderId="51" pivotButton="0" quotePrefix="0" xfId="0"/>
    <xf numFmtId="165" fontId="74" fillId="16" borderId="52" pivotButton="0" quotePrefix="0" xfId="0"/>
    <xf numFmtId="0" fontId="74" fillId="16" borderId="55" pivotButton="0" quotePrefix="0" xfId="0"/>
    <xf numFmtId="0" fontId="103" fillId="13" borderId="25" applyAlignment="1" pivotButton="0" quotePrefix="0" xfId="0">
      <alignment horizontal="left" vertical="center" indent="1"/>
    </xf>
    <xf numFmtId="0" fontId="77" fillId="15" borderId="56" applyAlignment="1" pivotButton="0" quotePrefix="0" xfId="0">
      <alignment horizontal="center" vertical="center" wrapText="1"/>
    </xf>
    <xf numFmtId="0" fontId="77" fillId="15" borderId="57" applyAlignment="1" pivotButton="0" quotePrefix="0" xfId="0">
      <alignment horizontal="center" vertical="center" wrapText="1"/>
    </xf>
    <xf numFmtId="0" fontId="78" fillId="15" borderId="60" applyAlignment="1" pivotButton="0" quotePrefix="0" xfId="0">
      <alignment horizontal="center" vertical="center" wrapText="1"/>
    </xf>
    <xf numFmtId="0" fontId="52" fillId="16" borderId="26" pivotButton="0" quotePrefix="0" xfId="0"/>
    <xf numFmtId="0" fontId="53" fillId="15" borderId="61" applyAlignment="1" applyProtection="1" pivotButton="0" quotePrefix="0" xfId="0">
      <alignment horizontal="center"/>
      <protection locked="0" hidden="0"/>
    </xf>
    <xf numFmtId="0" fontId="74" fillId="16" borderId="27" pivotButton="0" quotePrefix="0" xfId="0"/>
    <xf numFmtId="164" fontId="74" fillId="16" borderId="58" pivotButton="0" quotePrefix="0" xfId="0"/>
    <xf numFmtId="165" fontId="74" fillId="16" borderId="59" pivotButton="0" quotePrefix="0" xfId="0"/>
    <xf numFmtId="0" fontId="74" fillId="16" borderId="62" pivotButton="0" quotePrefix="0" xfId="0"/>
    <xf numFmtId="0" fontId="103" fillId="13" borderId="28" applyAlignment="1" pivotButton="0" quotePrefix="0" xfId="0">
      <alignment horizontal="left" vertical="center" indent="1"/>
    </xf>
    <xf numFmtId="0" fontId="77" fillId="18" borderId="63" applyAlignment="1" pivotButton="0" quotePrefix="0" xfId="0">
      <alignment horizontal="center" vertical="center" wrapText="1"/>
    </xf>
    <xf numFmtId="0" fontId="77" fillId="18" borderId="64" applyAlignment="1" pivotButton="0" quotePrefix="0" xfId="0">
      <alignment horizontal="center" vertical="center" wrapText="1"/>
    </xf>
    <xf numFmtId="0" fontId="78" fillId="18" borderId="67" applyAlignment="1" pivotButton="0" quotePrefix="0" xfId="0">
      <alignment horizontal="center" vertical="center" wrapText="1"/>
    </xf>
    <xf numFmtId="0" fontId="52" fillId="16" borderId="29" pivotButton="0" quotePrefix="0" xfId="0"/>
    <xf numFmtId="0" fontId="53" fillId="15" borderId="68" applyAlignment="1" applyProtection="1" pivotButton="0" quotePrefix="0" xfId="0">
      <alignment horizontal="center"/>
      <protection locked="0" hidden="0"/>
    </xf>
    <xf numFmtId="0" fontId="74" fillId="16" borderId="30" pivotButton="0" quotePrefix="0" xfId="0"/>
    <xf numFmtId="164" fontId="74" fillId="16" borderId="65" pivotButton="0" quotePrefix="0" xfId="0"/>
    <xf numFmtId="165" fontId="74" fillId="16" borderId="66" pivotButton="0" quotePrefix="0" xfId="0"/>
    <xf numFmtId="0" fontId="74" fillId="16" borderId="69" pivotButton="0" quotePrefix="0" xfId="0"/>
    <xf numFmtId="0" fontId="82" fillId="16" borderId="0" pivotButton="0" quotePrefix="0" xfId="0"/>
    <xf numFmtId="0" fontId="103" fillId="13" borderId="5" applyAlignment="1" pivotButton="0" quotePrefix="0" xfId="0">
      <alignment horizontal="left" vertical="center" indent="1"/>
    </xf>
    <xf numFmtId="0" fontId="52" fillId="13" borderId="1" pivotButton="0" quotePrefix="0" xfId="0"/>
    <xf numFmtId="0" fontId="52" fillId="13" borderId="9" pivotButton="0" quotePrefix="0" xfId="0"/>
    <xf numFmtId="0" fontId="62" fillId="13" borderId="0" pivotButton="0" quotePrefix="0" xfId="0"/>
    <xf numFmtId="166" fontId="52" fillId="15" borderId="0" applyProtection="1" pivotButton="0" quotePrefix="0" xfId="0">
      <protection locked="0" hidden="0"/>
    </xf>
    <xf numFmtId="164" fontId="74" fillId="16" borderId="3" pivotButton="0" quotePrefix="0" xfId="0"/>
    <xf numFmtId="0" fontId="52" fillId="16" borderId="3" pivotButton="0" quotePrefix="0" xfId="0"/>
    <xf numFmtId="0" fontId="73" fillId="16" borderId="0" applyAlignment="1" pivotButton="0" quotePrefix="0" xfId="0">
      <alignment horizontal="left" vertical="center" wrapText="1" indent="1"/>
    </xf>
    <xf numFmtId="0" fontId="74" fillId="16" borderId="5" applyAlignment="1" pivotButton="0" quotePrefix="0" xfId="0">
      <alignment horizontal="center" vertical="center" wrapText="1"/>
    </xf>
    <xf numFmtId="0" fontId="74" fillId="16" borderId="1" applyAlignment="1" pivotButton="0" quotePrefix="0" xfId="0">
      <alignment horizontal="center" vertical="center" wrapText="1"/>
    </xf>
    <xf numFmtId="0" fontId="74" fillId="16" borderId="9" applyAlignment="1" pivotButton="0" quotePrefix="0" xfId="0">
      <alignment horizontal="center" vertical="center" wrapText="1"/>
    </xf>
    <xf numFmtId="0" fontId="61" fillId="16" borderId="0" applyAlignment="1" pivotButton="0" quotePrefix="0" xfId="0">
      <alignment horizontal="center" vertical="center" wrapText="1"/>
    </xf>
    <xf numFmtId="0" fontId="85" fillId="16" borderId="0" pivotButton="0" quotePrefix="0" xfId="0"/>
    <xf numFmtId="164" fontId="52" fillId="16" borderId="3" pivotButton="0" quotePrefix="0" xfId="0"/>
    <xf numFmtId="0" fontId="86" fillId="19" borderId="0" pivotButton="0" quotePrefix="0" xfId="0"/>
    <xf numFmtId="0" fontId="52" fillId="15" borderId="0" applyProtection="1" pivotButton="0" quotePrefix="0" xfId="0">
      <protection locked="0" hidden="0"/>
    </xf>
    <xf numFmtId="0" fontId="59" fillId="3" borderId="0" pivotButton="0" quotePrefix="0" xfId="0"/>
    <xf numFmtId="0" fontId="62" fillId="16" borderId="0" applyProtection="1" pivotButton="0" quotePrefix="0" xfId="0">
      <protection locked="0" hidden="0"/>
    </xf>
    <xf numFmtId="0" fontId="101" fillId="16" borderId="0" applyAlignment="1" pivotButton="0" quotePrefix="0" xfId="0">
      <alignment horizontal="left" vertical="center" wrapText="1" indent="1"/>
    </xf>
    <xf numFmtId="0" fontId="54" fillId="16" borderId="0" applyAlignment="1" pivotButton="0" quotePrefix="0" xfId="0">
      <alignment horizontal="left" vertical="center" wrapText="1" indent="1"/>
    </xf>
    <xf numFmtId="0" fontId="76" fillId="13" borderId="0" pivotButton="0" quotePrefix="0" xfId="0"/>
    <xf numFmtId="0" fontId="87" fillId="16" borderId="0" applyAlignment="1" pivotButton="0" quotePrefix="0" xfId="0">
      <alignment vertical="top"/>
    </xf>
    <xf numFmtId="0" fontId="62" fillId="16" borderId="0" applyAlignment="1" pivotButton="0" quotePrefix="0" xfId="0">
      <alignment vertical="top"/>
    </xf>
    <xf numFmtId="0" fontId="73" fillId="16" borderId="0" applyAlignment="1" pivotButton="0" quotePrefix="0" xfId="0">
      <alignment vertical="top" wrapText="1"/>
    </xf>
    <xf numFmtId="0" fontId="88" fillId="19" borderId="0" applyAlignment="1" pivotButton="0" quotePrefix="0" xfId="0">
      <alignment horizontal="center" vertical="center" wrapText="1"/>
    </xf>
    <xf numFmtId="0" fontId="88" fillId="19" borderId="0" pivotButton="0" quotePrefix="0" xfId="0"/>
    <xf numFmtId="166" fontId="62" fillId="16" borderId="0" applyProtection="1" pivotButton="0" quotePrefix="0" xfId="0">
      <protection locked="0" hidden="0"/>
    </xf>
    <xf numFmtId="164" fontId="62" fillId="16" borderId="0" applyProtection="1" pivotButton="0" quotePrefix="0" xfId="0">
      <protection locked="0" hidden="0"/>
    </xf>
    <xf numFmtId="0" fontId="89" fillId="16" borderId="0" pivotButton="0" quotePrefix="0" xfId="0"/>
    <xf numFmtId="166" fontId="62" fillId="16" borderId="0" pivotButton="0" quotePrefix="0" xfId="0"/>
    <xf numFmtId="0" fontId="90" fillId="16" borderId="0" pivotButton="0" quotePrefix="0" xfId="0"/>
    <xf numFmtId="164" fontId="62" fillId="16" borderId="0" pivotButton="0" quotePrefix="0" xfId="0"/>
    <xf numFmtId="0" fontId="109" fillId="15" borderId="0" applyAlignment="1" pivotButton="0" quotePrefix="0" xfId="0">
      <alignment horizontal="left" vertical="center" indent="1"/>
    </xf>
    <xf numFmtId="0" fontId="0" fillId="15" borderId="0" pivotButton="0" quotePrefix="0" xfId="0"/>
    <xf numFmtId="0" fontId="107" fillId="21" borderId="82" applyAlignment="1" pivotButton="0" quotePrefix="0" xfId="0">
      <alignment horizontal="center" vertical="center"/>
    </xf>
    <xf numFmtId="0" fontId="98" fillId="0" borderId="0" pivotButton="0" quotePrefix="0" xfId="0"/>
    <xf numFmtId="1" fontId="110" fillId="21" borderId="82" applyAlignment="1" pivotButton="0" quotePrefix="0" xfId="0">
      <alignment horizontal="center" vertical="center"/>
    </xf>
    <xf numFmtId="170" fontId="110" fillId="22" borderId="82" applyAlignment="1" pivotButton="0" quotePrefix="0" xfId="0">
      <alignment horizontal="center" vertical="center"/>
    </xf>
    <xf numFmtId="0" fontId="60" fillId="0" borderId="0" applyAlignment="1" pivotButton="0" quotePrefix="0" xfId="0">
      <alignment horizontal="left" vertical="center"/>
    </xf>
    <xf numFmtId="0" fontId="78" fillId="0" borderId="0" applyAlignment="1" pivotButton="0" quotePrefix="0" xfId="0">
      <alignment horizontal="center" vertical="center"/>
    </xf>
    <xf numFmtId="0" fontId="111" fillId="19" borderId="82" applyAlignment="1" pivotButton="0" quotePrefix="0" xfId="0">
      <alignment horizontal="center" vertical="center" wrapText="1"/>
    </xf>
    <xf numFmtId="172" fontId="101" fillId="0" borderId="82" applyAlignment="1" applyProtection="1" pivotButton="0" quotePrefix="0" xfId="0">
      <alignment horizontal="center" vertical="center"/>
      <protection locked="0" hidden="0"/>
    </xf>
    <xf numFmtId="173" fontId="101" fillId="0" borderId="82" applyAlignment="1" applyProtection="1" pivotButton="0" quotePrefix="0" xfId="0">
      <alignment horizontal="center" vertical="center"/>
      <protection locked="0" hidden="0"/>
    </xf>
    <xf numFmtId="0" fontId="101" fillId="0" borderId="82" applyAlignment="1" applyProtection="1" pivotButton="0" quotePrefix="0" xfId="0">
      <alignment horizontal="left" vertical="center" indent="1"/>
      <protection locked="0" hidden="0"/>
    </xf>
    <xf numFmtId="0" fontId="101" fillId="0" borderId="82" applyAlignment="1" applyProtection="1" pivotButton="0" quotePrefix="0" xfId="0">
      <alignment horizontal="center" vertical="center"/>
      <protection locked="0" hidden="0"/>
    </xf>
    <xf numFmtId="174" fontId="99" fillId="16" borderId="82" applyAlignment="1" applyProtection="1" pivotButton="0" quotePrefix="0" xfId="0">
      <alignment horizontal="center" vertical="center"/>
      <protection locked="0" hidden="0"/>
    </xf>
    <xf numFmtId="173" fontId="99" fillId="16" borderId="82" applyAlignment="1" applyProtection="1" pivotButton="0" quotePrefix="0" xfId="0">
      <alignment horizontal="center" vertical="center"/>
      <protection locked="0" hidden="0"/>
    </xf>
    <xf numFmtId="0" fontId="99" fillId="16" borderId="82" applyAlignment="1" applyProtection="1" pivotButton="0" quotePrefix="0" xfId="0">
      <alignment horizontal="left" vertical="center" indent="1"/>
      <protection locked="0" hidden="0"/>
    </xf>
    <xf numFmtId="0" fontId="99" fillId="16" borderId="82" applyAlignment="1" applyProtection="1" pivotButton="0" quotePrefix="0" xfId="0">
      <alignment horizontal="center" vertical="center"/>
      <protection locked="0" hidden="0"/>
    </xf>
    <xf numFmtId="174" fontId="99" fillId="20" borderId="82" applyAlignment="1" applyProtection="1" pivotButton="0" quotePrefix="0" xfId="0">
      <alignment horizontal="center" vertical="center"/>
      <protection locked="0" hidden="0"/>
    </xf>
    <xf numFmtId="173" fontId="99" fillId="20" borderId="82" applyAlignment="1" applyProtection="1" pivotButton="0" quotePrefix="0" xfId="0">
      <alignment horizontal="center" vertical="center"/>
      <protection locked="0" hidden="0"/>
    </xf>
    <xf numFmtId="0" fontId="99" fillId="20" borderId="82" applyAlignment="1" applyProtection="1" pivotButton="0" quotePrefix="0" xfId="0">
      <alignment horizontal="left" vertical="center" indent="1"/>
      <protection locked="0" hidden="0"/>
    </xf>
    <xf numFmtId="0" fontId="99" fillId="20" borderId="82" applyAlignment="1" applyProtection="1" pivotButton="0" quotePrefix="0" xfId="0">
      <alignment horizontal="center" vertical="center"/>
      <protection locked="0" hidden="0"/>
    </xf>
    <xf numFmtId="0" fontId="104" fillId="0" borderId="0" applyAlignment="1" pivotButton="0" quotePrefix="0" xfId="0">
      <alignment horizontal="right" vertical="center" wrapText="1"/>
    </xf>
    <xf numFmtId="0" fontId="99" fillId="16" borderId="82" applyAlignment="1" applyProtection="1" pivotButton="0" quotePrefix="0" xfId="0">
      <alignment horizontal="left" vertical="center"/>
      <protection locked="0" hidden="0"/>
    </xf>
    <xf numFmtId="0" fontId="112" fillId="22" borderId="82" applyAlignment="1" pivotButton="0" quotePrefix="0" xfId="0">
      <alignment horizontal="center" vertical="center"/>
    </xf>
    <xf numFmtId="0" fontId="112" fillId="20" borderId="82" applyAlignment="1" pivotButton="0" quotePrefix="0" xfId="0">
      <alignment horizontal="center" vertical="center"/>
    </xf>
    <xf numFmtId="171" fontId="102" fillId="20" borderId="82" applyAlignment="1" pivotButton="0" quotePrefix="0" xfId="0">
      <alignment horizontal="center" vertical="center"/>
    </xf>
    <xf numFmtId="0" fontId="107" fillId="0" borderId="0" applyAlignment="1" pivotButton="0" quotePrefix="0" xfId="0">
      <alignment horizontal="center" vertical="bottom"/>
    </xf>
    <xf numFmtId="0" fontId="113" fillId="16" borderId="82" applyAlignment="1" applyProtection="1" pivotButton="0" quotePrefix="0" xfId="0">
      <alignment horizontal="center" vertical="center"/>
      <protection locked="0" hidden="0"/>
    </xf>
    <xf numFmtId="0" fontId="80" fillId="24" borderId="0" applyAlignment="1" pivotButton="0" quotePrefix="0" xfId="0">
      <alignment horizontal="center" vertical="center" wrapText="1"/>
    </xf>
    <xf numFmtId="1" fontId="110" fillId="20" borderId="82" applyAlignment="1" pivotButton="0" quotePrefix="0" xfId="0">
      <alignment horizontal="center" vertical="center"/>
    </xf>
    <xf numFmtId="170" fontId="110" fillId="23" borderId="82" applyAlignment="1" pivotButton="0" quotePrefix="0" xfId="0">
      <alignment horizontal="center" vertical="center"/>
    </xf>
    <xf numFmtId="1" fontId="110" fillId="22" borderId="82" applyAlignment="1" pivotButton="0" quotePrefix="0" xfId="0">
      <alignment horizontal="center" vertical="center"/>
    </xf>
    <xf numFmtId="0" fontId="101" fillId="0" borderId="82" applyAlignment="1" applyProtection="1" pivotButton="0" quotePrefix="0" xfId="0">
      <alignment horizontal="left" vertical="center" wrapText="1" indent="1"/>
      <protection locked="0" hidden="0"/>
    </xf>
    <xf numFmtId="173" fontId="101" fillId="0" borderId="82" applyAlignment="1" applyProtection="1" pivotButton="0" quotePrefix="0" xfId="0">
      <alignment horizontal="center" vertical="center" wrapText="1"/>
      <protection locked="0" hidden="0"/>
    </xf>
    <xf numFmtId="0" fontId="101" fillId="0" borderId="82" applyAlignment="1" applyProtection="1" pivotButton="0" quotePrefix="0" xfId="0">
      <alignment horizontal="center" vertical="center" wrapText="1"/>
      <protection locked="0" hidden="0"/>
    </xf>
    <xf numFmtId="0" fontId="99" fillId="16" borderId="82" applyAlignment="1" applyProtection="1" pivotButton="0" quotePrefix="0" xfId="0">
      <alignment horizontal="left" vertical="center" wrapText="1" indent="1"/>
      <protection locked="0" hidden="0"/>
    </xf>
    <xf numFmtId="173" fontId="99" fillId="16" borderId="82" applyAlignment="1" applyProtection="1" pivotButton="0" quotePrefix="0" xfId="0">
      <alignment horizontal="center" vertical="center" wrapText="1"/>
      <protection locked="0" hidden="0"/>
    </xf>
    <xf numFmtId="0" fontId="99" fillId="16" borderId="82" applyAlignment="1" applyProtection="1" pivotButton="0" quotePrefix="0" xfId="0">
      <alignment horizontal="center" vertical="center" wrapText="1"/>
      <protection locked="0" hidden="0"/>
    </xf>
    <xf numFmtId="0" fontId="99" fillId="21" borderId="82" applyAlignment="1" applyProtection="1" pivotButton="0" quotePrefix="0" xfId="0">
      <alignment horizontal="left" vertical="center" wrapText="1" indent="1"/>
      <protection locked="0" hidden="0"/>
    </xf>
    <xf numFmtId="173" fontId="99" fillId="21" borderId="82" applyAlignment="1" applyProtection="1" pivotButton="0" quotePrefix="0" xfId="0">
      <alignment horizontal="center" vertical="center" wrapText="1"/>
      <protection locked="0" hidden="0"/>
    </xf>
    <xf numFmtId="0" fontId="99" fillId="21" borderId="82" applyAlignment="1" applyProtection="1" pivotButton="0" quotePrefix="0" xfId="0">
      <alignment horizontal="center" vertical="center" wrapText="1"/>
      <protection locked="0" hidden="0"/>
    </xf>
    <xf numFmtId="0" fontId="52" fillId="0" borderId="0" pivotButton="0" quotePrefix="0" xfId="0"/>
    <xf numFmtId="0" fontId="74" fillId="0" borderId="0" pivotButton="0" quotePrefix="0" xfId="0"/>
    <xf numFmtId="0" fontId="52" fillId="12" borderId="0" applyProtection="1" pivotButton="0" quotePrefix="0" xfId="0">
      <protection locked="0" hidden="0"/>
    </xf>
    <xf numFmtId="0" fontId="91" fillId="0" borderId="0" pivotButton="0" quotePrefix="0" xfId="0"/>
    <xf numFmtId="0" fontId="74" fillId="14" borderId="12" applyAlignment="1" pivotButton="0" quotePrefix="0" xfId="0">
      <alignment horizontal="center"/>
    </xf>
    <xf numFmtId="0" fontId="74" fillId="13" borderId="13" applyAlignment="1" pivotButton="0" quotePrefix="0" xfId="0">
      <alignment horizontal="left" vertical="top"/>
    </xf>
    <xf numFmtId="167" fontId="92" fillId="13" borderId="14" applyAlignment="1" pivotButton="0" quotePrefix="0" xfId="0">
      <alignment horizontal="left" vertical="top" wrapText="1"/>
    </xf>
    <xf numFmtId="0" fontId="74" fillId="14" borderId="12" applyAlignment="1" pivotButton="0" quotePrefix="0" xfId="0">
      <alignment horizontal="left" vertical="top"/>
    </xf>
    <xf numFmtId="167" fontId="92" fillId="14" borderId="14" applyAlignment="1" pivotButton="0" quotePrefix="0" xfId="0">
      <alignment horizontal="left" vertical="top" wrapText="1"/>
    </xf>
    <xf numFmtId="0" fontId="74" fillId="17" borderId="12" applyAlignment="1" pivotButton="0" quotePrefix="0" xfId="0">
      <alignment horizontal="left" vertical="top"/>
    </xf>
    <xf numFmtId="167" fontId="92" fillId="17" borderId="14" applyAlignment="1" pivotButton="0" quotePrefix="0" xfId="0">
      <alignment horizontal="left" vertical="top" wrapText="1"/>
    </xf>
    <xf numFmtId="0" fontId="74" fillId="15" borderId="12" applyAlignment="1" pivotButton="0" quotePrefix="0" xfId="0">
      <alignment horizontal="left" vertical="top"/>
    </xf>
    <xf numFmtId="167" fontId="92" fillId="15" borderId="14" applyAlignment="1" pivotButton="0" quotePrefix="0" xfId="0">
      <alignment horizontal="left" vertical="top" wrapText="1"/>
    </xf>
    <xf numFmtId="0" fontId="74" fillId="18" borderId="12" applyAlignment="1" pivotButton="0" quotePrefix="0" xfId="0">
      <alignment horizontal="left" vertical="top"/>
    </xf>
    <xf numFmtId="167" fontId="92" fillId="18" borderId="14" applyAlignment="1" pivotButton="0" quotePrefix="0" xfId="0">
      <alignment horizontal="left" vertical="top" wrapText="1"/>
    </xf>
    <xf numFmtId="0" fontId="74" fillId="13" borderId="12" applyAlignment="1" pivotButton="0" quotePrefix="0" xfId="0">
      <alignment horizontal="left" vertical="top"/>
    </xf>
    <xf numFmtId="0" fontId="93" fillId="0" borderId="0" pivotButton="0" quotePrefix="0" xfId="0"/>
    <xf numFmtId="0" fontId="0" fillId="13" borderId="0" pivotButton="0" quotePrefix="0" xfId="0"/>
    <xf numFmtId="0" fontId="74" fillId="15" borderId="4" applyAlignment="1" pivotButton="0" quotePrefix="0" xfId="0">
      <alignment horizontal="center" vertical="center" wrapText="1"/>
    </xf>
    <xf numFmtId="0" fontId="74" fillId="15" borderId="2" applyAlignment="1" pivotButton="0" quotePrefix="0" xfId="0">
      <alignment horizontal="center" vertical="center" wrapText="1"/>
    </xf>
    <xf numFmtId="0" fontId="74" fillId="15" borderId="15" applyAlignment="1" pivotButton="0" quotePrefix="0" xfId="0">
      <alignment horizontal="center" vertical="center" wrapText="1"/>
    </xf>
    <xf numFmtId="0" fontId="52" fillId="15" borderId="4" applyProtection="1" pivotButton="0" quotePrefix="0" xfId="0">
      <protection locked="0" hidden="0"/>
    </xf>
    <xf numFmtId="164" fontId="52" fillId="15" borderId="2" applyProtection="1" pivotButton="0" quotePrefix="0" xfId="0">
      <protection locked="0" hidden="0"/>
    </xf>
    <xf numFmtId="164" fontId="52" fillId="0" borderId="2" pivotButton="0" quotePrefix="0" xfId="0"/>
    <xf numFmtId="9" fontId="52" fillId="0" borderId="15" pivotButton="0" quotePrefix="0" xfId="0"/>
    <xf numFmtId="0" fontId="103" fillId="18" borderId="0" applyAlignment="1" pivotButton="0" quotePrefix="0" xfId="0">
      <alignment horizontal="left" vertical="center" indent="1"/>
    </xf>
    <xf numFmtId="0" fontId="0" fillId="18" borderId="0" pivotButton="0" quotePrefix="0" xfId="0"/>
    <xf numFmtId="0" fontId="74" fillId="18" borderId="4" applyAlignment="1" pivotButton="0" quotePrefix="0" xfId="0">
      <alignment horizontal="center" vertical="center" wrapText="1"/>
    </xf>
    <xf numFmtId="0" fontId="74" fillId="18" borderId="2" applyAlignment="1" pivotButton="0" quotePrefix="0" xfId="0">
      <alignment horizontal="center" vertical="center" wrapText="1"/>
    </xf>
    <xf numFmtId="0" fontId="74" fillId="18" borderId="15" applyAlignment="1" pivotButton="0" quotePrefix="0" xfId="0">
      <alignment horizontal="center" vertical="center" wrapText="1"/>
    </xf>
    <xf numFmtId="0" fontId="0" fillId="14" borderId="0" pivotButton="0" quotePrefix="0" xfId="0"/>
    <xf numFmtId="0" fontId="52" fillId="12" borderId="0" pivotButton="0" quotePrefix="0" xfId="0"/>
    <xf numFmtId="0" fontId="86" fillId="19" borderId="0" applyAlignment="1" applyProtection="1" pivotButton="0" quotePrefix="0" xfId="0">
      <alignment horizontal="center" vertical="center" wrapText="1"/>
      <protection locked="0" hidden="0"/>
    </xf>
    <xf numFmtId="166" fontId="62" fillId="15" borderId="0" applyProtection="1" pivotButton="0" quotePrefix="0" xfId="0">
      <protection locked="0" hidden="0"/>
    </xf>
    <xf numFmtId="0" fontId="62" fillId="15" borderId="0" applyProtection="1" pivotButton="0" quotePrefix="0" xfId="0">
      <protection locked="0" hidden="0"/>
    </xf>
    <xf numFmtId="164" fontId="62" fillId="15" borderId="0" applyProtection="1" pivotButton="0" quotePrefix="0" xfId="0">
      <protection locked="0" hidden="0"/>
    </xf>
    <xf numFmtId="166" fontId="62" fillId="15" borderId="0" pivotButton="0" quotePrefix="0" xfId="0"/>
    <xf numFmtId="0" fontId="62" fillId="15" borderId="0" pivotButton="0" quotePrefix="0" xfId="0"/>
    <xf numFmtId="164" fontId="62" fillId="15" borderId="0" pivotButton="0" quotePrefix="0" xfId="0"/>
    <xf numFmtId="164" fontId="74" fillId="0" borderId="0" pivotButton="0" quotePrefix="0" xfId="0"/>
    <xf numFmtId="0" fontId="76" fillId="17" borderId="0" pivotButton="0" quotePrefix="0" xfId="0"/>
    <xf numFmtId="0" fontId="74" fillId="17" borderId="0" pivotButton="0" quotePrefix="0" xfId="0"/>
    <xf numFmtId="0" fontId="86" fillId="19" borderId="0" applyAlignment="1" pivotButton="0" quotePrefix="0" xfId="0">
      <alignment horizontal="center" vertical="center" wrapText="1"/>
    </xf>
    <xf numFmtId="164" fontId="52" fillId="0" borderId="0" pivotButton="0" quotePrefix="0" xfId="0"/>
    <xf numFmtId="1" fontId="52" fillId="15" borderId="0" applyProtection="1" pivotButton="0" quotePrefix="0" xfId="0">
      <protection locked="0" hidden="0"/>
    </xf>
    <xf numFmtId="164" fontId="59" fillId="3" borderId="0" pivotButton="0" quotePrefix="0" xfId="0"/>
    <xf numFmtId="0" fontId="85" fillId="0" borderId="0" pivotButton="0" quotePrefix="0" xfId="0"/>
    <xf numFmtId="0" fontId="94" fillId="13" borderId="81" applyAlignment="1" pivotButton="0" quotePrefix="0" xfId="0">
      <alignment horizontal="center" vertical="center"/>
    </xf>
    <xf numFmtId="0" fontId="62" fillId="0" borderId="70" pivotButton="0" quotePrefix="0" xfId="0"/>
    <xf numFmtId="0" fontId="62" fillId="0" borderId="75" pivotButton="0" quotePrefix="0" xfId="0"/>
    <xf numFmtId="9" fontId="95" fillId="3" borderId="80" applyAlignment="1" pivotButton="0" quotePrefix="0" xfId="0">
      <alignment horizontal="center" vertical="center"/>
    </xf>
    <xf numFmtId="9" fontId="74" fillId="0" borderId="0" pivotButton="0" quotePrefix="0" xfId="0"/>
    <xf numFmtId="0" fontId="62" fillId="0" borderId="71" pivotButton="0" quotePrefix="0" xfId="0"/>
    <xf numFmtId="0" fontId="74" fillId="13" borderId="8" pivotButton="0" quotePrefix="0" xfId="0"/>
    <xf numFmtId="0" fontId="74" fillId="13" borderId="8" applyAlignment="1" pivotButton="0" quotePrefix="0" xfId="0">
      <alignment horizontal="center"/>
    </xf>
    <xf numFmtId="0" fontId="52" fillId="15" borderId="8" applyProtection="1" pivotButton="0" quotePrefix="0" xfId="0">
      <protection locked="0" hidden="0"/>
    </xf>
    <xf numFmtId="0" fontId="52" fillId="15" borderId="8" applyAlignment="1" applyProtection="1" pivotButton="0" quotePrefix="0" xfId="0">
      <alignment horizontal="center"/>
      <protection locked="0" hidden="0"/>
    </xf>
    <xf numFmtId="9" fontId="52" fillId="15" borderId="8" pivotButton="0" quotePrefix="0" xfId="0"/>
    <xf numFmtId="0" fontId="85" fillId="12" borderId="0" pivotButton="0" quotePrefix="0" xfId="0"/>
    <xf numFmtId="0" fontId="109" fillId="18" borderId="0" applyAlignment="1" pivotButton="0" quotePrefix="0" xfId="0">
      <alignment horizontal="left" vertical="center" indent="1"/>
    </xf>
    <xf numFmtId="0" fontId="103" fillId="20" borderId="0" applyAlignment="1" pivotButton="0" quotePrefix="0" xfId="0">
      <alignment horizontal="left" vertical="center" indent="1"/>
    </xf>
    <xf numFmtId="0" fontId="52" fillId="16" borderId="82" applyAlignment="1" applyProtection="1" pivotButton="0" quotePrefix="0" xfId="0">
      <alignment horizontal="left" vertical="top" wrapText="1" indent="1"/>
      <protection locked="0" hidden="0"/>
    </xf>
    <xf numFmtId="0" fontId="0" fillId="16" borderId="82" pivotButton="0" quotePrefix="0" xfId="0"/>
    <xf numFmtId="0" fontId="114" fillId="18" borderId="0" applyAlignment="1" pivotButton="0" quotePrefix="0" xfId="0">
      <alignment horizontal="left" vertical="center" indent="1"/>
    </xf>
    <xf numFmtId="0" fontId="59" fillId="24" borderId="0" applyAlignment="1" pivotButton="0" quotePrefix="0" xfId="0">
      <alignment horizontal="left" vertical="center" wrapText="1" indent="1"/>
    </xf>
    <xf numFmtId="0" fontId="0" fillId="24" borderId="0" pivotButton="0" quotePrefix="0" xfId="0"/>
    <xf numFmtId="166" fontId="52" fillId="15" borderId="10" applyProtection="1" pivotButton="0" quotePrefix="1" xfId="0">
      <protection locked="0" hidden="0"/>
    </xf>
    <xf numFmtId="0" fontId="72" fillId="0" borderId="6" applyAlignment="1" pivotButton="0" quotePrefix="0" xfId="0">
      <alignment horizontal="right" vertical="center"/>
    </xf>
    <xf numFmtId="166" fontId="52" fillId="15" borderId="10" pivotButton="0" quotePrefix="1" xfId="0"/>
    <xf numFmtId="0" fontId="52" fillId="15" borderId="10" applyAlignment="1" pivotButton="0" quotePrefix="0" xfId="0">
      <alignment horizontal="right"/>
    </xf>
    <xf numFmtId="166" fontId="52" fillId="15" borderId="10" pivotButton="0" quotePrefix="0" xfId="0"/>
    <xf numFmtId="0" fontId="52" fillId="15" borderId="11" applyAlignment="1" pivotButton="0" quotePrefix="0" xfId="0">
      <alignment horizontal="right"/>
    </xf>
    <xf numFmtId="164" fontId="52" fillId="15" borderId="0" pivotButton="0" quotePrefix="0" xfId="0"/>
    <xf numFmtId="0" fontId="53" fillId="15" borderId="34" applyAlignment="1" pivotButton="0" quotePrefix="0" xfId="0">
      <alignment horizontal="center"/>
    </xf>
    <xf numFmtId="0" fontId="53" fillId="15" borderId="47" applyAlignment="1" pivotButton="0" quotePrefix="0" xfId="0">
      <alignment horizontal="center"/>
    </xf>
    <xf numFmtId="0" fontId="80" fillId="15" borderId="47" applyAlignment="1" pivotButton="0" quotePrefix="0" xfId="0">
      <alignment horizontal="center"/>
    </xf>
    <xf numFmtId="0" fontId="53" fillId="15" borderId="54" applyAlignment="1" pivotButton="0" quotePrefix="0" xfId="0">
      <alignment horizontal="center"/>
    </xf>
    <xf numFmtId="0" fontId="53" fillId="15" borderId="61" applyAlignment="1" pivotButton="0" quotePrefix="0" xfId="0">
      <alignment horizontal="center"/>
    </xf>
    <xf numFmtId="0" fontId="53" fillId="15" borderId="68" applyAlignment="1" pivotButton="0" quotePrefix="0" xfId="0">
      <alignment horizontal="center"/>
    </xf>
    <xf numFmtId="0" fontId="59" fillId="0" borderId="0" applyAlignment="1" pivotButton="0" quotePrefix="0" xfId="0">
      <alignment wrapText="1"/>
    </xf>
    <xf numFmtId="0" fontId="96" fillId="13" borderId="0" applyAlignment="1" pivotButton="0" quotePrefix="0" xfId="0">
      <alignment horizontal="left" vertical="center" wrapText="1" indent="1"/>
    </xf>
    <xf numFmtId="0" fontId="96" fillId="14" borderId="0" applyAlignment="1" pivotButton="0" quotePrefix="0" xfId="0">
      <alignment horizontal="left" vertical="center" wrapText="1" indent="1"/>
    </xf>
    <xf numFmtId="0" fontId="96" fillId="17" borderId="0" applyAlignment="1" pivotButton="0" quotePrefix="0" xfId="0">
      <alignment horizontal="left" vertical="center" wrapText="1" indent="1"/>
    </xf>
    <xf numFmtId="0" fontId="96" fillId="15" borderId="0" applyAlignment="1" pivotButton="0" quotePrefix="0" xfId="0">
      <alignment horizontal="left" vertical="center" wrapText="1" indent="1"/>
    </xf>
    <xf numFmtId="0" fontId="96" fillId="18" borderId="0" applyAlignment="1" pivotButton="0" quotePrefix="0" xfId="0">
      <alignment horizontal="left" vertical="center" wrapText="1" indent="1"/>
    </xf>
    <xf numFmtId="0" fontId="115" fillId="17" borderId="0" applyAlignment="1" pivotButton="0" quotePrefix="0" xfId="0">
      <alignment horizontal="left" vertical="center" wrapText="1" indent="1"/>
    </xf>
    <xf numFmtId="0" fontId="98" fillId="14" borderId="0" applyAlignment="1" pivotButton="0" quotePrefix="0" xfId="0">
      <alignment horizontal="left" vertical="center" indent="1"/>
    </xf>
    <xf numFmtId="0" fontId="62" fillId="0" borderId="0" applyProtection="1" pivotButton="0" quotePrefix="0" xfId="0">
      <protection locked="0" hidden="0"/>
    </xf>
    <xf numFmtId="0" fontId="99" fillId="16" borderId="0" applyAlignment="1" pivotButton="0" quotePrefix="0" xfId="0">
      <alignment horizontal="left" vertical="center" indent="1"/>
    </xf>
  </cellXfs>
  <cellStyles count="1">
    <cellStyle name="Standaard" xfId="0" builtinId="0"/>
  </cellStyles>
  <dxfs count="72">
    <dxf>
      <font>
        <b val="1"/>
        <color rgb="FF3B3733"/>
      </font>
      <fill>
        <patternFill patternType="solid">
          <fgColor indexed="64"/>
          <bgColor rgb="FFD6E8D6"/>
        </patternFill>
      </fill>
    </dxf>
    <dxf>
      <font>
        <b val="1"/>
        <color rgb="FF3B3733"/>
      </font>
      <fill>
        <patternFill patternType="solid">
          <fgColor indexed="64"/>
          <bgColor rgb="FFCFE2ED"/>
        </patternFill>
      </fill>
    </dxf>
    <dxf>
      <font>
        <b val="1"/>
        <color rgb="FF3B3733"/>
      </font>
      <fill>
        <patternFill patternType="solid">
          <fgColor indexed="64"/>
          <bgColor rgb="FFCFE2ED"/>
        </patternFill>
      </fill>
    </dxf>
    <dxf>
      <font>
        <b val="1"/>
        <color rgb="FF3B3733"/>
      </font>
      <fill>
        <patternFill patternType="solid">
          <fgColor indexed="64"/>
          <bgColor rgb="FFCFE2ED"/>
        </patternFill>
      </fill>
    </dxf>
    <dxf>
      <font>
        <b val="1"/>
        <color rgb="FF3B3733"/>
      </font>
      <fill>
        <patternFill patternType="solid">
          <fgColor indexed="64"/>
          <bgColor rgb="FFCFE2ED"/>
        </patternFill>
      </fill>
    </dxf>
    <dxf>
      <font>
        <b val="1"/>
        <color rgb="FF3B3733"/>
      </font>
      <fill>
        <patternFill patternType="solid">
          <fgColor indexed="64"/>
          <bgColor rgb="FFCFE2ED"/>
        </patternFill>
      </fill>
    </dxf>
    <dxf>
      <font>
        <b val="1"/>
        <color rgb="FF3B3733"/>
      </font>
      <fill>
        <patternFill patternType="solid">
          <fgColor indexed="64"/>
          <bgColor rgb="FFCFE2ED"/>
        </patternFill>
      </fill>
    </dxf>
    <dxf>
      <font>
        <b val="1"/>
        <color rgb="FF8A3B4D"/>
      </font>
      <fill>
        <patternFill patternType="solid">
          <fgColor indexed="64"/>
          <bgColor rgb="FFF5D6DC"/>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8A3B4D"/>
      </font>
      <fill>
        <patternFill patternType="solid">
          <fgColor indexed="64"/>
          <bgColor rgb="FFF5D6DC"/>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ont>
        <b val="1"/>
        <color rgb="FFFF0000"/>
      </font>
      <fill>
        <patternFill patternType="solid">
          <fgColor indexed="64"/>
          <bgColor rgb="FFF0A8A0"/>
        </patternFill>
      </fill>
    </dxf>
    <dxf>
      <fill>
        <patternFill patternType="solid">
          <fgColor indexed="64"/>
          <bgColor rgb="FFFBF9F6"/>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ont>
        <b val="1"/>
        <color rgb="FFFFFFFF"/>
      </font>
      <fill>
        <patternFill patternType="solid">
          <fgColor indexed="64"/>
          <bgColor rgb="FF3B3733"/>
        </patternFill>
      </fill>
    </dxf>
    <dxf>
      <font>
        <name val="Calibri"/>
        <color rgb="FF3B3733"/>
      </font>
      <fill>
        <patternFill patternType="solid">
          <fgColor indexed="64"/>
          <bgColor rgb="FFF5EBD2"/>
        </patternFill>
      </fill>
      <protection locked="0" hidden="0"/>
    </dxf>
    <dxf>
      <font>
        <name val="Calibri"/>
        <i val="1"/>
        <color rgb="FF3B3733"/>
      </font>
      <fill>
        <patternFill patternType="solid">
          <fgColor indexed="64"/>
          <bgColor rgb="FFFFFFFF"/>
        </patternFill>
      </fill>
    </dxf>
    <dxf>
      <font>
        <name val="Calibri"/>
        <i val="1"/>
        <color rgb="FF3B3733"/>
      </font>
      <fill>
        <patternFill patternType="solid">
          <fgColor indexed="64"/>
          <bgColor rgb="FFFFFFFF"/>
        </patternFill>
      </fill>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color rgb="FF3B3733"/>
      </font>
    </dxf>
    <dxf>
      <font>
        <name val="Calibri"/>
        <b val="1"/>
        <color rgb="FFFFFFFF"/>
      </font>
      <fill>
        <patternFill patternType="solid">
          <fgColor indexed="64"/>
          <bgColor rgb="FF3B3733"/>
        </patternFill>
      </fill>
    </dxf>
    <dxf>
      <font>
        <name val="Calibri"/>
        <color rgb="FF3B3733"/>
      </font>
      <fill>
        <patternFill patternType="solid">
          <fgColor indexed="64"/>
          <bgColor rgb="FFF5EBD2"/>
        </patternFill>
      </fill>
      <protection locked="0" hidden="0"/>
    </dxf>
    <dxf>
      <font>
        <name val="Calibri"/>
        <color rgb="FF3B3733"/>
      </font>
      <fill>
        <patternFill patternType="solid">
          <fgColor indexed="64"/>
          <bgColor rgb="FFF5EBD2"/>
        </patternFill>
      </fill>
      <protection locked="0" hidden="0"/>
    </dxf>
    <dxf>
      <font>
        <name val="Calibri"/>
        <i val="1"/>
        <color rgb="FF3B3733"/>
      </font>
      <fill>
        <patternFill patternType="solid">
          <fgColor indexed="64"/>
          <bgColor rgb="FFFFFFFF"/>
        </patternFill>
      </fill>
    </dxf>
    <dxf>
      <font>
        <name val="Calibri"/>
        <color rgb="FF3B3733"/>
      </font>
      <fill>
        <patternFill patternType="solid">
          <fgColor indexed="64"/>
          <bgColor rgb="FFF5EBD2"/>
        </patternFill>
      </fill>
      <protection locked="0" hidden="0"/>
    </dxf>
    <dxf>
      <font>
        <name val="Calibri"/>
        <color rgb="FF3B3733"/>
      </font>
      <numFmt numFmtId="164" formatCode="mm/dd/yyyy"/>
      <fill>
        <patternFill patternType="solid">
          <fgColor indexed="64"/>
          <bgColor rgb="FFF5EBD2"/>
        </patternFill>
      </fill>
      <protection locked="0" hidden="0"/>
    </dxf>
    <dxf>
      <font>
        <name val="Calibri"/>
        <color rgb="FF3B3733"/>
      </font>
    </dxf>
    <dxf>
      <font>
        <name val="Calibri"/>
        <b val="1"/>
        <color rgb="FFFFFFFF"/>
      </font>
      <fill>
        <patternFill patternType="solid">
          <fgColor indexed="64"/>
          <bgColor rgb="FF3B3733"/>
        </patternFill>
      </fill>
    </dxf>
    <dxf>
      <fill>
        <patternFill patternType="solid">
          <fgColor rgb="FFFBF2DA"/>
          <bgColor rgb="FFFBF2DA"/>
        </patternFill>
      </fill>
    </dxf>
    <dxf>
      <fill>
        <patternFill patternType="solid">
          <fgColor rgb="FFE9F2F7"/>
          <bgColor rgb="FFE9F2F7"/>
        </patternFill>
      </fill>
    </dxf>
    <dxf>
      <fill>
        <patternFill patternType="solid">
          <fgColor rgb="FFF0EBF7"/>
          <bgColor rgb="FFF0EBF7"/>
        </patternFill>
      </fill>
    </dxf>
    <dxf>
      <fill>
        <patternFill patternType="solid">
          <fgColor rgb="FFFBE7E9"/>
          <bgColor rgb="FFFBE7E9"/>
        </patternFill>
      </fill>
    </dxf>
    <dxf>
      <fill>
        <patternFill patternType="solid">
          <fgColor rgb="FFE7EFE4"/>
          <bgColor rgb="FFE7EFE4"/>
        </patternFill>
      </fill>
    </dxf>
    <dxf>
      <fill>
        <patternFill patternType="solid">
          <fgColor rgb="FFF0EEEA"/>
          <bgColor rgb="FFF0EEEA"/>
        </patternFill>
      </fill>
    </dxf>
    <dxf>
      <fill>
        <patternFill patternType="solid">
          <fgColor rgb="FFC8D8C4"/>
          <bgColor rgb="FFC8D8C4"/>
        </patternFill>
      </fill>
    </dxf>
    <dxf>
      <fill>
        <patternFill patternType="solid">
          <fgColor rgb="FFC9DDE8"/>
          <bgColor rgb="FFC9DDE8"/>
        </patternFill>
      </fill>
    </dxf>
    <dxf>
      <fill>
        <patternFill patternType="solid">
          <fgColor rgb="FFF5E3B3"/>
          <bgColor rgb="FFF5E3B3"/>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SPENDING SNAPSHOT</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doughnutChart>
        <varyColors val="1"/>
        <ser>
          <idx val="0"/>
          <order val="0"/>
          <spPr>
            <a:ln>
              <a:prstDash val="solid"/>
            </a:ln>
          </spPr>
          <dPt>
            <idx val="0"/>
            <bubble3D val="0"/>
            <spPr>
              <a:solidFill>
                <a:srgbClr val="A9C9A9"/>
              </a:solidFill>
              <a:ln w="19050">
                <a:solidFill>
                  <a:schemeClr val="lt1"/>
                </a:solidFill>
                <a:prstDash val="solid"/>
              </a:ln>
            </spPr>
          </dPt>
          <dPt>
            <idx val="1"/>
            <bubble3D val="0"/>
            <spPr>
              <a:solidFill>
                <a:srgbClr val="EFE9DD"/>
              </a:solidFill>
              <a:ln w="19050">
                <a:solidFill>
                  <a:schemeClr val="lt1"/>
                </a:solidFill>
                <a:prstDash val="solid"/>
              </a:ln>
            </spPr>
          </dPt>
          <cat>
            <strRef>
              <f>'Flexible Income Budget'!$N$4:$N$5</f>
              <strCache>
                <ptCount val="2"/>
                <pt idx="0">
                  <v>Left to Spend</v>
                </pt>
                <pt idx="1">
                  <v>Spent</v>
                </pt>
              </strCache>
            </strRef>
          </cat>
          <val>
            <numRef>
              <f>'Flexible Income Budget'!$O$4:$O$5</f>
              <numCache>
                <formatCode>[$$-409]#,##0.00;\([$$-409]#,##0.00\);"-"</formatCode>
                <ptCount val="2"/>
                <pt idx="0">
                  <v>0</v>
                </pt>
                <pt idx="1">
                  <v>0</v>
                </pt>
              </numCache>
            </numRef>
          </val>
        </ser>
        <dLbls>
          <showLegendKey val="0"/>
          <showVal val="0"/>
          <showCatName val="0"/>
          <showSerName val="0"/>
          <showPercent val="0"/>
          <showBubbleSize val="0"/>
          <showLeaderLines val="1"/>
        </dLbls>
        <firstSliceAng val="0"/>
        <holeSize val="75"/>
      </doughnut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ALLOCATION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pieChart>
        <varyColors val="1"/>
        <ser>
          <idx val="0"/>
          <order val="0"/>
          <spPr>
            <a:ln>
              <a:prstDash val="solid"/>
            </a:ln>
          </spPr>
          <dPt>
            <idx val="0"/>
            <bubble3D val="0"/>
            <spPr>
              <a:solidFill>
                <a:srgbClr val="9FC3D6"/>
              </a:solidFill>
              <a:ln w="19050">
                <a:solidFill>
                  <a:schemeClr val="lt1"/>
                </a:solidFill>
                <a:prstDash val="solid"/>
              </a:ln>
            </spPr>
          </dPt>
          <dPt>
            <idx val="1"/>
            <bubble3D val="0"/>
            <spPr>
              <a:solidFill>
                <a:srgbClr val="E8AFC0"/>
              </a:solidFill>
              <a:ln w="19050">
                <a:solidFill>
                  <a:schemeClr val="lt1"/>
                </a:solidFill>
                <a:prstDash val="solid"/>
              </a:ln>
            </spPr>
          </dPt>
          <dPt>
            <idx val="2"/>
            <bubble3D val="0"/>
            <spPr>
              <a:solidFill>
                <a:srgbClr val="EBD98F"/>
              </a:solidFill>
              <a:ln w="19050">
                <a:solidFill>
                  <a:schemeClr val="lt1"/>
                </a:solidFill>
                <a:prstDash val="solid"/>
              </a:ln>
            </spPr>
          </dPt>
          <dPt>
            <idx val="3"/>
            <bubble3D val="0"/>
            <spPr>
              <a:solidFill>
                <a:srgbClr val="C7B8E8"/>
              </a:solidFill>
              <a:ln w="19050">
                <a:solidFill>
                  <a:schemeClr val="lt1"/>
                </a:solidFill>
                <a:prstDash val="solid"/>
              </a:ln>
            </spPr>
          </dPt>
          <dPt>
            <idx val="4"/>
            <bubble3D val="0"/>
            <spPr>
              <a:solidFill>
                <a:srgbClr val="A9C9A9"/>
              </a:solidFill>
              <a:ln w="19050">
                <a:solidFill>
                  <a:schemeClr val="lt1"/>
                </a:solidFill>
                <a:prstDash val="solid"/>
              </a:ln>
            </spPr>
          </dPt>
          <cat>
            <strRef>
              <f>'Flexible Income Budget'!$N$8:$N$12</f>
              <strCache>
                <ptCount val="5"/>
                <pt idx="0">
                  <v>Bills</v>
                </pt>
                <pt idx="1">
                  <v>Expenses</v>
                </pt>
                <pt idx="2">
                  <v>Savings</v>
                </pt>
                <pt idx="3">
                  <v>Debt</v>
                </pt>
                <pt idx="4">
                  <v>Left to Spend</v>
                </pt>
              </strCache>
            </strRef>
          </cat>
          <val>
            <numRef>
              <f>'Flexible Income Budget'!$O$8:$O$12</f>
              <numCache>
                <formatCode>[$$-409]#,##0.00;\([$$-409]#,##0.00\);"-"</formatCode>
                <ptCount val="5"/>
                <pt idx="0">
                  <v>0</v>
                </pt>
                <pt idx="1">
                  <v>0</v>
                </pt>
                <pt idx="2">
                  <v>0</v>
                </pt>
                <pt idx="3">
                  <v>0</v>
                </pt>
                <pt idx="4">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EXPENSE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bar"/>
        <grouping val="clustered"/>
        <varyColors val="0"/>
        <ser>
          <idx val="0"/>
          <order val="0"/>
          <tx>
            <strRef>
              <f>'Flexible Income Budget'!$O$15</f>
              <strCache>
                <ptCount val="1"/>
                <pt idx="0">
                  <v>Actual</v>
                </pt>
              </strCache>
            </strRef>
          </tx>
          <spPr>
            <a:solidFill>
              <a:srgbClr val="E8AFC0"/>
            </a:solidFill>
            <a:ln>
              <a:noFill/>
              <a:prstDash val="solid"/>
            </a:ln>
          </spPr>
          <invertIfNegative val="0"/>
          <cat>
            <strRef>
              <f>'Flexible Income Budget'!$N$16:$N$23</f>
              <strCache>
                <ptCount val="8"/>
                <pt idx="0">
                  <v>Groceries</v>
                </pt>
                <pt idx="1">
                  <v>Dining Out</v>
                </pt>
                <pt idx="2">
                  <v>Transportation</v>
                </pt>
                <pt idx="3">
                  <v>Entertainment</v>
                </pt>
                <pt idx="4">
                  <v>Shopping</v>
                </pt>
                <pt idx="5">
                  <v>Personal Care</v>
                </pt>
                <pt idx="6">
                  <v>Household Supplies</v>
                </pt>
                <pt idx="7">
                  <v>Miscellaneous</v>
                </pt>
              </strCache>
            </strRef>
          </cat>
          <val>
            <numRef>
              <f>'Flexible Income Budget'!$O$16:$O$23</f>
              <numCache>
                <formatCode>[$$-409]#,##0.00;\([$$-409]#,##0.00\);"-"</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82"/>
        <axId val="517906984"/>
        <axId val="517905904"/>
      </barChart>
      <catAx>
        <axId val="51790698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5904"/>
        <crosses val="autoZero"/>
        <auto val="1"/>
        <lblAlgn val="ctr"/>
        <lblOffset val="100"/>
        <noMultiLvlLbl val="0"/>
      </catAx>
      <valAx>
        <axId val="517905904"/>
        <scaling>
          <orientation val="minMax"/>
          <min val="0"/>
        </scaling>
        <delete val="0"/>
        <axPos val="b"/>
        <majorGridlines>
          <spPr>
            <a:ln w="9525" cap="flat" cmpd="sng" algn="ctr">
              <a:solidFill>
                <a:schemeClr val="tx1">
                  <a:lumMod val="15000"/>
                  <a:lumOff val="85000"/>
                </a:schemeClr>
              </a:solidFill>
              <a:prstDash val="solid"/>
              <a:round/>
            </a:ln>
          </spPr>
        </majorGridlines>
        <numFmt formatCode="[$$-409]#,##0.00;\([$$-409]#,##0.00\);&quot;-&quot;"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6984"/>
        <crosses val="autoZero"/>
        <crossBetween val="between"/>
      </valAx>
    </plotArea>
    <plotVisOnly val="0"/>
    <dispBlanksAs val="gap"/>
  </chart>
  <spPr>
    <a:noFill/>
    <a:ln w="12700" cap="flat" cmpd="sng" algn="ctr">
      <a:solidFill>
        <a:srgbClr val="D8D3CC"/>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BUDGET VS ACTUAL</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col"/>
        <grouping val="clustered"/>
        <varyColors val="0"/>
        <ser>
          <idx val="0"/>
          <order val="0"/>
          <tx>
            <strRef>
              <f>'Flexible Income Budget'!$O$26</f>
              <strCache>
                <ptCount val="1"/>
                <pt idx="0">
                  <v>Budget</v>
                </pt>
              </strCache>
            </strRef>
          </tx>
          <spPr>
            <a:solidFill>
              <a:srgbClr val="D8D3CC"/>
            </a:solidFill>
            <a:ln>
              <a:noFill/>
              <a:prstDash val="solid"/>
            </a:ln>
          </spPr>
          <invertIfNegative val="0"/>
          <cat>
            <strRef>
              <f>'Flexible Income Budget'!$N$27:$N$31</f>
              <strCache>
                <ptCount val="5"/>
                <pt idx="0">
                  <v>Income</v>
                </pt>
                <pt idx="1">
                  <v>Bills</v>
                </pt>
                <pt idx="2">
                  <v>Expenses</v>
                </pt>
                <pt idx="3">
                  <v>Savings</v>
                </pt>
                <pt idx="4">
                  <v>Debt</v>
                </pt>
              </strCache>
            </strRef>
          </cat>
          <val>
            <numRef>
              <f>'Flexible Income Budget'!$O$27:$O$31</f>
              <numCache>
                <formatCode>General</formatCode>
                <ptCount val="5"/>
                <pt idx="0">
                  <v>0</v>
                </pt>
                <pt idx="1">
                  <v>0</v>
                </pt>
                <pt idx="2">
                  <v>0</v>
                </pt>
                <pt idx="3">
                  <v>0</v>
                </pt>
                <pt idx="4">
                  <v>0</v>
                </pt>
              </numCache>
            </numRef>
          </val>
        </ser>
        <ser>
          <idx val="1"/>
          <order val="1"/>
          <tx>
            <strRef>
              <f>'Flexible Income Budget'!$P$26</f>
              <strCache>
                <ptCount val="1"/>
                <pt idx="0">
                  <v>Actual</v>
                </pt>
              </strCache>
            </strRef>
          </tx>
          <spPr>
            <a:solidFill>
              <a:srgbClr val="F5D6DC"/>
            </a:solidFill>
            <a:ln>
              <a:noFill/>
              <a:prstDash val="solid"/>
            </a:ln>
          </spPr>
          <invertIfNegative val="0"/>
          <dPt>
            <idx val="0"/>
            <invertIfNegative val="0"/>
            <bubble3D val="0"/>
            <spPr>
              <a:solidFill>
                <a:srgbClr val="A9C9A9"/>
              </a:solidFill>
              <a:ln>
                <a:noFill/>
                <a:prstDash val="solid"/>
              </a:ln>
            </spPr>
          </dPt>
          <dPt>
            <idx val="1"/>
            <invertIfNegative val="0"/>
            <bubble3D val="0"/>
            <spPr>
              <a:solidFill>
                <a:srgbClr val="9FC3D6"/>
              </a:solidFill>
              <a:ln>
                <a:noFill/>
                <a:prstDash val="solid"/>
              </a:ln>
            </spPr>
          </dPt>
          <dPt>
            <idx val="2"/>
            <invertIfNegative val="0"/>
            <bubble3D val="0"/>
            <spPr>
              <a:solidFill>
                <a:srgbClr val="E8AFC0"/>
              </a:solidFill>
              <a:ln>
                <a:noFill/>
                <a:prstDash val="solid"/>
              </a:ln>
            </spPr>
          </dPt>
          <dPt>
            <idx val="3"/>
            <invertIfNegative val="0"/>
            <bubble3D val="0"/>
            <spPr>
              <a:solidFill>
                <a:srgbClr val="EBD98F"/>
              </a:solidFill>
              <a:ln>
                <a:noFill/>
                <a:prstDash val="solid"/>
              </a:ln>
            </spPr>
          </dPt>
          <dPt>
            <idx val="4"/>
            <invertIfNegative val="0"/>
            <bubble3D val="0"/>
            <spPr>
              <a:solidFill>
                <a:srgbClr val="C7B8E8"/>
              </a:solidFill>
              <a:ln>
                <a:noFill/>
                <a:prstDash val="solid"/>
              </a:ln>
            </spPr>
          </dPt>
          <cat>
            <strRef>
              <f>'Flexible Income Budget'!$N$27:$N$31</f>
              <strCache>
                <ptCount val="5"/>
                <pt idx="0">
                  <v>Income</v>
                </pt>
                <pt idx="1">
                  <v>Bills</v>
                </pt>
                <pt idx="2">
                  <v>Expenses</v>
                </pt>
                <pt idx="3">
                  <v>Savings</v>
                </pt>
                <pt idx="4">
                  <v>Debt</v>
                </pt>
              </strCache>
            </strRef>
          </cat>
          <val>
            <numRef>
              <f>'Flexible Income Budget'!$P$27:$P$31</f>
              <numCache>
                <formatCode>General</formatCode>
                <ptCount val="5"/>
                <pt idx="0">
                  <v>0</v>
                </pt>
                <pt idx="1">
                  <v>0</v>
                </pt>
                <pt idx="2">
                  <v>0</v>
                </pt>
                <pt idx="3">
                  <v>0</v>
                </pt>
                <pt idx="4">
                  <v>0</v>
                </pt>
              </numCache>
            </numRef>
          </val>
        </ser>
        <dLbls>
          <showLegendKey val="0"/>
          <showVal val="0"/>
          <showCatName val="0"/>
          <showSerName val="0"/>
          <showPercent val="0"/>
          <showBubbleSize val="0"/>
        </dLbls>
        <gapWidth val="219"/>
        <overlap val="-27"/>
        <axId val="808780360"/>
        <axId val="808773520"/>
      </barChart>
      <catAx>
        <axId val="80878036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08773520"/>
        <crosses val="autoZero"/>
        <auto val="1"/>
        <lblAlgn val="ctr"/>
        <lblOffset val="100"/>
        <noMultiLvlLbl val="0"/>
      </catAx>
      <valAx>
        <axId val="808773520"/>
        <scaling>
          <orientation val="minMax"/>
          <min val="0"/>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08780360"/>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rPr lang="en-US"/>
              <a:t>SAVINGS GOALS PROGRESS</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t/>
          </a:r>
          <a:endParaRPr lang="nl-NL"/>
        </a:p>
      </txPr>
    </title>
    <plotArea>
      <layout/>
      <barChart>
        <barDir val="bar"/>
        <grouping val="clustered"/>
        <varyColors val="0"/>
        <ser>
          <idx val="0"/>
          <order val="0"/>
          <spPr>
            <a:solidFill>
              <a:srgbClr val="EBD98F"/>
            </a:solidFill>
            <a:ln>
              <a:noFill/>
              <a:prstDash val="solid"/>
            </a:ln>
          </spPr>
          <invertIfNegative val="0"/>
          <cat>
            <strRef>
              <f>'Savings &amp; Debt Goal Tracker'!$A$6:$A$13</f>
              <strCache>
                <ptCount val="5"/>
                <pt idx="0">
                  <v>Emergency Fund</v>
                </pt>
                <pt idx="1">
                  <v>Vacation Fund</v>
                </pt>
                <pt idx="2">
                  <v>Holiday Fund</v>
                </pt>
                <pt idx="3">
                  <v>Retirement Savings</v>
                </pt>
                <pt idx="4">
                  <v>General Savings</v>
                </pt>
              </strCache>
            </strRef>
          </cat>
          <val>
            <numRef>
              <f>'Savings &amp; Debt Goal Tracker'!$G$6:$G$13</f>
              <numCache>
                <formatCode>0%</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82"/>
        <axId val="839526760"/>
        <axId val="839527840"/>
      </barChart>
      <catAx>
        <axId val="8395267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39527840"/>
        <crosses val="autoZero"/>
        <auto val="1"/>
        <lblAlgn val="ctr"/>
        <lblOffset val="100"/>
        <noMultiLvlLbl val="0"/>
      </catAx>
      <valAx>
        <axId val="839527840"/>
        <scaling>
          <orientation val="minMax"/>
        </scaling>
        <delete val="0"/>
        <axPos val="b"/>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39526760"/>
        <crosses val="autoZero"/>
        <crossBetween val="between"/>
      </valAx>
    </plotArea>
    <plotVisOnly val="0"/>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rPr lang="en-US"/>
              <a:t>DEBT PAYOFF PROGRESS</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t/>
          </a:r>
          <a:endParaRPr lang="nl-NL"/>
        </a:p>
      </txPr>
    </title>
    <plotArea>
      <layout/>
      <barChart>
        <barDir val="bar"/>
        <grouping val="clustered"/>
        <varyColors val="0"/>
        <ser>
          <idx val="0"/>
          <order val="0"/>
          <spPr>
            <a:solidFill>
              <a:srgbClr val="C7B8E8"/>
            </a:solidFill>
            <a:ln>
              <a:noFill/>
              <a:prstDash val="solid"/>
            </a:ln>
          </spPr>
          <invertIfNegative val="0"/>
          <cat>
            <strRef>
              <f>'Savings &amp; Debt Goal Tracker'!$A$17:$A$24</f>
              <strCache>
                <ptCount val="4"/>
                <pt idx="0">
                  <v>Credit Card</v>
                </pt>
                <pt idx="1">
                  <v>Student Loan</v>
                </pt>
                <pt idx="2">
                  <v>Personal Loan</v>
                </pt>
                <pt idx="3">
                  <v>Medical Debt</v>
                </pt>
              </strCache>
            </strRef>
          </cat>
          <val>
            <numRef>
              <f>'Savings &amp; Debt Goal Tracker'!$G$17:$G$24</f>
              <numCache>
                <formatCode>0%</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82"/>
        <axId val="839527120"/>
        <axId val="839527480"/>
      </barChart>
      <catAx>
        <axId val="83952712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39527480"/>
        <crosses val="autoZero"/>
        <auto val="1"/>
        <lblAlgn val="ctr"/>
        <lblOffset val="100"/>
        <noMultiLvlLbl val="0"/>
      </catAx>
      <valAx>
        <axId val="839527480"/>
        <scaling>
          <orientation val="minMax"/>
        </scaling>
        <delete val="0"/>
        <axPos val="b"/>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39527120"/>
        <crosses val="autoZero"/>
        <crossBetween val="between"/>
      </valAx>
    </plotArea>
    <plotVisOnly val="0"/>
    <dispBlanksAs val="gap"/>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300" b="0" i="0" strike="noStrike" kern="1200" spc="0" baseline="0">
                <a:solidFill>
                  <a:srgbClr val="3B3733"/>
                </a:solidFill>
                <a:latin typeface="Georgia"/>
                <a:ea typeface="Georgia"/>
                <a:cs typeface="Georgia"/>
              </a:defRPr>
            </a:pPr>
            <a:r>
              <a:rPr lang="en-US"/>
              <a:t>Subscription Overview</a:t>
            </a:r>
          </a:p>
        </rich>
      </tx>
      <overlay val="0"/>
      <spPr>
        <a:noFill/>
        <a:ln>
          <a:noFill/>
          <a:prstDash val="solid"/>
        </a:ln>
      </spPr>
      <txPr>
        <a:bodyPr rot="0" spcFirstLastPara="1" vertOverflow="ellipsis" vert="horz" wrap="square" anchor="ctr" anchorCtr="1"/>
        <a:lstStyle/>
        <a:p>
          <a:pPr>
            <a:defRPr sz="1300" b="0" i="0" strike="noStrike" kern="1200" spc="0" baseline="0">
              <a:solidFill>
                <a:srgbClr val="3B3733"/>
              </a:solidFill>
              <a:latin typeface="Georgia"/>
              <a:ea typeface="Georgia"/>
              <a:cs typeface="Georgia"/>
            </a:defRPr>
          </a:pPr>
          <a:r>
            <a:t/>
          </a:r>
          <a:endParaRPr lang="nl-NL"/>
        </a:p>
      </txPr>
    </title>
    <plotArea>
      <layout/>
      <pieChart>
        <varyColors val="1"/>
        <ser>
          <idx val="0"/>
          <order val="0"/>
          <spPr>
            <a:ln>
              <a:prstDash val="solid"/>
            </a:ln>
          </spPr>
          <dPt>
            <idx val="0"/>
            <bubble3D val="0"/>
            <spPr>
              <a:solidFill>
                <a:srgbClr val="F5D6DC"/>
              </a:solidFill>
              <a:ln w="19050">
                <a:solidFill>
                  <a:schemeClr val="lt1"/>
                </a:solidFill>
                <a:prstDash val="solid"/>
              </a:ln>
            </spPr>
          </dPt>
          <dPt>
            <idx val="1"/>
            <bubble3D val="0"/>
            <spPr>
              <a:solidFill>
                <a:srgbClr val="CFE2ED"/>
              </a:solidFill>
              <a:ln w="19050">
                <a:solidFill>
                  <a:schemeClr val="lt1"/>
                </a:solidFill>
                <a:prstDash val="solid"/>
              </a:ln>
            </spPr>
          </dPt>
          <dPt>
            <idx val="2"/>
            <bubble3D val="0"/>
            <spPr>
              <a:solidFill>
                <a:srgbClr val="D6E8D6"/>
              </a:solidFill>
              <a:ln w="19050">
                <a:solidFill>
                  <a:schemeClr val="lt1"/>
                </a:solidFill>
                <a:prstDash val="solid"/>
              </a:ln>
            </spPr>
          </dPt>
          <dPt>
            <idx val="3"/>
            <bubble3D val="0"/>
            <spPr>
              <a:solidFill>
                <a:srgbClr val="F7ECC9"/>
              </a:solidFill>
              <a:ln w="19050">
                <a:solidFill>
                  <a:schemeClr val="lt1"/>
                </a:solidFill>
                <a:prstDash val="solid"/>
              </a:ln>
            </spPr>
          </dPt>
          <dPt>
            <idx val="4"/>
            <bubble3D val="0"/>
            <spPr>
              <a:solidFill>
                <a:srgbClr val="E3DCEF"/>
              </a:solidFill>
              <a:ln w="19050">
                <a:solidFill>
                  <a:schemeClr val="lt1"/>
                </a:solidFill>
                <a:prstDash val="solid"/>
              </a:ln>
            </spPr>
          </dPt>
          <dPt>
            <idx val="5"/>
            <bubble3D val="0"/>
            <spPr>
              <a:solidFill>
                <a:srgbClr val="FBE3D5"/>
              </a:solidFill>
              <a:ln w="19050">
                <a:solidFill>
                  <a:schemeClr val="lt1"/>
                </a:solidFill>
                <a:prstDash val="solid"/>
              </a:ln>
            </spPr>
          </dPt>
          <dPt>
            <idx val="6"/>
            <bubble3D val="0"/>
            <spPr>
              <a:solidFill>
                <a:srgbClr val="D5E8E4"/>
              </a:solidFill>
              <a:ln w="19050">
                <a:solidFill>
                  <a:schemeClr val="lt1"/>
                </a:solidFill>
                <a:prstDash val="solid"/>
              </a:ln>
            </spPr>
          </dPt>
          <dPt>
            <idx val="7"/>
            <bubble3D val="0"/>
            <spPr>
              <a:solidFill>
                <a:srgbClr val="E8D6E0"/>
              </a:solidFill>
              <a:ln w="19050">
                <a:solidFill>
                  <a:schemeClr val="lt1"/>
                </a:solidFill>
                <a:prstDash val="solid"/>
              </a:ln>
            </spPr>
          </dPt>
          <cat>
            <strRef>
              <f>'Subscription Tracker'!$K$6:$K$13</f>
              <strCache>
                <ptCount val="8"/>
                <pt idx="0">
                  <v>Streaming</v>
                </pt>
                <pt idx="1">
                  <v>Software &amp; Apps</v>
                </pt>
                <pt idx="2">
                  <v>Music</v>
                </pt>
                <pt idx="3">
                  <v>News &amp; Reading</v>
                </pt>
                <pt idx="4">
                  <v>Gaming</v>
                </pt>
                <pt idx="5">
                  <v>Fitness &amp; Wellness</v>
                </pt>
                <pt idx="6">
                  <v>Memberships</v>
                </pt>
                <pt idx="7">
                  <v>Other</v>
                </pt>
              </strCache>
            </strRef>
          </cat>
          <val>
            <numRef>
              <f>'Subscription Tracker'!$L$6:$L$13</f>
              <numCache>
                <formatCode>[$$-409]#,##0.00;\([$$-409]#,##0.00\);"-"</formatCode>
                <ptCount val="8"/>
                <pt idx="0">
                  <v>0</v>
                </pt>
                <pt idx="1">
                  <v>0</v>
                </pt>
                <pt idx="2">
                  <v>0</v>
                </pt>
                <pt idx="3">
                  <v>0</v>
                </pt>
                <pt idx="4">
                  <v>0</v>
                </pt>
                <pt idx="5">
                  <v>0</v>
                </pt>
                <pt idx="6">
                  <v>0</v>
                </pt>
                <pt idx="7">
                  <v>0</v>
                </pt>
              </numCache>
            </numRef>
          </val>
        </ser>
        <dLbls>
          <showLegendKey val="0"/>
          <showVal val="0"/>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rPr lang="en-US"/>
              <a:t>Habits Completed per Day</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t/>
          </a:r>
          <a:endParaRPr lang="nl-NL"/>
        </a:p>
      </txPr>
    </title>
    <plotArea>
      <layout/>
      <barChart>
        <barDir val="col"/>
        <grouping val="clustered"/>
        <varyColors val="0"/>
        <ser>
          <idx val="0"/>
          <order val="0"/>
          <tx>
            <strRef>
              <f>'Habit Tracker'!$AI$1</f>
              <strCache>
                <ptCount val="1"/>
              </strCache>
            </strRef>
          </tx>
          <spPr>
            <a:solidFill>
              <a:srgbClr val="9FC3D6"/>
            </a:solidFill>
            <a:ln>
              <a:noFill/>
              <a:prstDash val="solid"/>
            </a:ln>
          </spPr>
          <invertIfNegative val="0"/>
          <cat>
            <numRef>
              <f>'Habit Tracker'!$AJ$2:$AJ$32</f>
              <numCache>
                <formatCode>General</formatCode>
                <ptCount val="31"/>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numCache>
            </numRef>
          </cat>
          <val>
            <numRef>
              <f>'Habit Tracker'!$AI$2:$AI$32</f>
              <numCache>
                <formatCode>General</formatCode>
                <ptCount val="31"/>
              </numCache>
            </numRef>
          </val>
        </ser>
        <dLbls>
          <showLegendKey val="0"/>
          <showVal val="0"/>
          <showCatName val="0"/>
          <showSerName val="0"/>
          <showPercent val="0"/>
          <showBubbleSize val="0"/>
        </dLbls>
        <gapWidth val="219"/>
        <overlap val="-27"/>
        <axId val="726450680"/>
        <axId val="726444560"/>
      </barChart>
      <catAx>
        <axId val="72645068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726444560"/>
        <crosses val="autoZero"/>
        <auto val="1"/>
        <lblAlgn val="ctr"/>
        <lblOffset val="100"/>
        <noMultiLvlLbl val="0"/>
      </catAx>
      <valAx>
        <axId val="726444560"/>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726450680"/>
        <crosses val="autoZero"/>
        <crossBetween val="between"/>
      </valAx>
    </plotArea>
    <plotVisOnly val="0"/>
    <dispBlanksAs val="gap"/>
  </chart>
  <spPr>
    <a:solidFill>
      <a:schemeClr val="bg1"/>
    </a:solidFill>
    <a:ln w="9525" cap="flat" cmpd="sng" algn="ctr">
      <a:solidFill>
        <a:schemeClr val="tx1">
          <a:lumMod val="15000"/>
          <a:lumOff val="85000"/>
        </a:schemeClr>
      </a:solidFill>
      <a:prstDash val="solid"/>
      <a:round/>
    </a:ln>
  </spPr>
</chartSpace>
</file>

<file path=xl/charts/chart9.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rPr lang="en-US"/>
              <a:t>COMPLETION % BY HABIT</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3B3733"/>
              </a:solidFill>
              <a:latin typeface="Georgia"/>
              <a:ea typeface="Georgia"/>
              <a:cs typeface="Georgia"/>
            </a:defRPr>
          </a:pPr>
          <a:r>
            <a:t/>
          </a:r>
          <a:endParaRPr lang="nl-NL"/>
        </a:p>
      </txPr>
    </title>
    <plotArea>
      <layout/>
      <barChart>
        <barDir val="bar"/>
        <grouping val="clustered"/>
        <varyColors val="0"/>
        <ser>
          <idx val="0"/>
          <order val="0"/>
          <spPr>
            <a:solidFill>
              <a:srgbClr val="A9C9A9"/>
            </a:solidFill>
            <a:ln>
              <a:noFill/>
              <a:prstDash val="solid"/>
            </a:ln>
          </spPr>
          <invertIfNegative val="0"/>
          <cat>
            <strRef>
              <f>'Habit Tracker'!$A$9:$A$18</f>
              <strCache>
                <ptCount val="3"/>
                <pt idx="0">
                  <v>Drink Water</v>
                </pt>
                <pt idx="1">
                  <v>Move My Body</v>
                </pt>
                <pt idx="2">
                  <v>Sleep 7+ Hours</v>
                </pt>
              </strCache>
            </strRef>
          </cat>
          <val>
            <numRef>
              <f>'Habit Tracker'!$AH$9:$AH$18</f>
              <numCache>
                <formatCode>0%</formatCode>
                <ptCount val="10"/>
                <pt idx="0">
                  <v>0</v>
                </pt>
                <pt idx="1">
                  <v>0</v>
                </pt>
                <pt idx="2">
                  <v>0</v>
                </pt>
                <pt idx="3">
                  <v>0</v>
                </pt>
                <pt idx="4">
                  <v>0</v>
                </pt>
                <pt idx="5">
                  <v>0</v>
                </pt>
                <pt idx="6">
                  <v>0</v>
                </pt>
                <pt idx="7">
                  <v>0</v>
                </pt>
                <pt idx="8">
                  <v>0</v>
                </pt>
                <pt idx="9">
                  <v>0</v>
                </pt>
              </numCache>
            </numRef>
          </val>
        </ser>
        <dLbls>
          <showLegendKey val="0"/>
          <showVal val="0"/>
          <showCatName val="0"/>
          <showSerName val="0"/>
          <showPercent val="0"/>
          <showBubbleSize val="0"/>
        </dLbls>
        <gapWidth val="182"/>
        <axId val="734100128"/>
        <axId val="734100848"/>
      </barChart>
      <catAx>
        <axId val="73410012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734100848"/>
        <crosses val="autoZero"/>
        <auto val="1"/>
        <lblAlgn val="ctr"/>
        <lblOffset val="100"/>
        <noMultiLvlLbl val="0"/>
      </catAx>
      <valAx>
        <axId val="734100848"/>
        <scaling>
          <orientation val="minMax"/>
        </scaling>
        <delete val="0"/>
        <axPos val="b"/>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734100128"/>
        <crosses val="autoZero"/>
        <crossBetween val="between"/>
      </valAx>
    </plotArea>
    <plotVisOnly val="0"/>
    <dispBlanksAs val="gap"/>
  </chart>
  <spPr>
    <a:solidFill>
      <a:schemeClr val="bg1"/>
    </a:solidFill>
    <a:ln w="9525" cap="flat" cmpd="sng" algn="ctr">
      <a:solidFill>
        <a:schemeClr val="tx1">
          <a:lumMod val="15000"/>
          <a:lumOff val="85000"/>
        </a:schemeClr>
      </a:solidFill>
      <a:prstDash val="solid"/>
      <a:round/>
    </a:ln>
  </spPr>
</chartSpace>
</file>

<file path=xl/charts/chart10.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SPENDING SNAPSHOT</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doughnutChart>
        <varyColors val="1"/>
        <ser>
          <idx val="0"/>
          <order val="0"/>
          <spPr>
            <a:ln>
              <a:prstDash val="solid"/>
            </a:ln>
          </spPr>
          <dPt>
            <idx val="0"/>
            <bubble3D val="0"/>
            <spPr>
              <a:solidFill>
                <a:srgbClr val="A9C9A9"/>
              </a:solidFill>
              <a:ln w="19050">
                <a:solidFill>
                  <a:schemeClr val="lt1"/>
                </a:solidFill>
                <a:prstDash val="solid"/>
              </a:ln>
            </spPr>
          </dPt>
          <dPt>
            <idx val="1"/>
            <bubble3D val="0"/>
            <spPr>
              <a:solidFill>
                <a:srgbClr val="EFE9DD"/>
              </a:solidFill>
              <a:ln w="19050">
                <a:solidFill>
                  <a:schemeClr val="lt1"/>
                </a:solidFill>
                <a:prstDash val="solid"/>
              </a:ln>
            </spPr>
          </dPt>
          <cat>
            <strRef>
              <f>'Paycheck Budget'!$N$4:$N$5</f>
              <strCache>
                <ptCount val="2"/>
                <pt idx="0">
                  <v>Left to Spend</v>
                </pt>
                <pt idx="1">
                  <v>Spent</v>
                </pt>
              </strCache>
            </strRef>
          </cat>
          <val>
            <numRef>
              <f>'Paycheck Budget'!$O$4:$O$5</f>
              <numCache>
                <formatCode>[$$-409]#,##0.00;\([$$-409]#,##0.00\);"-"</formatCode>
                <ptCount val="2"/>
                <pt idx="0">
                  <v>0</v>
                </pt>
                <pt idx="1">
                  <v>0</v>
                </pt>
              </numCache>
            </numRef>
          </val>
        </ser>
        <dLbls>
          <showLegendKey val="0"/>
          <showVal val="0"/>
          <showCatName val="0"/>
          <showSerName val="0"/>
          <showPercent val="0"/>
          <showBubbleSize val="0"/>
          <showLeaderLines val="1"/>
        </dLbls>
        <firstSliceAng val="0"/>
        <holeSize val="75"/>
      </doughnut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1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ALLOCATION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pieChart>
        <varyColors val="1"/>
        <ser>
          <idx val="0"/>
          <order val="0"/>
          <spPr>
            <a:ln>
              <a:prstDash val="solid"/>
            </a:ln>
          </spPr>
          <dPt>
            <idx val="0"/>
            <bubble3D val="0"/>
            <spPr>
              <a:solidFill>
                <a:srgbClr val="9FC3D6"/>
              </a:solidFill>
              <a:ln w="19050">
                <a:solidFill>
                  <a:schemeClr val="lt1"/>
                </a:solidFill>
                <a:prstDash val="solid"/>
              </a:ln>
            </spPr>
          </dPt>
          <dPt>
            <idx val="1"/>
            <bubble3D val="0"/>
            <spPr>
              <a:solidFill>
                <a:srgbClr val="E8AFC0"/>
              </a:solidFill>
              <a:ln w="19050">
                <a:solidFill>
                  <a:schemeClr val="lt1"/>
                </a:solidFill>
                <a:prstDash val="solid"/>
              </a:ln>
            </spPr>
          </dPt>
          <dPt>
            <idx val="2"/>
            <bubble3D val="0"/>
            <spPr>
              <a:solidFill>
                <a:srgbClr val="EBD98F"/>
              </a:solidFill>
              <a:ln w="19050">
                <a:solidFill>
                  <a:schemeClr val="lt1"/>
                </a:solidFill>
                <a:prstDash val="solid"/>
              </a:ln>
            </spPr>
          </dPt>
          <dPt>
            <idx val="3"/>
            <bubble3D val="0"/>
            <spPr>
              <a:solidFill>
                <a:srgbClr val="C7B8E8"/>
              </a:solidFill>
              <a:ln w="19050">
                <a:solidFill>
                  <a:schemeClr val="lt1"/>
                </a:solidFill>
                <a:prstDash val="solid"/>
              </a:ln>
            </spPr>
          </dPt>
          <dPt>
            <idx val="4"/>
            <bubble3D val="0"/>
            <spPr>
              <a:solidFill>
                <a:srgbClr val="A9C9A9"/>
              </a:solidFill>
              <a:ln w="19050">
                <a:solidFill>
                  <a:schemeClr val="lt1"/>
                </a:solidFill>
                <a:prstDash val="solid"/>
              </a:ln>
            </spPr>
          </dPt>
          <cat>
            <strRef>
              <f>'Paycheck Budget'!$N$8:$N$12</f>
              <strCache>
                <ptCount val="5"/>
                <pt idx="0">
                  <v>Bills</v>
                </pt>
                <pt idx="1">
                  <v>Expenses</v>
                </pt>
                <pt idx="2">
                  <v>Savings</v>
                </pt>
                <pt idx="3">
                  <v>Debt</v>
                </pt>
                <pt idx="4">
                  <v>Left to Spend</v>
                </pt>
              </strCache>
            </strRef>
          </cat>
          <val>
            <numRef>
              <f>'Paycheck Budget'!$O$8:$O$12</f>
              <numCache>
                <formatCode>[$$-409]#,##0.00;\([$$-409]#,##0.00\);"-"</formatCode>
                <ptCount val="5"/>
                <pt idx="0">
                  <v>0</v>
                </pt>
                <pt idx="1">
                  <v>0</v>
                </pt>
                <pt idx="2">
                  <v>0</v>
                </pt>
                <pt idx="3">
                  <v>0</v>
                </pt>
                <pt idx="4">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1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EXPENSE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bar"/>
        <grouping val="clustered"/>
        <varyColors val="0"/>
        <ser>
          <idx val="0"/>
          <order val="0"/>
          <tx>
            <strRef>
              <f>'Paycheck Budget'!$O$15</f>
              <strCache>
                <ptCount val="1"/>
                <pt idx="0">
                  <v>Actual</v>
                </pt>
              </strCache>
            </strRef>
          </tx>
          <spPr>
            <a:solidFill>
              <a:srgbClr val="E8AFC0"/>
            </a:solidFill>
            <a:ln>
              <a:noFill/>
              <a:prstDash val="solid"/>
            </a:ln>
          </spPr>
          <invertIfNegative val="0"/>
          <cat>
            <strRef>
              <f>'Paycheck Budget'!$N$16:$N$23</f>
              <strCache>
                <ptCount val="8"/>
                <pt idx="0">
                  <v>Groceries</v>
                </pt>
                <pt idx="1">
                  <v>Dining Out</v>
                </pt>
                <pt idx="2">
                  <v>Transportation</v>
                </pt>
                <pt idx="3">
                  <v>Entertainment</v>
                </pt>
                <pt idx="4">
                  <v>Shopping</v>
                </pt>
                <pt idx="5">
                  <v>Personal Care</v>
                </pt>
                <pt idx="6">
                  <v>Household Supplies</v>
                </pt>
                <pt idx="7">
                  <v>Miscellaneous</v>
                </pt>
              </strCache>
            </strRef>
          </cat>
          <val>
            <numRef>
              <f>'Paycheck Budget'!$O$16:$O$23</f>
              <numCache>
                <formatCode>[$$-409]#,##0.00;\([$$-409]#,##0.00\);"-"</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82"/>
        <axId val="517906984"/>
        <axId val="517905904"/>
      </barChart>
      <catAx>
        <axId val="51790698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5904"/>
        <crosses val="autoZero"/>
        <auto val="1"/>
        <lblAlgn val="ctr"/>
        <lblOffset val="100"/>
        <noMultiLvlLbl val="0"/>
      </catAx>
      <valAx>
        <axId val="517905904"/>
        <scaling>
          <orientation val="minMax"/>
          <min val="0"/>
        </scaling>
        <delete val="0"/>
        <axPos val="b"/>
        <majorGridlines>
          <spPr>
            <a:ln w="9525" cap="flat" cmpd="sng" algn="ctr">
              <a:solidFill>
                <a:schemeClr val="tx1">
                  <a:lumMod val="15000"/>
                  <a:lumOff val="85000"/>
                </a:schemeClr>
              </a:solidFill>
              <a:prstDash val="solid"/>
              <a:round/>
            </a:ln>
          </spPr>
        </majorGridlines>
        <numFmt formatCode="[$$-409]#,##0.00;\([$$-409]#,##0.00\);&quot;-&quot;"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6984"/>
        <crosses val="autoZero"/>
        <crossBetween val="between"/>
      </valAx>
    </plotArea>
    <plotVisOnly val="0"/>
    <dispBlanksAs val="gap"/>
  </chart>
  <spPr>
    <a:noFill/>
    <a:ln w="12700" cap="flat" cmpd="sng" algn="ctr">
      <a:solidFill>
        <a:srgbClr val="D8D3CC"/>
      </a:solidFill>
      <a:prstDash val="solid"/>
      <a:round/>
    </a:ln>
  </spPr>
</chartSpace>
</file>

<file path=xl/charts/chart1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BUDGET VS ACTUAL</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col"/>
        <grouping val="clustered"/>
        <varyColors val="0"/>
        <ser>
          <idx val="0"/>
          <order val="0"/>
          <tx>
            <strRef>
              <f>'Paycheck Budget'!$O$26</f>
              <strCache>
                <ptCount val="1"/>
                <pt idx="0">
                  <v>Budget</v>
                </pt>
              </strCache>
            </strRef>
          </tx>
          <spPr>
            <a:solidFill>
              <a:srgbClr val="D8D3CC"/>
            </a:solidFill>
            <a:ln>
              <a:noFill/>
              <a:prstDash val="solid"/>
            </a:ln>
          </spPr>
          <invertIfNegative val="0"/>
          <cat>
            <strRef>
              <f>'Paycheck Budget'!$N$27:$N$31</f>
              <strCache>
                <ptCount val="5"/>
                <pt idx="0">
                  <v>Income</v>
                </pt>
                <pt idx="1">
                  <v>Bills</v>
                </pt>
                <pt idx="2">
                  <v>Expenses</v>
                </pt>
                <pt idx="3">
                  <v>Savings</v>
                </pt>
                <pt idx="4">
                  <v>Debt</v>
                </pt>
              </strCache>
            </strRef>
          </cat>
          <val>
            <numRef>
              <f>'Paycheck Budget'!$O$27:$O$31</f>
              <numCache>
                <formatCode>General</formatCode>
                <ptCount val="5"/>
                <pt idx="0">
                  <v>0</v>
                </pt>
                <pt idx="1">
                  <v>0</v>
                </pt>
                <pt idx="2">
                  <v>0</v>
                </pt>
                <pt idx="3">
                  <v>0</v>
                </pt>
                <pt idx="4">
                  <v>0</v>
                </pt>
              </numCache>
            </numRef>
          </val>
        </ser>
        <ser>
          <idx val="1"/>
          <order val="1"/>
          <tx>
            <strRef>
              <f>'Paycheck Budget'!$P$26</f>
              <strCache>
                <ptCount val="1"/>
                <pt idx="0">
                  <v>Actual</v>
                </pt>
              </strCache>
            </strRef>
          </tx>
          <spPr>
            <a:solidFill>
              <a:srgbClr val="F5D6DC"/>
            </a:solidFill>
            <a:ln>
              <a:noFill/>
              <a:prstDash val="solid"/>
            </a:ln>
          </spPr>
          <invertIfNegative val="0"/>
          <dPt>
            <idx val="0"/>
            <invertIfNegative val="0"/>
            <bubble3D val="0"/>
            <spPr>
              <a:solidFill>
                <a:srgbClr val="A9C9A9"/>
              </a:solidFill>
              <a:ln>
                <a:noFill/>
                <a:prstDash val="solid"/>
              </a:ln>
            </spPr>
          </dPt>
          <dPt>
            <idx val="1"/>
            <invertIfNegative val="0"/>
            <bubble3D val="0"/>
            <spPr>
              <a:solidFill>
                <a:srgbClr val="9FC3D6"/>
              </a:solidFill>
              <a:ln>
                <a:noFill/>
                <a:prstDash val="solid"/>
              </a:ln>
            </spPr>
          </dPt>
          <dPt>
            <idx val="2"/>
            <invertIfNegative val="0"/>
            <bubble3D val="0"/>
            <spPr>
              <a:solidFill>
                <a:srgbClr val="E8AFC0"/>
              </a:solidFill>
              <a:ln>
                <a:noFill/>
                <a:prstDash val="solid"/>
              </a:ln>
            </spPr>
          </dPt>
          <dPt>
            <idx val="3"/>
            <invertIfNegative val="0"/>
            <bubble3D val="0"/>
            <spPr>
              <a:solidFill>
                <a:srgbClr val="EBD98F"/>
              </a:solidFill>
              <a:ln>
                <a:noFill/>
                <a:prstDash val="solid"/>
              </a:ln>
            </spPr>
          </dPt>
          <dPt>
            <idx val="4"/>
            <invertIfNegative val="0"/>
            <bubble3D val="0"/>
            <spPr>
              <a:solidFill>
                <a:srgbClr val="C7B8E8"/>
              </a:solidFill>
              <a:ln>
                <a:noFill/>
                <a:prstDash val="solid"/>
              </a:ln>
            </spPr>
          </dPt>
          <cat>
            <strRef>
              <f>'Paycheck Budget'!$N$27:$N$31</f>
              <strCache>
                <ptCount val="5"/>
                <pt idx="0">
                  <v>Income</v>
                </pt>
                <pt idx="1">
                  <v>Bills</v>
                </pt>
                <pt idx="2">
                  <v>Expenses</v>
                </pt>
                <pt idx="3">
                  <v>Savings</v>
                </pt>
                <pt idx="4">
                  <v>Debt</v>
                </pt>
              </strCache>
            </strRef>
          </cat>
          <val>
            <numRef>
              <f>'Paycheck Budget'!$P$27:$P$31</f>
              <numCache>
                <formatCode>General</formatCode>
                <ptCount val="5"/>
                <pt idx="0">
                  <v>0</v>
                </pt>
                <pt idx="1">
                  <v>0</v>
                </pt>
                <pt idx="2">
                  <v>0</v>
                </pt>
                <pt idx="3">
                  <v>0</v>
                </pt>
                <pt idx="4">
                  <v>0</v>
                </pt>
              </numCache>
            </numRef>
          </val>
        </ser>
        <dLbls>
          <showLegendKey val="0"/>
          <showVal val="0"/>
          <showCatName val="0"/>
          <showSerName val="0"/>
          <showPercent val="0"/>
          <showBubbleSize val="0"/>
        </dLbls>
        <gapWidth val="219"/>
        <overlap val="-27"/>
        <axId val="696412128"/>
        <axId val="696416448"/>
      </barChart>
      <catAx>
        <axId val="69641212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696416448"/>
        <crosses val="autoZero"/>
        <auto val="1"/>
        <lblAlgn val="ctr"/>
        <lblOffset val="100"/>
        <noMultiLvlLbl val="0"/>
      </catAx>
      <valAx>
        <axId val="696416448"/>
        <scaling>
          <orientation val="minMax"/>
          <min val="0"/>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696412128"/>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1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SPENDING SNAPSHOT</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doughnutChart>
        <varyColors val="1"/>
        <ser>
          <idx val="0"/>
          <order val="0"/>
          <spPr>
            <a:ln>
              <a:prstDash val="solid"/>
            </a:ln>
          </spPr>
          <dPt>
            <idx val="0"/>
            <bubble3D val="0"/>
            <spPr>
              <a:solidFill>
                <a:srgbClr val="A9C9A9"/>
              </a:solidFill>
              <a:ln w="19050">
                <a:solidFill>
                  <a:schemeClr val="lt1"/>
                </a:solidFill>
                <a:prstDash val="solid"/>
              </a:ln>
            </spPr>
          </dPt>
          <dPt>
            <idx val="1"/>
            <bubble3D val="0"/>
            <spPr>
              <a:solidFill>
                <a:srgbClr val="EFE9DD"/>
              </a:solidFill>
              <a:ln w="19050">
                <a:solidFill>
                  <a:schemeClr val="lt1"/>
                </a:solidFill>
                <a:prstDash val="solid"/>
              </a:ln>
            </spPr>
          </dPt>
          <cat>
            <strRef>
              <f>Example!$N$4:$N$5</f>
              <strCache>
                <ptCount val="2"/>
                <pt idx="0">
                  <v>Left to Spend</v>
                </pt>
                <pt idx="1">
                  <v>Spent</v>
                </pt>
              </strCache>
            </strRef>
          </cat>
          <val>
            <numRef>
              <f>Example!$O$4:$O$5</f>
              <numCache>
                <formatCode>[$$-409]#,##0.00;\([$$-409]#,##0.00\);"-"</formatCode>
                <ptCount val="2"/>
                <pt idx="0">
                  <v>233.03</v>
                </pt>
                <pt idx="1">
                  <v>3616.97</v>
                </pt>
              </numCache>
            </numRef>
          </val>
        </ser>
        <dLbls>
          <showLegendKey val="0"/>
          <showVal val="0"/>
          <showCatName val="0"/>
          <showSerName val="0"/>
          <showPercent val="0"/>
          <showBubbleSize val="0"/>
          <showLeaderLines val="1"/>
        </dLbls>
        <firstSliceAng val="0"/>
        <holeSize val="75"/>
      </doughnut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1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ALLOCATION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pieChart>
        <varyColors val="1"/>
        <ser>
          <idx val="0"/>
          <order val="0"/>
          <spPr>
            <a:ln>
              <a:prstDash val="solid"/>
            </a:ln>
          </spPr>
          <dPt>
            <idx val="0"/>
            <bubble3D val="0"/>
            <spPr>
              <a:solidFill>
                <a:srgbClr val="9FC3D6"/>
              </a:solidFill>
              <a:ln w="19050">
                <a:solidFill>
                  <a:schemeClr val="lt1"/>
                </a:solidFill>
                <a:prstDash val="solid"/>
              </a:ln>
            </spPr>
          </dPt>
          <dPt>
            <idx val="1"/>
            <bubble3D val="0"/>
            <spPr>
              <a:solidFill>
                <a:srgbClr val="E8AFC0"/>
              </a:solidFill>
              <a:ln w="19050">
                <a:solidFill>
                  <a:schemeClr val="lt1"/>
                </a:solidFill>
                <a:prstDash val="solid"/>
              </a:ln>
            </spPr>
          </dPt>
          <dPt>
            <idx val="2"/>
            <bubble3D val="0"/>
            <spPr>
              <a:solidFill>
                <a:srgbClr val="EBD98F"/>
              </a:solidFill>
              <a:ln w="19050">
                <a:solidFill>
                  <a:schemeClr val="lt1"/>
                </a:solidFill>
                <a:prstDash val="solid"/>
              </a:ln>
            </spPr>
          </dPt>
          <dPt>
            <idx val="3"/>
            <bubble3D val="0"/>
            <spPr>
              <a:solidFill>
                <a:srgbClr val="C7B8E8"/>
              </a:solidFill>
              <a:ln w="19050">
                <a:solidFill>
                  <a:schemeClr val="lt1"/>
                </a:solidFill>
                <a:prstDash val="solid"/>
              </a:ln>
            </spPr>
          </dPt>
          <dPt>
            <idx val="4"/>
            <bubble3D val="0"/>
            <spPr>
              <a:solidFill>
                <a:srgbClr val="A9C9A9"/>
              </a:solidFill>
              <a:ln w="19050">
                <a:solidFill>
                  <a:schemeClr val="lt1"/>
                </a:solidFill>
                <a:prstDash val="solid"/>
              </a:ln>
            </spPr>
          </dPt>
          <cat>
            <strRef>
              <f>Example!$N$8:$N$12</f>
              <strCache>
                <ptCount val="5"/>
                <pt idx="0">
                  <v>Bills</v>
                </pt>
                <pt idx="1">
                  <v>Expenses</v>
                </pt>
                <pt idx="2">
                  <v>Savings</v>
                </pt>
                <pt idx="3">
                  <v>Debt</v>
                </pt>
                <pt idx="4">
                  <v>Left to Spend</v>
                </pt>
              </strCache>
            </strRef>
          </cat>
          <val>
            <numRef>
              <f>Example!$O$8:$O$12</f>
              <numCache>
                <formatCode>[$$-409]#,##0.00;\([$$-409]#,##0.00\);"-"</formatCode>
                <ptCount val="5"/>
                <pt idx="0">
                  <v>1942.97</v>
                </pt>
                <pt idx="1">
                  <v>1049</v>
                </pt>
                <pt idx="2">
                  <v>475</v>
                </pt>
                <pt idx="3">
                  <v>150</v>
                </pt>
                <pt idx="4">
                  <v>233.03</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harts/chart1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EXPENSE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bar"/>
        <grouping val="clustered"/>
        <varyColors val="0"/>
        <ser>
          <idx val="0"/>
          <order val="0"/>
          <tx>
            <strRef>
              <f>Example!$O$15</f>
              <strCache>
                <ptCount val="1"/>
                <pt idx="0">
                  <v>Actual</v>
                </pt>
              </strCache>
            </strRef>
          </tx>
          <spPr>
            <a:solidFill>
              <a:srgbClr val="E8AFC0"/>
            </a:solidFill>
            <a:ln>
              <a:noFill/>
              <a:prstDash val="solid"/>
            </a:ln>
          </spPr>
          <invertIfNegative val="0"/>
          <cat>
            <strRef>
              <f>Example!$N$16:$N$23</f>
              <strCache>
                <ptCount val="8"/>
                <pt idx="0">
                  <v>Groceries</v>
                </pt>
                <pt idx="1">
                  <v>Dining Out</v>
                </pt>
                <pt idx="2">
                  <v>Transportation</v>
                </pt>
                <pt idx="3">
                  <v>Entertainment</v>
                </pt>
                <pt idx="4">
                  <v>Shopping</v>
                </pt>
                <pt idx="5">
                  <v>Personal Care</v>
                </pt>
                <pt idx="6">
                  <v>Household Supplies</v>
                </pt>
                <pt idx="7">
                  <v>Miscellaneous</v>
                </pt>
              </strCache>
            </strRef>
          </cat>
          <val>
            <numRef>
              <f>Example!$O$16:$O$23</f>
              <numCache>
                <formatCode>[$$-409]#,##0.00;\([$$-409]#,##0.00\);"-"</formatCode>
                <ptCount val="8"/>
                <pt idx="0">
                  <v>445</v>
                </pt>
                <pt idx="1">
                  <v>187</v>
                </pt>
                <pt idx="2">
                  <v>95</v>
                </pt>
                <pt idx="3">
                  <v>60</v>
                </pt>
                <pt idx="4">
                  <v>130</v>
                </pt>
                <pt idx="5">
                  <v>45</v>
                </pt>
                <pt idx="6">
                  <v>35</v>
                </pt>
                <pt idx="7">
                  <v>52</v>
                </pt>
              </numCache>
            </numRef>
          </val>
        </ser>
        <dLbls>
          <showLegendKey val="0"/>
          <showVal val="0"/>
          <showCatName val="0"/>
          <showSerName val="0"/>
          <showPercent val="0"/>
          <showBubbleSize val="0"/>
        </dLbls>
        <gapWidth val="182"/>
        <axId val="517906984"/>
        <axId val="517905904"/>
      </barChart>
      <catAx>
        <axId val="51790698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5904"/>
        <crosses val="autoZero"/>
        <auto val="1"/>
        <lblAlgn val="ctr"/>
        <lblOffset val="100"/>
        <noMultiLvlLbl val="0"/>
      </catAx>
      <valAx>
        <axId val="517905904"/>
        <scaling>
          <orientation val="minMax"/>
          <min val="0"/>
        </scaling>
        <delete val="0"/>
        <axPos val="b"/>
        <majorGridlines>
          <spPr>
            <a:ln w="9525" cap="flat" cmpd="sng" algn="ctr">
              <a:solidFill>
                <a:schemeClr val="tx1">
                  <a:lumMod val="15000"/>
                  <a:lumOff val="85000"/>
                </a:schemeClr>
              </a:solidFill>
              <a:prstDash val="solid"/>
              <a:round/>
            </a:ln>
          </spPr>
        </majorGridlines>
        <numFmt formatCode="[$$-409]#,##0.00;\([$$-409]#,##0.00\);&quot;-&quot;"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517906984"/>
        <crosses val="autoZero"/>
        <crossBetween val="between"/>
      </valAx>
    </plotArea>
    <plotVisOnly val="0"/>
    <dispBlanksAs val="gap"/>
  </chart>
  <spPr>
    <a:noFill/>
    <a:ln w="12700" cap="flat" cmpd="sng" algn="ctr">
      <a:solidFill>
        <a:srgbClr val="D8D3CC"/>
      </a:solidFill>
      <a:prstDash val="solid"/>
      <a:round/>
    </a:ln>
  </spPr>
</chartSpace>
</file>

<file path=xl/charts/chart1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rPr lang="en-US"/>
              <a:t>BUDGET VS ACTUAL</a:t>
            </a:r>
          </a:p>
        </rich>
      </tx>
      <overlay val="0"/>
      <spPr>
        <a:noFill/>
        <a:ln>
          <a:noFill/>
          <a:prstDash val="solid"/>
        </a:ln>
      </spPr>
      <txPr>
        <a:bodyPr rot="0" spcFirstLastPara="1" vertOverflow="ellipsis" vert="horz" wrap="square" anchor="ctr" anchorCtr="1"/>
        <a:lstStyle/>
        <a:p>
          <a:pPr>
            <a:defRPr sz="1200" b="1" i="0" strike="noStrike" kern="1200" spc="0" baseline="0">
              <a:solidFill>
                <a:srgbClr val="3B3733"/>
              </a:solidFill>
              <a:latin typeface="Calibri"/>
              <a:ea typeface="Calibri"/>
              <a:cs typeface="Calibri"/>
            </a:defRPr>
          </a:pPr>
          <a:r>
            <a:t/>
          </a:r>
          <a:endParaRPr lang="nl-NL"/>
        </a:p>
      </txPr>
    </title>
    <plotArea>
      <layout/>
      <barChart>
        <barDir val="col"/>
        <grouping val="clustered"/>
        <varyColors val="0"/>
        <ser>
          <idx val="0"/>
          <order val="0"/>
          <tx>
            <strRef>
              <f>Example!$O$26</f>
              <strCache>
                <ptCount val="1"/>
                <pt idx="0">
                  <v>Budget</v>
                </pt>
              </strCache>
            </strRef>
          </tx>
          <spPr>
            <a:solidFill>
              <a:srgbClr val="D8D3CC"/>
            </a:solidFill>
            <a:ln>
              <a:noFill/>
              <a:prstDash val="solid"/>
            </a:ln>
          </spPr>
          <invertIfNegative val="0"/>
          <cat>
            <strRef>
              <f>Example!$N$27:$N$31</f>
              <strCache>
                <ptCount val="5"/>
                <pt idx="0">
                  <v>Income</v>
                </pt>
                <pt idx="1">
                  <v>Bills</v>
                </pt>
                <pt idx="2">
                  <v>Expenses</v>
                </pt>
                <pt idx="3">
                  <v>Savings</v>
                </pt>
                <pt idx="4">
                  <v>Debt</v>
                </pt>
              </strCache>
            </strRef>
          </cat>
          <val>
            <numRef>
              <f>Example!$O$27:$O$31</f>
              <numCache>
                <formatCode>General</formatCode>
                <ptCount val="5"/>
                <pt idx="0">
                  <v>3800</v>
                </pt>
                <pt idx="1">
                  <v>1930</v>
                </pt>
                <pt idx="2">
                  <v>1000</v>
                </pt>
                <pt idx="3">
                  <v>450</v>
                </pt>
                <pt idx="4">
                  <v>150</v>
                </pt>
              </numCache>
            </numRef>
          </val>
        </ser>
        <ser>
          <idx val="1"/>
          <order val="1"/>
          <tx>
            <strRef>
              <f>Example!$P$26</f>
              <strCache>
                <ptCount val="1"/>
                <pt idx="0">
                  <v>Actual</v>
                </pt>
              </strCache>
            </strRef>
          </tx>
          <spPr>
            <a:solidFill>
              <a:srgbClr val="F5D6DC"/>
            </a:solidFill>
            <a:ln>
              <a:noFill/>
              <a:prstDash val="solid"/>
            </a:ln>
          </spPr>
          <invertIfNegative val="0"/>
          <dPt>
            <idx val="0"/>
            <invertIfNegative val="0"/>
            <bubble3D val="0"/>
            <spPr>
              <a:solidFill>
                <a:srgbClr val="A9C9A9"/>
              </a:solidFill>
              <a:ln>
                <a:noFill/>
                <a:prstDash val="solid"/>
              </a:ln>
            </spPr>
          </dPt>
          <dPt>
            <idx val="1"/>
            <invertIfNegative val="0"/>
            <bubble3D val="0"/>
            <spPr>
              <a:solidFill>
                <a:srgbClr val="9FC3D6"/>
              </a:solidFill>
              <a:ln>
                <a:noFill/>
                <a:prstDash val="solid"/>
              </a:ln>
            </spPr>
          </dPt>
          <dPt>
            <idx val="2"/>
            <invertIfNegative val="0"/>
            <bubble3D val="0"/>
            <spPr>
              <a:solidFill>
                <a:srgbClr val="E8AFC0"/>
              </a:solidFill>
              <a:ln>
                <a:noFill/>
                <a:prstDash val="solid"/>
              </a:ln>
            </spPr>
          </dPt>
          <dPt>
            <idx val="3"/>
            <invertIfNegative val="0"/>
            <bubble3D val="0"/>
            <spPr>
              <a:solidFill>
                <a:srgbClr val="EBD98F"/>
              </a:solidFill>
              <a:ln>
                <a:noFill/>
                <a:prstDash val="solid"/>
              </a:ln>
            </spPr>
          </dPt>
          <dPt>
            <idx val="4"/>
            <invertIfNegative val="0"/>
            <bubble3D val="0"/>
            <spPr>
              <a:solidFill>
                <a:srgbClr val="C7B8E8"/>
              </a:solidFill>
              <a:ln>
                <a:noFill/>
                <a:prstDash val="solid"/>
              </a:ln>
            </spPr>
          </dPt>
          <cat>
            <strRef>
              <f>Example!$N$27:$N$31</f>
              <strCache>
                <ptCount val="5"/>
                <pt idx="0">
                  <v>Income</v>
                </pt>
                <pt idx="1">
                  <v>Bills</v>
                </pt>
                <pt idx="2">
                  <v>Expenses</v>
                </pt>
                <pt idx="3">
                  <v>Savings</v>
                </pt>
                <pt idx="4">
                  <v>Debt</v>
                </pt>
              </strCache>
            </strRef>
          </cat>
          <val>
            <numRef>
              <f>Example!$P$27:$P$31</f>
              <numCache>
                <formatCode>General</formatCode>
                <ptCount val="5"/>
                <pt idx="0">
                  <v>3850</v>
                </pt>
                <pt idx="1">
                  <v>1942.97</v>
                </pt>
                <pt idx="2">
                  <v>1049</v>
                </pt>
                <pt idx="3">
                  <v>475</v>
                </pt>
                <pt idx="4">
                  <v>150</v>
                </pt>
              </numCache>
            </numRef>
          </val>
        </ser>
        <dLbls>
          <showLegendKey val="0"/>
          <showVal val="0"/>
          <showCatName val="0"/>
          <showSerName val="0"/>
          <showPercent val="0"/>
          <showBubbleSize val="0"/>
        </dLbls>
        <gapWidth val="219"/>
        <overlap val="-27"/>
        <axId val="808779280"/>
        <axId val="808773880"/>
      </barChart>
      <catAx>
        <axId val="80877928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08773880"/>
        <crosses val="autoZero"/>
        <auto val="1"/>
        <lblAlgn val="ctr"/>
        <lblOffset val="100"/>
        <noMultiLvlLbl val="0"/>
      </catAx>
      <valAx>
        <axId val="808773880"/>
        <scaling>
          <orientation val="minMax"/>
          <min val="0"/>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crossAx val="808779280"/>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nl-NL"/>
        </a:p>
      </txPr>
    </legend>
    <plotVisOnly val="0"/>
    <dispBlanksAs val="gap"/>
  </chart>
  <spPr>
    <a:noFill/>
    <a:ln w="12700" cap="flat" cmpd="sng" algn="ctr">
      <a:solidFill>
        <a:srgbClr val="D8D3CC"/>
      </a:solidFill>
      <a:prstDash val="solid"/>
      <a:round/>
    </a:ln>
  </spPr>
</chartSpace>
</file>

<file path=xl/comments/comment1.xml><?xml version="1.0" encoding="utf-8"?>
<comments xmlns="http://schemas.openxmlformats.org/spreadsheetml/2006/main">
  <authors>
    <author>tc={987E449E-E24D-4632-AC6E-4F214AB1D261}</author>
    <author>tc={BC35EB27-F404-4D36-85FE-73735C4E8C00}</author>
    <author>tc={0D4ED7CA-5F11-454D-A5CD-B4B24A0799E1}</author>
    <author>tc={1A07E15D-1692-4B7E-A84D-C1503C1EEDFE}</author>
    <author>tc={E856161F-8314-4F62-BFAB-46A2FDDF98AF}</author>
    <author>tc={5658D569-BEA7-429D-8446-8653D82DCC78}</author>
  </authors>
  <commentList>
    <comment ref="C14" authorId="0"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23" authorId="1"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31" authorId="2"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 ref="C35" authorId="3"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47" authorId="4"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56" authorId="5"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List>
</comments>
</file>

<file path=xl/comments/comment2.xml><?xml version="1.0" encoding="utf-8"?>
<comments xmlns="http://schemas.openxmlformats.org/spreadsheetml/2006/main">
  <authors>
    <author>tc={907B566A-4B98-4B0A-809D-49D4CA429BBC}</author>
    <author>tc={C9F9D6A7-0316-4C91-B81B-B374761FF163}</author>
    <author>tc={B5831E77-0655-4592-B191-D98C9E6E01E7}</author>
    <author>tc={F3F68E2D-9876-4403-B51B-3631C95D5DA1}</author>
    <author>tc={67B9B526-B8DA-4ECB-A379-9E6A99720437}</author>
    <author>tc={864CF0EB-8F7F-4EDB-853D-2960FAB5B087}</author>
  </authors>
  <commentList>
    <comment ref="C14" authorId="0"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23" authorId="1"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31" authorId="2"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 ref="C35" authorId="3"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47" authorId="4"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56" authorId="5"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List>
</comments>
</file>

<file path=xl/comments/comment3.xml><?xml version="1.0" encoding="utf-8"?>
<comments xmlns="http://schemas.openxmlformats.org/spreadsheetml/2006/main">
  <authors>
    <author>tc={1D41EC34-8403-42A1-A440-C7A217B54FF8}</author>
  </authors>
  <commentList>
    <comment ref="C31" authorId="0" shapeId="0">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3.xml.rels><Relationships xmlns="http://schemas.openxmlformats.org/package/2006/relationships"><Relationship Type="http://schemas.openxmlformats.org/officeDocument/2006/relationships/chart" Target="/xl/charts/chart7.xml" Id="rId1" /></Relationships>
</file>

<file path=xl/drawings/_rels/drawing4.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s>
</file>

<file path=xl/drawings/_rels/drawing5.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 Type="http://schemas.openxmlformats.org/officeDocument/2006/relationships/chart" Target="/xl/charts/chart13.xml" Id="rId4" /></Relationships>
</file>

<file path=xl/drawings/_rels/drawing6.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0</colOff>
      <row>3</row>
      <rowOff>133350</rowOff>
    </from>
    <to>
      <col>12</col>
      <colOff>425450</colOff>
      <row>16</row>
      <rowOff>190500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615950</colOff>
      <row>3</row>
      <rowOff>133350</rowOff>
    </from>
    <to>
      <col>23</col>
      <colOff>441325</colOff>
      <row>16</row>
      <rowOff>190500</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0</colOff>
      <row>17</row>
      <rowOff>152400</rowOff>
    </from>
    <to>
      <col>12</col>
      <colOff>425450</colOff>
      <row>29</row>
      <rowOff>152400</rowOff>
    </to>
    <graphicFrame>
      <nvGraphicFramePr>
        <cNvPr id="3" name="Chart 3"/>
        <cNvGraphicFramePr/>
      </nvGraphicFramePr>
      <xfrm/>
      <a:graphic>
        <a:graphicData uri="http://schemas.openxmlformats.org/drawingml/2006/chart">
          <c:chart r:id="rId3"/>
        </a:graphicData>
      </a:graphic>
    </graphicFrame>
    <clientData/>
  </twoCellAnchor>
  <twoCellAnchor>
    <from>
      <col>12</col>
      <colOff>615950</colOff>
      <row>17</row>
      <rowOff>152400</rowOff>
    </from>
    <to>
      <col>23</col>
      <colOff>441325</colOff>
      <row>29</row>
      <rowOff>152400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91</row>
      <rowOff>0</rowOff>
    </from>
    <to>
      <col>6</col>
      <colOff>0</colOff>
      <row>112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7</col>
      <colOff>1</colOff>
      <row>91</row>
      <rowOff>0</rowOff>
    </from>
    <to>
      <col>13</col>
      <colOff>1</colOff>
      <row>112</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0</colOff>
      <row>4</row>
      <rowOff>0</rowOff>
    </from>
    <to>
      <col>19</col>
      <colOff>0</colOff>
      <row>20</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21</row>
      <rowOff>12700</rowOff>
    </from>
    <to>
      <col>10</col>
      <colOff>79375</colOff>
      <row>38</row>
      <rowOff>76200</rowOff>
    </to>
    <graphicFrame>
      <nvGraphicFramePr>
        <cNvPr id="1" name="Chart 1"/>
        <cNvGraphicFramePr/>
      </nvGraphicFramePr>
      <xfrm/>
      <a:graphic>
        <a:graphicData uri="http://schemas.openxmlformats.org/drawingml/2006/chart">
          <c:chart r:id="rId1"/>
        </a:graphicData>
      </a:graphic>
    </graphicFrame>
    <clientData/>
  </twoCellAnchor>
  <twoCellAnchor>
    <from>
      <col>11</col>
      <colOff>57150</colOff>
      <row>21</row>
      <rowOff>12700</rowOff>
    </from>
    <to>
      <col>29</col>
      <colOff>165100</colOff>
      <row>38</row>
      <rowOff>76200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0</colOff>
      <row>3</row>
      <rowOff>133350</rowOff>
    </from>
    <to>
      <col>12</col>
      <colOff>425450</colOff>
      <row>16</row>
      <rowOff>190500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615950</colOff>
      <row>3</row>
      <rowOff>133350</rowOff>
    </from>
    <to>
      <col>23</col>
      <colOff>441325</colOff>
      <row>16</row>
      <rowOff>190500</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0</colOff>
      <row>17</row>
      <rowOff>152400</rowOff>
    </from>
    <to>
      <col>12</col>
      <colOff>425450</colOff>
      <row>29</row>
      <rowOff>152400</rowOff>
    </to>
    <graphicFrame>
      <nvGraphicFramePr>
        <cNvPr id="3" name="Chart 3"/>
        <cNvGraphicFramePr/>
      </nvGraphicFramePr>
      <xfrm/>
      <a:graphic>
        <a:graphicData uri="http://schemas.openxmlformats.org/drawingml/2006/chart">
          <c:chart r:id="rId3"/>
        </a:graphicData>
      </a:graphic>
    </graphicFrame>
    <clientData/>
  </twoCellAnchor>
  <twoCellAnchor>
    <from>
      <col>12</col>
      <colOff>615950</colOff>
      <row>17</row>
      <rowOff>152400</rowOff>
    </from>
    <to>
      <col>23</col>
      <colOff>441325</colOff>
      <row>29</row>
      <rowOff>152400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0</colOff>
      <row>3</row>
      <rowOff>133350</rowOff>
    </from>
    <to>
      <col>12</col>
      <colOff>425450</colOff>
      <row>16</row>
      <rowOff>190500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615950</colOff>
      <row>3</row>
      <rowOff>133350</rowOff>
    </from>
    <to>
      <col>23</col>
      <colOff>441325</colOff>
      <row>16</row>
      <rowOff>190500</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0</colOff>
      <row>17</row>
      <rowOff>152400</rowOff>
    </from>
    <to>
      <col>12</col>
      <colOff>425450</colOff>
      <row>29</row>
      <rowOff>152400</rowOff>
    </to>
    <graphicFrame>
      <nvGraphicFramePr>
        <cNvPr id="3" name="Chart 3"/>
        <cNvGraphicFramePr/>
      </nvGraphicFramePr>
      <xfrm/>
      <a:graphic>
        <a:graphicData uri="http://schemas.openxmlformats.org/drawingml/2006/chart">
          <c:chart r:id="rId3"/>
        </a:graphicData>
      </a:graphic>
    </graphicFrame>
    <clientData/>
  </twoCellAnchor>
  <twoCellAnchor>
    <from>
      <col>12</col>
      <colOff>615950</colOff>
      <row>17</row>
      <rowOff>152400</rowOff>
    </from>
    <to>
      <col>23</col>
      <colOff>441325</colOff>
      <row>29</row>
      <rowOff>152400</rowOff>
    </to>
    <graphicFrame>
      <nvGraphicFramePr>
        <cNvPr id="4" name="Chart 4"/>
        <cNvGraphicFramePr/>
      </nvGraphicFramePr>
      <xfrm/>
      <a:graphic>
        <a:graphicData uri="http://schemas.openxmlformats.org/drawingml/2006/chart">
          <c:chart r:id="rId4"/>
        </a:graphicData>
      </a:graphic>
    </graphicFrame>
    <clientData/>
  </twoCellAnchor>
</wsDr>
</file>

<file path=xl/tables/table1.xml><?xml version="1.0" encoding="utf-8"?>
<table xmlns="http://schemas.openxmlformats.org/spreadsheetml/2006/main" id="1" name="TransactionsLog" displayName="TransactionsLog" ref="A4:E304" headerRowCount="1" totalsRowShown="0" headerRowDxfId="62" dataDxfId="61">
  <autoFilter ref="A4:E304"/>
  <tableColumns count="5">
    <tableColumn id="1" name="Date" dataDxfId="60">
      <calculatedColumnFormula>DATE(2026,1,5)</calculatedColumnFormula>
    </tableColumn>
    <tableColumn id="2" name="Category" dataDxfId="59"/>
    <tableColumn id="3" name="Type" dataDxfId="58">
      <calculatedColumnFormula>IFERROR(_xlfn.XLOOKUP(TransactionsLog[[#This Row],[Category]],CategoryList,CategoryTypeList),"")</calculatedColumnFormula>
    </tableColumn>
    <tableColumn id="4" name="Amount" dataDxfId="57"/>
    <tableColumn id="5" name="Notes" dataDxfId="56"/>
  </tableColumns>
  <tableStyleInfo name="TableStyleMedium15" showFirstColumn="0" showLastColumn="0" showRowStripes="0" showColumnStripes="0"/>
</table>
</file>

<file path=xl/tables/table2.xml><?xml version="1.0" encoding="utf-8"?>
<table xmlns="http://schemas.openxmlformats.org/spreadsheetml/2006/main" id="2" name="GoalLog" displayName="GoalLog" ref="A30:D90" headerRowCount="1" totalsRowShown="0" headerRowDxfId="44" dataDxfId="43">
  <autoFilter ref="A30:D90"/>
  <tableColumns count="4">
    <tableColumn id="1" name="Date" dataDxfId="42"/>
    <tableColumn id="2" name="Goal Name" dataDxfId="41"/>
    <tableColumn id="3" name="Amount" dataDxfId="40"/>
    <tableColumn id="4" name="Notes" dataDxfId="39"/>
  </tableColumns>
  <tableStyleInfo name="TableStyleMedium15" showFirstColumn="0" showLastColumn="0" showRowStripes="0" showColumnStripes="0"/>
</table>
</file>

<file path=xl/tables/table3.xml><?xml version="1.0" encoding="utf-8"?>
<table xmlns="http://schemas.openxmlformats.org/spreadsheetml/2006/main" id="3" name="SubscriptionTracker" displayName="SubscriptionTracker" ref="A6:I36" headerRowCount="1" totalsRowShown="0" headerRowDxfId="55" dataDxfId="54">
  <autoFilter ref="A6:I36"/>
  <tableColumns count="9">
    <tableColumn id="1" name="Subscription" dataDxfId="53"/>
    <tableColumn id="2" name="Category" dataDxfId="52"/>
    <tableColumn id="3" name="Billing Frequency" dataDxfId="51"/>
    <tableColumn id="4" name="Auto-Renew" dataDxfId="50"/>
    <tableColumn id="5" name="Debit Day" dataDxfId="49"/>
    <tableColumn id="6" name="Price" dataDxfId="48"/>
    <tableColumn id="7" name="Monthly Price" dataDxfId="47">
      <calculatedColumnFormula>IFERROR(IF(SubscriptionTracker[[#This Row],[Billing Frequency]]="Monthly",SubscriptionTracker[[#This Row],[Price]],IF(SubscriptionTracker[[#This Row],[Billing Frequency]]="Quarterly",SubscriptionTracker[[#This Row],[Price]]/3,IF(SubscriptionTracker[[#This Row],[Billing Frequency]]="Annually",SubscriptionTracker[[#This Row],[Price]]/12,""))),"")</calculatedColumnFormula>
    </tableColumn>
    <tableColumn id="8" name="Annual Price" dataDxfId="46">
      <calculatedColumnFormula>IFERROR(SubscriptionTracker[[#This Row],[Monthly Price]]*12,"")</calculatedColumnFormula>
    </tableColumn>
    <tableColumn id="9" name="Notes" dataDxfId="45"/>
  </tableColumns>
  <tableStyleInfo name="TableStyleMedium15" showFirstColumn="0" showLastColumn="0" showRowStripes="0"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10.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_rels/sheet11.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3.xml" Id="rId2" /></Relationships>
</file>

<file path=xl/worksheets/_rels/sheet12.xml.rels><Relationships xmlns="http://schemas.openxmlformats.org/package/2006/relationships"><Relationship Type="http://schemas.openxmlformats.org/officeDocument/2006/relationships/drawing" Target="/xl/drawings/drawing4.xml" Id="rId1" /></Relationships>
</file>

<file path=xl/worksheets/_rels/sheet14.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5.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F4C9CE"/>
    <outlinePr summaryBelow="1" summaryRight="1"/>
    <pageSetUpPr/>
  </sheetPr>
  <dimension ref="A1:A30"/>
  <sheetViews>
    <sheetView showGridLines="0" topLeftCell="A2" workbookViewId="0">
      <selection activeCell="A26" sqref="A26"/>
    </sheetView>
  </sheetViews>
  <sheetFormatPr baseColWidth="8" defaultRowHeight="15"/>
  <cols>
    <col width="116" customWidth="1" style="232" min="1" max="1"/>
  </cols>
  <sheetData>
    <row r="1" ht="52" customHeight="1" s="232">
      <c r="A1" s="235" t="inlineStr">
        <is>
          <t>Calm Money Reset</t>
        </is>
      </c>
    </row>
    <row r="2" ht="18" customHeight="1" s="232">
      <c r="A2" s="236" t="inlineStr">
        <is>
          <t>An ADHD-friendly budget and debt tracker. Shame-free, visual, and built to feel calm, not overwhelming.</t>
        </is>
      </c>
    </row>
    <row r="3" ht="36" customHeight="1" s="232">
      <c r="A3" s="237" t="n"/>
    </row>
    <row r="4" ht="25" customHeight="1" s="232">
      <c r="A4" s="238" t="inlineStr">
        <is>
          <t>Hi, welcome! This planner takes care of the math for you. You just fill in your numbers.</t>
        </is>
      </c>
    </row>
    <row r="5">
      <c r="A5" s="237" t="n"/>
    </row>
    <row r="6" ht="42" customHeight="1" s="232">
      <c r="A6" s="239" t="inlineStr">
        <is>
          <t>This planner is built for Microsoft Excel (and Excel Online/OneDrive). It also works in Google Sheets once uploaded, though some conditional formatting and colors may shift slightly.</t>
        </is>
      </c>
    </row>
    <row r="7">
      <c r="A7" s="237" t="n"/>
    </row>
    <row r="8" ht="25" customHeight="1" s="232">
      <c r="A8" s="240" t="inlineStr">
        <is>
          <t>How to Use This Planner</t>
        </is>
      </c>
    </row>
    <row r="9" ht="59" customHeight="1" s="232">
      <c r="A9" s="241" t="inlineStr">
        <is>
          <t>1. Make it yours first. Go to the Transactions Log tab and the Settings tab to add your own income sources, bill names, expense categories, savings goals, and debts. You only need to do this once. Everything else in the workbook updates automatically from this list.</t>
        </is>
      </c>
    </row>
    <row r="10" ht="59" customHeight="1" s="232">
      <c r="A10" s="241" t="inlineStr">
        <is>
          <t>2. Set your starting point. On the Paycheck Budget tab (or the Flexible Income Budget tab if your income varies), choose your Start Date and how often you get paid: Weekly, Biweekly, Semi-Monthly, or Monthly. You can start on any day, not just the 1st of the month.</t>
        </is>
      </c>
    </row>
    <row r="11" ht="59" customHeight="1" s="232">
      <c r="A11" s="241" t="inlineStr">
        <is>
          <t>3. Log everything in one place. Every time money comes in or goes out, add one line to the Transactions Log: the date, the category, the type (Bill, Expense, Saving, Debt, or Income), and the amount. This is the only place you enter numbers. Every other tab reads from this log automatically, so nothing needs to be typed twice.</t>
        </is>
      </c>
    </row>
    <row r="12" ht="59" customHeight="1" s="232">
      <c r="A12" s="241" t="inlineStr">
        <is>
          <t>4. Watch your dashboard update. The Paycheck Budget tab shows your "Amount Left to Spend," your income vs. bills vs. expenses vs. savings vs. debt, and simple charts. All of it updates the moment you add a transaction. You don't need to touch any formulas.</t>
        </is>
      </c>
    </row>
    <row r="13" ht="42" customHeight="1" s="232">
      <c r="A13" s="241" t="inlineStr">
        <is>
          <t>5. Add your bills once, and let the calendar do the rest. Log your bills as Type "Bill" in the Transactions Log with their due date, and they'll automatically appear on the Bill Calendar that month.</t>
        </is>
      </c>
    </row>
    <row r="14" ht="59" customHeight="1" s="232">
      <c r="A14" s="241" t="inlineStr">
        <is>
          <t>6. Track subscriptions and goals as bonuses. Use the Subscription Tracker to see what you're really paying for streaming, memberships, and software each month. Use the Savings &amp; Debt Goal Tracker to watch progress toward specific goals (like a holiday fund or paying off a credit card) fill up visually.</t>
        </is>
      </c>
    </row>
    <row r="15" ht="42" customHeight="1" s="232">
      <c r="A15" s="241" t="inlineStr">
        <is>
          <t>7. Not sure where to start? Look at the Example tab. It's a fully filled-out sample month. If anything ever looks broken, compare it to the Example tab rather than guessing.</t>
        </is>
      </c>
    </row>
    <row r="16">
      <c r="A16" s="237" t="n"/>
    </row>
    <row r="17" ht="25" customHeight="1" s="232">
      <c r="A17" s="242" t="inlineStr">
        <is>
          <t>Which Tab Should I Use?</t>
        </is>
      </c>
    </row>
    <row r="18" ht="25" customHeight="1" s="232">
      <c r="A18" s="241" t="inlineStr">
        <is>
          <t>If you get a regular paycheck (weekly, biweekly, semi-monthly, or monthly) → use the Paycheck Budget tab.</t>
        </is>
      </c>
    </row>
    <row r="19" ht="42" customHeight="1" s="232">
      <c r="A19" s="241" t="inlineStr">
        <is>
          <t>If your income changes month to month (freelance, commission, gig work, multiple income streams) → use the Flexible Income Budget tab instead. Both work the same way. Just choose the one that matches how you're paid.</t>
        </is>
      </c>
    </row>
    <row r="20">
      <c r="A20" s="237" t="n"/>
    </row>
    <row r="21" ht="25" customHeight="1" s="232">
      <c r="A21" s="243" t="inlineStr">
        <is>
          <t>A Few Things to Know</t>
        </is>
      </c>
    </row>
    <row r="22" ht="25" customHeight="1" s="232">
      <c r="A22" s="241" t="inlineStr">
        <is>
          <t>• This planner is undated. You can start today, whatever day it is. No need to wait for a new month.</t>
        </is>
      </c>
    </row>
    <row r="23" ht="42" customHeight="1" s="232">
      <c r="A23" s="241" t="inlineStr">
        <is>
          <t>• Colored cells are the only cells you should type in. Everything else calculates itself and is locked so it can't accidentally break.</t>
        </is>
      </c>
    </row>
    <row r="24" ht="42" customHeight="1" s="232">
      <c r="A24" s="241" t="inlineStr">
        <is>
          <t>• This planner is built for Microsoft Excel. It will also open in Google Sheets, though a few colors may look slightly different.</t>
        </is>
      </c>
    </row>
    <row r="25" ht="25" customHeight="1" s="232">
      <c r="A25" s="241" t="inlineStr">
        <is>
          <t>• If you ever get stuck, check the Notes FAQ tab first, it covers the most common questions.</t>
        </is>
      </c>
    </row>
    <row r="26" ht="59" customHeight="1" s="232">
      <c r="A26" s="244" t="inlineStr">
        <is>
          <t>• To start a new month: right-click the Paycheck Budget (or Flexible Income Budget) tab, choose Move or Copy, check "Create a copy," and rename it (e.g., "August"). Update the Start Date and Budget Period End on the new tab, and everything recalculates for the new month automatically.</t>
        </is>
      </c>
    </row>
    <row r="27" ht="25" customHeight="1" s="232">
      <c r="A27" s="245" t="inlineStr">
        <is>
          <t>House of Calm</t>
        </is>
      </c>
    </row>
    <row r="28" ht="25" customHeight="1" s="232">
      <c r="A28" s="246" t="inlineStr">
        <is>
          <t>Thank you for supporting a small shop. I hope this planner brings a little more calm to your money.</t>
        </is>
      </c>
    </row>
    <row r="29" ht="42" customHeight="1" s="232">
      <c r="A29" s="247" t="inlineStr">
        <is>
          <t>Quick guide: paycheck-based income → Paycheck Budget tab. Irregular or freelance income → Flexible Income Budget tab.</t>
        </is>
      </c>
    </row>
    <row r="30">
      <c r="A30" s="248" t="n"/>
    </row>
  </sheetData>
  <sheetProtection selectLockedCells="0" selectUnlockedCells="0" sheet="1" objects="1" insertRows="1" insertHyperlinks="1" autoFilter="0" scenarios="1" formatColumns="1" deleteColumns="1" insertColumns="1" pivotTables="1" deleteRows="1" formatCells="0" formatRows="1" sort="0"/>
  <mergeCells count="1">
    <mergeCell ref="A1"/>
  </mergeCells>
  <pageMargins left="0.7" right="0.7" top="0.75" bottom="0.75" header="0.3" footer="0.3"/>
</worksheet>
</file>

<file path=xl/worksheets/sheet2.xml><?xml version="1.0" encoding="utf-8"?>
<worksheet xmlns="http://schemas.openxmlformats.org/spreadsheetml/2006/main">
  <sheetPr>
    <tabColor rgb="00C8D8C4"/>
    <outlinePr summaryBelow="1" summaryRight="1"/>
    <pageSetUpPr/>
  </sheetPr>
  <dimension ref="A1:J18"/>
  <sheetViews>
    <sheetView showGridLines="0" workbookViewId="0">
      <selection activeCell="A1" sqref="A1"/>
    </sheetView>
  </sheetViews>
  <sheetFormatPr baseColWidth="8" defaultRowHeight="15"/>
  <cols>
    <col width="3" customWidth="1" style="232" min="1" max="1"/>
    <col width="13" customWidth="1" style="232" min="2" max="2"/>
    <col width="13" customWidth="1" style="232" min="3" max="3"/>
    <col width="13" customWidth="1" style="232" min="4" max="4"/>
    <col width="13" customWidth="1" style="232" min="5" max="5"/>
    <col width="13" customWidth="1" style="232" min="6" max="6"/>
    <col width="13" customWidth="1" style="232" min="7" max="7"/>
    <col width="3" customWidth="1" style="232" min="8" max="8"/>
    <col width="2" customWidth="1" style="232" min="9" max="9"/>
    <col hidden="1" width="2" customWidth="1" style="232" min="10" max="10"/>
  </cols>
  <sheetData>
    <row r="1" ht="46" customHeight="1" s="232">
      <c r="A1" s="249" t="inlineStr">
        <is>
          <t>🌿 Calm Money Reset</t>
        </is>
      </c>
      <c r="B1" s="250" t="n"/>
      <c r="C1" s="250" t="n"/>
      <c r="D1" s="250" t="n"/>
      <c r="E1" s="250" t="n"/>
      <c r="F1" s="250" t="n"/>
      <c r="G1" s="250" t="n"/>
      <c r="H1" s="250" t="n"/>
    </row>
    <row r="2" ht="30" customHeight="1" s="232">
      <c r="A2" s="251" t="inlineStr">
        <is>
          <t>One calm glance. No dense charts, no red flags. Just what you need to decide right now.</t>
        </is>
      </c>
    </row>
    <row r="4" ht="20" customHeight="1" s="232">
      <c r="B4" s="252" t="inlineStr">
        <is>
          <t>Safe to spend this week</t>
        </is>
      </c>
      <c r="C4" s="253" t="n"/>
      <c r="D4" s="254" t="inlineStr">
        <is>
          <t>Days until next bill</t>
        </is>
      </c>
      <c r="E4" s="255" t="n"/>
      <c r="F4" s="256" t="inlineStr">
        <is>
          <t>Low-spend streak</t>
        </is>
      </c>
      <c r="G4" s="257" t="n"/>
    </row>
    <row r="5" ht="26" customHeight="1" s="232">
      <c r="B5" s="258">
        <f>IFERROR(MAX('Flexible Income Budget'!E10,0)/MAX(ROUNDUP(('Flexible Income Budget'!B7-TODAY())/7,0),1),0)</f>
        <v/>
      </c>
      <c r="C5" s="253" t="n"/>
      <c r="D5" s="259">
        <f t="array" ref="D5">IFERROR(IF(COUNTIFS(TransactionsLog[Type],"Bill",TransactionsLog[Date],"&gt;="&amp;TODAY())=0,"None",MIN(IF((TransactionsLog[Type]="Bill")*(TransactionsLog[Date]&gt;=TODAY()),TransactionsLog[Date],""))-TODAY()),"None")</f>
        <v/>
      </c>
      <c r="E5" s="255" t="n"/>
      <c r="F5" s="260">
        <f>IFERROR('🌱 Low-Spend Streaks'!$B$7,0)</f>
        <v/>
      </c>
      <c r="G5" s="257" t="n"/>
    </row>
    <row r="6" ht="26" customHeight="1" s="232">
      <c r="B6" s="253" t="n"/>
      <c r="C6" s="253" t="n"/>
      <c r="D6" s="255" t="n"/>
      <c r="E6" s="255" t="n"/>
      <c r="F6" s="257" t="n"/>
      <c r="G6" s="257" t="n"/>
    </row>
    <row r="8" ht="26" customHeight="1" s="232">
      <c r="A8" s="261" t="inlineStr">
        <is>
          <t>Your progress</t>
        </is>
      </c>
    </row>
    <row r="10" ht="24" customHeight="1" s="232">
      <c r="A10" s="262" t="inlineStr">
        <is>
          <t>💚  Debt paid off</t>
        </is>
      </c>
      <c r="D10" s="263">
        <f>REPT("█",ROUND($J$10*24,0))&amp;REPT("░",24-ROUND($J$10*24,0))</f>
        <v/>
      </c>
      <c r="H10" s="264">
        <f>$J$10</f>
        <v/>
      </c>
      <c r="J10">
        <f>IFERROR(SUM('Savings &amp; Debt Goal Tracker'!E17:E24)/SUM('Savings &amp; Debt Goal Tracker'!B17:B24),0)</f>
        <v/>
      </c>
    </row>
    <row r="12" ht="24" customHeight="1" s="232">
      <c r="A12" s="262" t="inlineStr">
        <is>
          <t>🌷  Savings goal</t>
        </is>
      </c>
      <c r="D12" s="263">
        <f>REPT("█",ROUND($J$12*24,0))&amp;REPT("░",24-ROUND($J$12*24,0))</f>
        <v/>
      </c>
      <c r="H12" s="264">
        <f>$J$12</f>
        <v/>
      </c>
      <c r="J12">
        <f>IFERROR(SUM('Savings &amp; Debt Goal Tracker'!E6:E13)/SUM('Savings &amp; Debt Goal Tracker'!B6:B13),0)</f>
        <v/>
      </c>
    </row>
    <row r="14" ht="26" customHeight="1" s="232">
      <c r="A14" s="265" t="inlineStr">
        <is>
          <t>This month, at a glance</t>
        </is>
      </c>
    </row>
    <row r="15" ht="18" customHeight="1" s="232">
      <c r="B15" s="266" t="inlineStr">
        <is>
          <t>Income</t>
        </is>
      </c>
      <c r="C15" s="253" t="n"/>
      <c r="D15" s="267" t="inlineStr">
        <is>
          <t>Spent</t>
        </is>
      </c>
      <c r="E15" s="257" t="n"/>
      <c r="F15" s="268" t="inlineStr">
        <is>
          <t>Left to spend</t>
        </is>
      </c>
      <c r="G15" s="269" t="n"/>
    </row>
    <row r="16" ht="24" customHeight="1" s="232">
      <c r="B16" s="270">
        <f>'Flexible Income Budget'!E5</f>
        <v/>
      </c>
      <c r="C16" s="253" t="n"/>
      <c r="D16" s="271">
        <f>'Flexible Income Budget'!O5</f>
        <v/>
      </c>
      <c r="E16" s="257" t="n"/>
      <c r="F16" s="272">
        <f>'Flexible Income Budget'!E10</f>
        <v/>
      </c>
      <c r="G16" s="269" t="n"/>
    </row>
    <row r="18" ht="34" customHeight="1" s="232">
      <c r="A18" s="273" t="inlineStr">
        <is>
          <t>This isn't about restriction. It's about awareness, and you're already here, paying attention. That counts. 🤍</t>
        </is>
      </c>
    </row>
  </sheetData>
  <sheetProtection selectLockedCells="0" selectUnlockedCells="0" sheet="1" objects="0" insertRows="1" insertHyperlinks="1" autoFilter="1" scenarios="0" formatColumns="1" deleteColumns="1" insertColumns="1" pivotTables="1" deleteRows="1" formatCells="0" formatRows="1" sort="1"/>
  <mergeCells count="21">
    <mergeCell ref="F4:G4"/>
    <mergeCell ref="B16:C16"/>
    <mergeCell ref="D12:G12"/>
    <mergeCell ref="F16:G16"/>
    <mergeCell ref="A1:H1"/>
    <mergeCell ref="A12:C12"/>
    <mergeCell ref="F15:G15"/>
    <mergeCell ref="B5:C6"/>
    <mergeCell ref="D5:E6"/>
    <mergeCell ref="D10:G10"/>
    <mergeCell ref="A10:C10"/>
    <mergeCell ref="A18:H18"/>
    <mergeCell ref="D16:E16"/>
    <mergeCell ref="A2:H2"/>
    <mergeCell ref="D4:E4"/>
    <mergeCell ref="A14:H14"/>
    <mergeCell ref="A8:H8"/>
    <mergeCell ref="B15:C15"/>
    <mergeCell ref="D15:E15"/>
    <mergeCell ref="F5:G6"/>
    <mergeCell ref="B4:C4"/>
  </mergeCells>
  <pageMargins left="0.75" right="0.75" top="1" bottom="1" header="0.5" footer="0.5"/>
</worksheet>
</file>

<file path=xl/worksheets/sheet3.xml><?xml version="1.0" encoding="utf-8"?>
<worksheet xmlns="http://schemas.openxmlformats.org/spreadsheetml/2006/main">
  <sheetPr>
    <tabColor rgb="00C9DDE8"/>
    <outlinePr summaryBelow="1" summaryRight="1"/>
    <pageSetUpPr fitToPage="1"/>
  </sheetPr>
  <dimension ref="A1:Z232"/>
  <sheetViews>
    <sheetView showGridLines="0" tabSelected="1" zoomScale="70" zoomScaleNormal="70" workbookViewId="0">
      <selection activeCell="C10" sqref="C10"/>
    </sheetView>
  </sheetViews>
  <sheetFormatPr baseColWidth="8" defaultRowHeight="15"/>
  <cols>
    <col width="27" customWidth="1" style="232" min="1" max="1"/>
    <col width="12" customWidth="1" style="232" min="2" max="3"/>
    <col width="12" customWidth="1" style="232" min="3" max="3"/>
    <col width="18" customWidth="1" style="232" min="4" max="4"/>
    <col width="11" customWidth="1" style="232" min="5" max="5"/>
    <col width="3" customWidth="1" style="232" min="6" max="6"/>
    <col width="12" customWidth="1" style="232" min="7" max="8"/>
    <col width="12" customWidth="1" style="232" min="8" max="8"/>
    <col width="12" customWidth="1" style="232" min="9" max="13"/>
    <col width="12" customWidth="1" style="232" min="10" max="10"/>
    <col width="12" customWidth="1" style="232" min="11" max="11"/>
    <col width="12" customWidth="1" style="232" min="12" max="12"/>
    <col width="12" customWidth="1" style="232" min="13" max="13"/>
    <col hidden="1" outlineLevel="3" style="12" min="14" max="15"/>
    <col hidden="1" outlineLevel="2" style="232" min="16" max="16"/>
    <col collapsed="1" width="9.140625" customWidth="1" style="232" min="17" max="17"/>
  </cols>
  <sheetData>
    <row r="1" ht="46" customHeight="1" s="232">
      <c r="A1" s="274" t="inlineStr">
        <is>
          <t>Flexible Income Budget</t>
        </is>
      </c>
      <c r="B1" s="250" t="n"/>
      <c r="C1" s="250" t="n"/>
      <c r="D1" s="250" t="n"/>
      <c r="E1" s="250" t="n"/>
      <c r="F1" s="250" t="n"/>
      <c r="G1" s="275" t="inlineStr">
        <is>
          <t>LEFT TO SPEND</t>
        </is>
      </c>
      <c r="H1" s="276" t="n"/>
      <c r="I1" s="277" t="inlineStr">
        <is>
          <t>INCOME</t>
        </is>
      </c>
      <c r="J1" s="278" t="inlineStr">
        <is>
          <t>BILLS</t>
        </is>
      </c>
      <c r="K1" s="279" t="inlineStr">
        <is>
          <t>EXPENSES</t>
        </is>
      </c>
      <c r="L1" s="280" t="inlineStr">
        <is>
          <t>SAVINGS</t>
        </is>
      </c>
      <c r="M1" s="281" t="inlineStr">
        <is>
          <t>DEBT</t>
        </is>
      </c>
      <c r="N1" s="282" t="n"/>
      <c r="O1" s="282" t="n"/>
      <c r="P1" s="282" t="n"/>
      <c r="Q1" s="283" t="n"/>
      <c r="R1" s="283" t="n"/>
      <c r="S1" s="283" t="n"/>
      <c r="T1" s="283" t="n"/>
      <c r="U1" s="283" t="n"/>
      <c r="V1" s="283" t="n"/>
      <c r="W1" s="283" t="n"/>
      <c r="X1" s="283" t="n"/>
      <c r="Y1" s="283" t="n"/>
      <c r="Z1" s="283" t="n"/>
    </row>
    <row r="2" ht="42" customHeight="1" s="232">
      <c r="A2" s="284" t="inlineStr">
        <is>
          <t>Built for income that changes month to month: freelance, commission, gig work, or multiple income streams. Everything below still reads from your Transactions Log automatically.</t>
        </is>
      </c>
      <c r="B2" s="285" t="n"/>
      <c r="C2" s="285" t="n"/>
      <c r="D2" s="285" t="n"/>
      <c r="E2" s="285" t="n"/>
      <c r="F2" s="286" t="n"/>
      <c r="G2" s="287">
        <f>E10</f>
        <v/>
      </c>
      <c r="H2" s="286" t="n"/>
      <c r="I2" s="288">
        <f>C20</f>
        <v/>
      </c>
      <c r="J2" s="289">
        <f>C32</f>
        <v/>
      </c>
      <c r="K2" s="290">
        <f>C44</f>
        <v/>
      </c>
      <c r="L2" s="291">
        <f>C53</f>
        <v/>
      </c>
      <c r="M2" s="292">
        <f>C61</f>
        <v/>
      </c>
      <c r="N2" s="293" t="n"/>
      <c r="O2" s="293" t="n"/>
      <c r="P2" s="294" t="n"/>
      <c r="Q2" s="283" t="n"/>
      <c r="R2" s="283" t="n"/>
      <c r="S2" s="283" t="n"/>
      <c r="T2" s="283" t="n"/>
      <c r="U2" s="283" t="n"/>
      <c r="V2" s="283" t="n"/>
      <c r="W2" s="283" t="n"/>
      <c r="X2" s="283" t="n"/>
      <c r="Y2" s="283" t="n"/>
      <c r="Z2" s="283" t="n"/>
    </row>
    <row r="3" ht="26.1" customHeight="1" s="232" thickBot="1">
      <c r="A3" s="295" t="n"/>
      <c r="B3" s="295" t="n"/>
      <c r="C3" s="295" t="n"/>
      <c r="D3" s="295" t="n"/>
      <c r="E3" s="295" t="n"/>
      <c r="F3" s="295" t="n"/>
      <c r="G3" s="296" t="n"/>
      <c r="H3" s="297" t="n"/>
      <c r="I3" s="298" t="n"/>
      <c r="J3" s="299" t="n"/>
      <c r="K3" s="300" t="n"/>
      <c r="L3" s="301" t="n"/>
      <c r="M3" s="302" t="n"/>
      <c r="N3" s="303" t="inlineStr">
        <is>
          <t>Chart data (auto, don't edit)</t>
        </is>
      </c>
      <c r="O3" s="293" t="n"/>
      <c r="P3" s="294" t="n"/>
      <c r="Q3" s="283" t="n"/>
      <c r="R3" s="283" t="n"/>
      <c r="S3" s="283" t="n"/>
      <c r="T3" s="283" t="n"/>
      <c r="U3" s="283" t="n"/>
      <c r="V3" s="283" t="n"/>
      <c r="W3" s="283" t="n"/>
      <c r="X3" s="283" t="n"/>
      <c r="Y3" s="283" t="n"/>
      <c r="Z3" s="283" t="n"/>
    </row>
    <row r="4" ht="26" customHeight="1" s="232">
      <c r="A4" s="304" t="inlineStr">
        <is>
          <t>Your Setup</t>
        </is>
      </c>
      <c r="B4" s="305" t="n"/>
      <c r="C4" s="306" t="n"/>
      <c r="D4" s="307" t="inlineStr">
        <is>
          <t>Cash Flow Summary</t>
        </is>
      </c>
      <c r="E4" s="308" t="n"/>
      <c r="F4" s="309" t="n"/>
      <c r="G4" s="310">
        <f>"Days left: "&amp;IF(ISNUMBER(B7),MAX(B7-TODAY(),0),0)</f>
        <v/>
      </c>
      <c r="H4" s="285" t="n"/>
      <c r="I4" s="285" t="n"/>
      <c r="J4" s="285" t="n"/>
      <c r="K4" s="285" t="n"/>
      <c r="L4" s="285" t="n"/>
      <c r="M4" s="285" t="n"/>
      <c r="N4" s="293" t="inlineStr">
        <is>
          <t>Left to Spend</t>
        </is>
      </c>
      <c r="O4" s="311">
        <f>MAX(E10,0)</f>
        <v/>
      </c>
      <c r="P4" s="294" t="n"/>
      <c r="Q4" s="283" t="n"/>
      <c r="R4" s="283" t="n"/>
      <c r="S4" s="283" t="n"/>
      <c r="T4" s="283" t="n"/>
      <c r="U4" s="283" t="n"/>
      <c r="V4" s="283" t="n"/>
      <c r="W4" s="283" t="n"/>
      <c r="X4" s="283" t="n"/>
      <c r="Y4" s="283" t="n"/>
      <c r="Z4" s="283" t="n"/>
    </row>
    <row r="5">
      <c r="A5" s="312" t="inlineStr">
        <is>
          <t>Start Date</t>
        </is>
      </c>
      <c r="B5" s="313" t="n">
        <v>46235</v>
      </c>
      <c r="C5" s="295" t="n"/>
      <c r="D5" s="312" t="inlineStr">
        <is>
          <t>Income</t>
        </is>
      </c>
      <c r="E5" s="314">
        <f>C20</f>
        <v/>
      </c>
      <c r="F5" s="315" t="n"/>
      <c r="G5" s="295" t="n"/>
      <c r="H5" s="295" t="n"/>
      <c r="I5" s="295" t="n"/>
      <c r="J5" s="295" t="n"/>
      <c r="K5" s="295" t="n"/>
      <c r="L5" s="295" t="n"/>
      <c r="M5" s="295" t="n"/>
      <c r="N5" s="293" t="inlineStr">
        <is>
          <t>Spent</t>
        </is>
      </c>
      <c r="O5" s="311">
        <f>C32+C44+C53+C61</f>
        <v/>
      </c>
      <c r="P5" s="294" t="n"/>
      <c r="Q5" s="283" t="n"/>
      <c r="R5" s="283" t="n"/>
      <c r="S5" s="283" t="n"/>
      <c r="T5" s="283" t="n"/>
      <c r="U5" s="283" t="n"/>
      <c r="V5" s="283" t="n"/>
      <c r="W5" s="283" t="n"/>
      <c r="X5" s="283" t="n"/>
      <c r="Y5" s="283" t="n"/>
      <c r="Z5" s="283" t="n"/>
    </row>
    <row r="6">
      <c r="A6" s="312" t="inlineStr">
        <is>
          <t>Pay Frequency</t>
        </is>
      </c>
      <c r="B6" s="316" t="inlineStr">
        <is>
          <t>Monthly</t>
        </is>
      </c>
      <c r="C6" s="295" t="n"/>
      <c r="D6" s="312" t="inlineStr">
        <is>
          <t>Bills</t>
        </is>
      </c>
      <c r="E6" s="314">
        <f>-C32</f>
        <v/>
      </c>
      <c r="F6" s="315" t="n"/>
      <c r="G6" s="295" t="n"/>
      <c r="H6" s="295" t="n"/>
      <c r="I6" s="295" t="n"/>
      <c r="J6" s="295" t="n"/>
      <c r="K6" s="295" t="n"/>
      <c r="L6" s="295" t="n"/>
      <c r="M6" s="295" t="n"/>
      <c r="N6" s="293" t="n"/>
      <c r="O6" s="293" t="n"/>
      <c r="P6" s="294" t="n"/>
      <c r="Q6" s="283" t="n"/>
      <c r="R6" s="283" t="n"/>
      <c r="S6" s="283" t="n"/>
      <c r="T6" s="283" t="n"/>
      <c r="U6" s="283" t="n"/>
      <c r="V6" s="283" t="n"/>
      <c r="W6" s="283" t="n"/>
      <c r="X6" s="283" t="n"/>
      <c r="Y6" s="283" t="n"/>
      <c r="Z6" s="283" t="n"/>
    </row>
    <row r="7">
      <c r="A7" s="312" t="inlineStr">
        <is>
          <t>Budget Period End</t>
        </is>
      </c>
      <c r="B7" s="317" t="n">
        <v>46265</v>
      </c>
      <c r="C7" s="318" t="n"/>
      <c r="D7" s="312" t="inlineStr">
        <is>
          <t>Expenses</t>
        </is>
      </c>
      <c r="E7" s="314">
        <f>-C44</f>
        <v/>
      </c>
      <c r="F7" s="315" t="n"/>
      <c r="G7" s="295" t="n"/>
      <c r="H7" s="295" t="n"/>
      <c r="I7" s="295" t="n"/>
      <c r="J7" s="295" t="n"/>
      <c r="K7" s="295" t="n"/>
      <c r="L7" s="295" t="n"/>
      <c r="M7" s="295" t="n"/>
      <c r="N7" s="293" t="n"/>
      <c r="O7" s="293" t="n"/>
      <c r="P7" s="294" t="n"/>
      <c r="Q7" s="283" t="n"/>
      <c r="R7" s="283" t="n"/>
      <c r="S7" s="283" t="n"/>
      <c r="T7" s="283" t="n"/>
      <c r="U7" s="283" t="n"/>
      <c r="V7" s="283" t="n"/>
      <c r="W7" s="283" t="n"/>
      <c r="X7" s="283" t="n"/>
      <c r="Y7" s="283" t="n"/>
      <c r="Z7" s="283" t="n"/>
    </row>
    <row r="8">
      <c r="A8" s="319" t="inlineStr">
        <is>
          <t>Currency</t>
        </is>
      </c>
      <c r="B8" s="320" t="inlineStr">
        <is>
          <t>USD</t>
        </is>
      </c>
      <c r="C8" s="295" t="n"/>
      <c r="D8" s="312" t="inlineStr">
        <is>
          <t>Savings</t>
        </is>
      </c>
      <c r="E8" s="314">
        <f>-C53</f>
        <v/>
      </c>
      <c r="F8" s="315" t="n"/>
      <c r="G8" s="295" t="n"/>
      <c r="H8" s="295" t="n"/>
      <c r="I8" s="295" t="n"/>
      <c r="J8" s="295" t="n"/>
      <c r="K8" s="295" t="n"/>
      <c r="L8" s="295" t="n"/>
      <c r="M8" s="295" t="n"/>
      <c r="N8" s="293" t="inlineStr">
        <is>
          <t>Bills</t>
        </is>
      </c>
      <c r="O8" s="311">
        <f>C32</f>
        <v/>
      </c>
      <c r="P8" s="294" t="n"/>
      <c r="Q8" s="283" t="n"/>
      <c r="R8" s="283" t="n"/>
      <c r="S8" s="283" t="n"/>
      <c r="T8" s="283" t="n"/>
      <c r="U8" s="283" t="n"/>
      <c r="V8" s="283" t="n"/>
      <c r="W8" s="283" t="n"/>
      <c r="X8" s="283" t="n"/>
      <c r="Y8" s="283" t="n"/>
      <c r="Z8" s="283" t="n"/>
    </row>
    <row r="9">
      <c r="A9" s="295" t="n"/>
      <c r="B9" s="295" t="n"/>
      <c r="C9" s="295" t="n"/>
      <c r="D9" s="312" t="inlineStr">
        <is>
          <t>Debt</t>
        </is>
      </c>
      <c r="E9" s="314">
        <f>-C61</f>
        <v/>
      </c>
      <c r="F9" s="315" t="n"/>
      <c r="G9" s="295" t="n"/>
      <c r="H9" s="295" t="n"/>
      <c r="I9" s="295" t="n"/>
      <c r="J9" s="295" t="n"/>
      <c r="K9" s="295" t="n"/>
      <c r="L9" s="295" t="n"/>
      <c r="M9" s="295" t="n"/>
      <c r="N9" s="293" t="inlineStr">
        <is>
          <t>Expenses</t>
        </is>
      </c>
      <c r="O9" s="311">
        <f>C44</f>
        <v/>
      </c>
      <c r="P9" s="294" t="n"/>
      <c r="Q9" s="283" t="n"/>
      <c r="R9" s="283" t="n"/>
      <c r="S9" s="283" t="n"/>
      <c r="T9" s="283" t="n"/>
      <c r="U9" s="283" t="n"/>
      <c r="V9" s="283" t="n"/>
      <c r="W9" s="283" t="n"/>
      <c r="X9" s="283" t="n"/>
      <c r="Y9" s="283" t="n"/>
      <c r="Z9" s="283" t="n"/>
    </row>
    <row r="10">
      <c r="A10" s="295" t="n"/>
      <c r="B10" s="295" t="n"/>
      <c r="C10" s="295" t="n"/>
      <c r="D10" s="321" t="inlineStr">
        <is>
          <t>Amount Left to Spend</t>
        </is>
      </c>
      <c r="E10" s="322">
        <f>E5+E6+E7+E8+E9</f>
        <v/>
      </c>
      <c r="F10" s="323" t="n"/>
      <c r="G10" s="295" t="n"/>
      <c r="H10" s="295" t="n"/>
      <c r="I10" s="324">
        <f>E10</f>
        <v/>
      </c>
      <c r="J10" s="285" t="n"/>
      <c r="K10" s="285" t="n"/>
      <c r="L10" s="295" t="n"/>
      <c r="M10" s="295" t="n"/>
      <c r="N10" s="293" t="inlineStr">
        <is>
          <t>Savings</t>
        </is>
      </c>
      <c r="O10" s="311">
        <f>C53</f>
        <v/>
      </c>
      <c r="P10" s="294" t="n"/>
      <c r="Q10" s="283" t="n"/>
      <c r="R10" s="283" t="n"/>
      <c r="S10" s="283" t="n"/>
      <c r="T10" s="283" t="n"/>
      <c r="U10" s="283" t="n"/>
      <c r="V10" s="283" t="n"/>
      <c r="W10" s="283" t="n"/>
      <c r="X10" s="283" t="n"/>
      <c r="Y10" s="283" t="n"/>
      <c r="Z10" s="283" t="n"/>
    </row>
    <row r="11">
      <c r="A11" s="295" t="n"/>
      <c r="B11" s="295" t="n"/>
      <c r="C11" s="295" t="n"/>
      <c r="D11" s="295" t="n"/>
      <c r="E11" s="295" t="n"/>
      <c r="F11" s="295" t="n"/>
      <c r="G11" s="295" t="n"/>
      <c r="H11" s="295" t="n"/>
      <c r="I11" s="285" t="n"/>
      <c r="J11" s="285" t="n"/>
      <c r="K11" s="285" t="n"/>
      <c r="L11" s="295" t="n"/>
      <c r="M11" s="295" t="n"/>
      <c r="N11" s="293" t="inlineStr">
        <is>
          <t>Debt</t>
        </is>
      </c>
      <c r="O11" s="311">
        <f>C61</f>
        <v/>
      </c>
      <c r="P11" s="294" t="n"/>
      <c r="Q11" s="283" t="n"/>
      <c r="R11" s="283" t="n"/>
      <c r="S11" s="283" t="n"/>
      <c r="T11" s="283" t="n"/>
      <c r="U11" s="283" t="n"/>
      <c r="V11" s="283" t="n"/>
      <c r="W11" s="283" t="n"/>
      <c r="X11" s="283" t="n"/>
      <c r="Y11" s="283" t="n"/>
      <c r="Z11" s="283" t="n"/>
    </row>
    <row r="12">
      <c r="A12" s="295" t="n"/>
      <c r="B12" s="295" t="n"/>
      <c r="C12" s="295" t="n"/>
      <c r="D12" s="295" t="n"/>
      <c r="E12" s="295" t="n"/>
      <c r="F12" s="295" t="n"/>
      <c r="G12" s="295" t="n"/>
      <c r="H12" s="295" t="n"/>
      <c r="I12" s="285" t="n"/>
      <c r="J12" s="285" t="n"/>
      <c r="K12" s="285" t="n"/>
      <c r="L12" s="295" t="n"/>
      <c r="M12" s="295" t="n"/>
      <c r="N12" s="293" t="inlineStr">
        <is>
          <t>Left to Spend</t>
        </is>
      </c>
      <c r="O12" s="311">
        <f>MAX(E10,0)</f>
        <v/>
      </c>
      <c r="P12" s="294" t="n"/>
      <c r="Q12" s="283" t="n"/>
      <c r="R12" s="283" t="n"/>
      <c r="S12" s="283" t="n"/>
      <c r="T12" s="283" t="n"/>
      <c r="U12" s="283" t="n"/>
      <c r="V12" s="283" t="n"/>
      <c r="W12" s="283" t="n"/>
      <c r="X12" s="283" t="n"/>
      <c r="Y12" s="283" t="n"/>
      <c r="Z12" s="283" t="n"/>
    </row>
    <row r="13">
      <c r="A13" s="295" t="n"/>
      <c r="B13" s="295" t="n"/>
      <c r="C13" s="295" t="n"/>
      <c r="D13" s="295" t="n"/>
      <c r="E13" s="295" t="n"/>
      <c r="F13" s="295" t="n"/>
      <c r="G13" s="295" t="n"/>
      <c r="H13" s="295" t="n"/>
      <c r="I13" s="295" t="n"/>
      <c r="J13" s="295" t="n"/>
      <c r="K13" s="295" t="n"/>
      <c r="L13" s="295" t="n"/>
      <c r="M13" s="295" t="n"/>
      <c r="N13" s="293" t="n"/>
      <c r="O13" s="293" t="n"/>
      <c r="P13" s="294" t="n"/>
      <c r="Q13" s="283" t="n"/>
      <c r="R13" s="283" t="n"/>
      <c r="S13" s="283" t="n"/>
      <c r="T13" s="283" t="n"/>
      <c r="U13" s="283" t="n"/>
      <c r="V13" s="283" t="n"/>
      <c r="W13" s="283" t="n"/>
      <c r="X13" s="283" t="n"/>
      <c r="Y13" s="283" t="n"/>
      <c r="Z13" s="283" t="n"/>
    </row>
    <row r="14" ht="30" customHeight="1" s="232">
      <c r="A14" s="325" t="inlineStr">
        <is>
          <t>Income Summary</t>
        </is>
      </c>
      <c r="B14" s="326" t="inlineStr">
        <is>
          <t>Budget</t>
        </is>
      </c>
      <c r="C14" s="326" t="inlineStr">
        <is>
          <t>Actual</t>
        </is>
      </c>
      <c r="D14" s="327" t="inlineStr">
        <is>
          <t>Above/Below Budget</t>
        </is>
      </c>
      <c r="E14" s="328" t="inlineStr">
        <is>
          <t>✓</t>
        </is>
      </c>
      <c r="F14" s="295" t="n"/>
      <c r="G14" s="295" t="n"/>
      <c r="H14" s="295" t="n"/>
      <c r="I14" s="295" t="n"/>
      <c r="J14" s="295" t="n"/>
      <c r="K14" s="295" t="n"/>
      <c r="L14" s="295" t="n"/>
      <c r="M14" s="295" t="n"/>
      <c r="N14" s="293" t="n"/>
      <c r="O14" s="293" t="n"/>
      <c r="P14" s="294" t="n"/>
      <c r="Q14" s="283" t="n"/>
      <c r="R14" s="283" t="n"/>
      <c r="S14" s="283" t="n"/>
      <c r="T14" s="283" t="n"/>
      <c r="U14" s="283" t="n"/>
      <c r="V14" s="283" t="n"/>
      <c r="W14" s="283" t="n"/>
      <c r="X14" s="283" t="n"/>
      <c r="Y14" s="283" t="n"/>
      <c r="Z14" s="283" t="n"/>
    </row>
    <row r="15" ht="18" customHeight="1" s="232">
      <c r="A15" s="329">
        <f>Settings!A3</f>
        <v/>
      </c>
      <c r="B15" s="330" t="n">
        <v>0</v>
      </c>
      <c r="C15" s="330">
        <f>SUMIFS(TransactionsLog[Amount],TransactionsLog[Category],$A15,TransactionsLog[Date],"&gt;="&amp;PeriodStart,TransactionsLog[Date],"&lt;="&amp;PeriodEnd)</f>
        <v/>
      </c>
      <c r="D15" s="331">
        <f>C15-B15</f>
        <v/>
      </c>
      <c r="E15" s="332" t="n"/>
      <c r="F15" s="295" t="n"/>
      <c r="G15" s="295" t="n"/>
      <c r="H15" s="295" t="n"/>
      <c r="I15" s="295" t="n"/>
      <c r="J15" s="295" t="n"/>
      <c r="K15" s="295" t="n"/>
      <c r="L15" s="295" t="n"/>
      <c r="M15" s="295" t="n"/>
      <c r="N15" s="293" t="inlineStr">
        <is>
          <t>Category</t>
        </is>
      </c>
      <c r="O15" s="293" t="inlineStr">
        <is>
          <t>Actual</t>
        </is>
      </c>
      <c r="P15" s="294" t="n"/>
      <c r="Q15" s="283" t="n"/>
      <c r="R15" s="283" t="n"/>
      <c r="S15" s="283" t="n"/>
      <c r="T15" s="283" t="n"/>
      <c r="U15" s="283" t="n"/>
      <c r="V15" s="283" t="n"/>
      <c r="W15" s="283" t="n"/>
      <c r="X15" s="283" t="n"/>
      <c r="Y15" s="283" t="n"/>
      <c r="Z15" s="283" t="n"/>
    </row>
    <row r="16" ht="18" customHeight="1" s="232">
      <c r="A16" s="329">
        <f>Settings!A4</f>
        <v/>
      </c>
      <c r="B16" s="330" t="n">
        <v>0</v>
      </c>
      <c r="C16" s="330">
        <f>SUMIFS(TransactionsLog[Amount],TransactionsLog[Category],$A16,TransactionsLog[Date],"&gt;="&amp;PeriodStart,TransactionsLog[Date],"&lt;="&amp;PeriodEnd)</f>
        <v/>
      </c>
      <c r="D16" s="331">
        <f>C16-B16</f>
        <v/>
      </c>
      <c r="E16" s="332" t="n"/>
      <c r="F16" s="295" t="n"/>
      <c r="G16" s="295" t="n"/>
      <c r="H16" s="295" t="n"/>
      <c r="I16" s="295" t="n"/>
      <c r="J16" s="295" t="n"/>
      <c r="K16" s="295" t="n"/>
      <c r="L16" s="295" t="n"/>
      <c r="M16" s="295" t="n"/>
      <c r="N16" s="293">
        <f>A36</f>
        <v/>
      </c>
      <c r="O16" s="311">
        <f>C36</f>
        <v/>
      </c>
      <c r="P16" s="294" t="n"/>
      <c r="Q16" s="283" t="n"/>
      <c r="R16" s="283" t="n"/>
      <c r="S16" s="283" t="n"/>
      <c r="T16" s="283" t="n"/>
      <c r="U16" s="283" t="n"/>
      <c r="V16" s="283" t="n"/>
      <c r="W16" s="283" t="n"/>
      <c r="X16" s="283" t="n"/>
      <c r="Y16" s="283" t="n"/>
      <c r="Z16" s="283" t="n"/>
    </row>
    <row r="17" ht="18" customHeight="1" s="232">
      <c r="A17" s="329">
        <f>Settings!A5</f>
        <v/>
      </c>
      <c r="B17" s="330" t="n">
        <v>0</v>
      </c>
      <c r="C17" s="330">
        <f>SUMIFS(TransactionsLog[Amount],TransactionsLog[Category],$A17,TransactionsLog[Date],"&gt;="&amp;PeriodStart,TransactionsLog[Date],"&lt;="&amp;PeriodEnd)</f>
        <v/>
      </c>
      <c r="D17" s="331">
        <f>C17-B17</f>
        <v/>
      </c>
      <c r="E17" s="332" t="n"/>
      <c r="F17" s="295" t="n"/>
      <c r="G17" s="295" t="n"/>
      <c r="H17" s="295" t="n"/>
      <c r="I17" s="295" t="n"/>
      <c r="J17" s="295" t="n"/>
      <c r="K17" s="295" t="n"/>
      <c r="L17" s="295" t="n"/>
      <c r="M17" s="295" t="n"/>
      <c r="N17" s="293">
        <f>A37</f>
        <v/>
      </c>
      <c r="O17" s="311">
        <f>C37</f>
        <v/>
      </c>
      <c r="P17" s="294" t="n"/>
      <c r="Q17" s="283" t="n"/>
      <c r="R17" s="283" t="n"/>
      <c r="S17" s="283" t="n"/>
      <c r="T17" s="283" t="n"/>
      <c r="U17" s="283" t="n"/>
      <c r="V17" s="283" t="n"/>
      <c r="W17" s="283" t="n"/>
      <c r="X17" s="283" t="n"/>
      <c r="Y17" s="283" t="n"/>
      <c r="Z17" s="283" t="n"/>
    </row>
    <row r="18" ht="18" customHeight="1" s="232">
      <c r="A18" s="329">
        <f>Settings!A6</f>
        <v/>
      </c>
      <c r="B18" s="330" t="n">
        <v>0</v>
      </c>
      <c r="C18" s="330">
        <f>SUMIFS(TransactionsLog[Amount],TransactionsLog[Category],$A18,TransactionsLog[Date],"&gt;="&amp;PeriodStart,TransactionsLog[Date],"&lt;="&amp;PeriodEnd)</f>
        <v/>
      </c>
      <c r="D18" s="331">
        <f>C18-B18</f>
        <v/>
      </c>
      <c r="E18" s="332" t="n"/>
      <c r="F18" s="295" t="n"/>
      <c r="G18" s="295" t="n"/>
      <c r="H18" s="295" t="n"/>
      <c r="I18" s="295" t="n"/>
      <c r="J18" s="295" t="n"/>
      <c r="K18" s="295" t="n"/>
      <c r="L18" s="295" t="n"/>
      <c r="M18" s="295" t="n"/>
      <c r="N18" s="293">
        <f>A38</f>
        <v/>
      </c>
      <c r="O18" s="311">
        <f>C38</f>
        <v/>
      </c>
      <c r="P18" s="294" t="n"/>
      <c r="Q18" s="283" t="n"/>
      <c r="R18" s="283" t="n"/>
      <c r="S18" s="283" t="n"/>
      <c r="T18" s="283" t="n"/>
      <c r="U18" s="283" t="n"/>
      <c r="V18" s="283" t="n"/>
      <c r="W18" s="283" t="n"/>
      <c r="X18" s="283" t="n"/>
      <c r="Y18" s="283" t="n"/>
      <c r="Z18" s="283" t="n"/>
    </row>
    <row r="19" ht="18" customHeight="1" s="232">
      <c r="A19" s="329">
        <f>Settings!A7</f>
        <v/>
      </c>
      <c r="B19" s="330" t="n">
        <v>0</v>
      </c>
      <c r="C19" s="330">
        <f>SUMIFS(TransactionsLog[Amount],TransactionsLog[Category],$A19,TransactionsLog[Date],"&gt;="&amp;PeriodStart,TransactionsLog[Date],"&lt;="&amp;PeriodEnd)</f>
        <v/>
      </c>
      <c r="D19" s="331">
        <f>C19-B19</f>
        <v/>
      </c>
      <c r="E19" s="332" t="n"/>
      <c r="F19" s="295" t="n"/>
      <c r="G19" s="295" t="n"/>
      <c r="H19" s="295" t="n"/>
      <c r="I19" s="295" t="n"/>
      <c r="J19" s="295" t="n"/>
      <c r="K19" s="295" t="n"/>
      <c r="L19" s="295" t="n"/>
      <c r="M19" s="295" t="n"/>
      <c r="N19" s="293">
        <f>A39</f>
        <v/>
      </c>
      <c r="O19" s="311">
        <f>C39</f>
        <v/>
      </c>
      <c r="P19" s="294" t="n"/>
      <c r="Q19" s="283" t="n"/>
      <c r="R19" s="283" t="n"/>
      <c r="S19" s="283" t="n"/>
      <c r="T19" s="283" t="n"/>
      <c r="U19" s="283" t="n"/>
      <c r="V19" s="283" t="n"/>
      <c r="W19" s="283" t="n"/>
      <c r="X19" s="283" t="n"/>
      <c r="Y19" s="283" t="n"/>
      <c r="Z19" s="283" t="n"/>
    </row>
    <row r="20" ht="18" customHeight="1" s="232">
      <c r="A20" s="333" t="inlineStr">
        <is>
          <t>Total Income</t>
        </is>
      </c>
      <c r="B20" s="334">
        <f>SUM(B15:B19)</f>
        <v/>
      </c>
      <c r="C20" s="334">
        <f>SUM(C15:C19)</f>
        <v/>
      </c>
      <c r="D20" s="335">
        <f>C20-B20</f>
        <v/>
      </c>
      <c r="E20" s="336" t="n"/>
      <c r="F20" s="295" t="n"/>
      <c r="G20" s="295" t="n"/>
      <c r="H20" s="295" t="n"/>
      <c r="I20" s="295" t="n"/>
      <c r="J20" s="295" t="n"/>
      <c r="K20" s="295" t="n"/>
      <c r="L20" s="295" t="n"/>
      <c r="M20" s="295" t="n"/>
      <c r="N20" s="293">
        <f>A40</f>
        <v/>
      </c>
      <c r="O20" s="311">
        <f>C40</f>
        <v/>
      </c>
      <c r="P20" s="294" t="n"/>
      <c r="Q20" s="283" t="n"/>
      <c r="R20" s="283" t="n"/>
      <c r="S20" s="283" t="n"/>
      <c r="T20" s="283" t="n"/>
      <c r="U20" s="283" t="n"/>
      <c r="V20" s="283" t="n"/>
      <c r="W20" s="283" t="n"/>
      <c r="X20" s="283" t="n"/>
      <c r="Y20" s="283" t="n"/>
      <c r="Z20" s="283" t="n"/>
    </row>
    <row r="21">
      <c r="A21" s="295" t="n"/>
      <c r="B21" s="295" t="n"/>
      <c r="C21" s="295" t="n"/>
      <c r="D21" s="295" t="n"/>
      <c r="E21" s="295" t="n"/>
      <c r="F21" s="295" t="n"/>
      <c r="G21" s="295" t="n"/>
      <c r="H21" s="295" t="n"/>
      <c r="I21" s="295" t="n"/>
      <c r="J21" s="295" t="n"/>
      <c r="K21" s="295" t="n"/>
      <c r="L21" s="295" t="n"/>
      <c r="M21" s="295" t="n"/>
      <c r="N21" s="293">
        <f>A41</f>
        <v/>
      </c>
      <c r="O21" s="311">
        <f>C41</f>
        <v/>
      </c>
      <c r="P21" s="294" t="n"/>
      <c r="Q21" s="283" t="n"/>
      <c r="R21" s="283" t="n"/>
      <c r="S21" s="283" t="n"/>
      <c r="T21" s="283" t="n"/>
      <c r="U21" s="283" t="n"/>
      <c r="V21" s="283" t="n"/>
      <c r="W21" s="283" t="n"/>
      <c r="X21" s="283" t="n"/>
      <c r="Y21" s="283" t="n"/>
      <c r="Z21" s="283" t="n"/>
    </row>
    <row r="22">
      <c r="A22" s="295" t="n"/>
      <c r="B22" s="295" t="n"/>
      <c r="C22" s="295" t="n"/>
      <c r="D22" s="295" t="n"/>
      <c r="E22" s="295" t="n"/>
      <c r="F22" s="295" t="n"/>
      <c r="G22" s="295" t="n"/>
      <c r="H22" s="295" t="n"/>
      <c r="I22" s="295" t="n"/>
      <c r="J22" s="295" t="n"/>
      <c r="K22" s="295" t="n"/>
      <c r="L22" s="295" t="n"/>
      <c r="M22" s="295" t="n"/>
      <c r="N22" s="293">
        <f>A42</f>
        <v/>
      </c>
      <c r="O22" s="311">
        <f>C42</f>
        <v/>
      </c>
      <c r="P22" s="294" t="n"/>
      <c r="Q22" s="283" t="n"/>
      <c r="R22" s="283" t="n"/>
      <c r="S22" s="283" t="n"/>
      <c r="T22" s="283" t="n"/>
      <c r="U22" s="283" t="n"/>
      <c r="V22" s="283" t="n"/>
      <c r="W22" s="283" t="n"/>
      <c r="X22" s="283" t="n"/>
      <c r="Y22" s="283" t="n"/>
      <c r="Z22" s="283" t="n"/>
    </row>
    <row r="23" ht="30" customHeight="1" s="232">
      <c r="A23" s="337" t="inlineStr">
        <is>
          <t>Bill Tracker</t>
        </is>
      </c>
      <c r="B23" s="338" t="inlineStr">
        <is>
          <t>Budget</t>
        </is>
      </c>
      <c r="C23" s="338" t="inlineStr">
        <is>
          <t>Actual</t>
        </is>
      </c>
      <c r="D23" s="339" t="inlineStr">
        <is>
          <t>Remaining</t>
        </is>
      </c>
      <c r="E23" s="340" t="inlineStr">
        <is>
          <t>✓</t>
        </is>
      </c>
      <c r="F23" s="295" t="n"/>
      <c r="G23" s="295" t="n"/>
      <c r="H23" s="295" t="n"/>
      <c r="I23" s="295" t="n"/>
      <c r="J23" s="295" t="n"/>
      <c r="K23" s="295" t="n"/>
      <c r="L23" s="295" t="n"/>
      <c r="M23" s="295" t="n"/>
      <c r="N23" s="293">
        <f>A43</f>
        <v/>
      </c>
      <c r="O23" s="311">
        <f>C43</f>
        <v/>
      </c>
      <c r="P23" s="294" t="n"/>
      <c r="Q23" s="283" t="n"/>
      <c r="R23" s="283" t="n"/>
      <c r="S23" s="283" t="n"/>
      <c r="T23" s="283" t="n"/>
      <c r="U23" s="283" t="n"/>
      <c r="V23" s="283" t="n"/>
      <c r="W23" s="283" t="n"/>
      <c r="X23" s="283" t="n"/>
      <c r="Y23" s="283" t="n"/>
      <c r="Z23" s="283" t="n"/>
    </row>
    <row r="24" ht="18" customHeight="1" s="232">
      <c r="A24" s="341">
        <f>Settings!A8</f>
        <v/>
      </c>
      <c r="B24" s="330" t="n">
        <v>0</v>
      </c>
      <c r="C24" s="330">
        <f>SUMIFS(TransactionsLog[Amount],TransactionsLog[Category],$A24,TransactionsLog[Date],"&gt;="&amp;PeriodStart,TransactionsLog[Date],"&lt;="&amp;PeriodEnd)</f>
        <v/>
      </c>
      <c r="D24" s="331">
        <f>B24-C24</f>
        <v/>
      </c>
      <c r="E24" s="342" t="inlineStr">
        <is>
          <t>✓</t>
        </is>
      </c>
      <c r="F24" s="295" t="n"/>
      <c r="G24" s="295" t="n"/>
      <c r="H24" s="295" t="n"/>
      <c r="I24" s="295" t="n"/>
      <c r="J24" s="295" t="n"/>
      <c r="K24" s="295" t="n"/>
      <c r="L24" s="295" t="n"/>
      <c r="M24" s="295" t="n"/>
      <c r="N24" s="293" t="n"/>
      <c r="O24" s="293" t="n"/>
      <c r="P24" s="294" t="n"/>
      <c r="Q24" s="283" t="n"/>
      <c r="R24" s="283" t="n"/>
      <c r="S24" s="283" t="n"/>
      <c r="T24" s="283" t="n"/>
      <c r="U24" s="283" t="n"/>
      <c r="V24" s="283" t="n"/>
      <c r="W24" s="283" t="n"/>
      <c r="X24" s="283" t="n"/>
      <c r="Y24" s="283" t="n"/>
      <c r="Z24" s="283" t="n"/>
    </row>
    <row r="25" ht="18" customHeight="1" s="232">
      <c r="A25" s="341">
        <f>Settings!A9</f>
        <v/>
      </c>
      <c r="B25" s="330" t="n">
        <v>0</v>
      </c>
      <c r="C25" s="330">
        <f>SUMIFS(TransactionsLog[Amount],TransactionsLog[Category],$A25,TransactionsLog[Date],"&gt;="&amp;PeriodStart,TransactionsLog[Date],"&lt;="&amp;PeriodEnd)</f>
        <v/>
      </c>
      <c r="D25" s="331">
        <f>B25-C25</f>
        <v/>
      </c>
      <c r="E25" s="342" t="n"/>
      <c r="F25" s="295" t="n"/>
      <c r="G25" s="295" t="n"/>
      <c r="H25" s="295" t="n"/>
      <c r="I25" s="295" t="n"/>
      <c r="J25" s="295" t="n"/>
      <c r="K25" s="295" t="n"/>
      <c r="L25" s="295" t="n"/>
      <c r="M25" s="295" t="n"/>
      <c r="N25" s="293" t="n"/>
      <c r="O25" s="293" t="n"/>
      <c r="P25" s="294" t="n"/>
      <c r="Q25" s="283" t="n"/>
      <c r="R25" s="283" t="n"/>
      <c r="S25" s="283" t="n"/>
      <c r="T25" s="283" t="n"/>
      <c r="U25" s="283" t="n"/>
      <c r="V25" s="283" t="n"/>
      <c r="W25" s="283" t="n"/>
      <c r="X25" s="283" t="n"/>
      <c r="Y25" s="283" t="n"/>
      <c r="Z25" s="283" t="n"/>
    </row>
    <row r="26" ht="18" customHeight="1" s="232">
      <c r="A26" s="341">
        <f>Settings!A10</f>
        <v/>
      </c>
      <c r="B26" s="330" t="n">
        <v>0</v>
      </c>
      <c r="C26" s="330">
        <f>SUMIFS(TransactionsLog[Amount],TransactionsLog[Category],$A26,TransactionsLog[Date],"&gt;="&amp;PeriodStart,TransactionsLog[Date],"&lt;="&amp;PeriodEnd)</f>
        <v/>
      </c>
      <c r="D26" s="331">
        <f>B26-C26</f>
        <v/>
      </c>
      <c r="E26" s="342" t="n"/>
      <c r="F26" s="295" t="n"/>
      <c r="G26" s="295" t="n"/>
      <c r="H26" s="295" t="n"/>
      <c r="I26" s="295" t="n"/>
      <c r="J26" s="295" t="n"/>
      <c r="K26" s="295" t="n"/>
      <c r="L26" s="295" t="n"/>
      <c r="M26" s="295" t="n"/>
      <c r="N26" s="343" t="inlineStr">
        <is>
          <t>Category</t>
        </is>
      </c>
      <c r="O26" s="343" t="inlineStr">
        <is>
          <t>Budget</t>
        </is>
      </c>
      <c r="P26" s="343" t="inlineStr">
        <is>
          <t>Actual</t>
        </is>
      </c>
      <c r="Q26" s="283" t="n"/>
      <c r="R26" s="283" t="n"/>
      <c r="S26" s="283" t="n"/>
      <c r="T26" s="283" t="n"/>
      <c r="U26" s="283" t="n"/>
      <c r="V26" s="283" t="n"/>
      <c r="W26" s="283" t="n"/>
      <c r="X26" s="283" t="n"/>
      <c r="Y26" s="283" t="n"/>
      <c r="Z26" s="283" t="n"/>
    </row>
    <row r="27" ht="18" customHeight="1" s="232">
      <c r="A27" s="341">
        <f>Settings!A11</f>
        <v/>
      </c>
      <c r="B27" s="330" t="n">
        <v>0</v>
      </c>
      <c r="C27" s="330">
        <f>SUMIFS(TransactionsLog[Amount],TransactionsLog[Category],$A27,TransactionsLog[Date],"&gt;="&amp;PeriodStart,TransactionsLog[Date],"&lt;="&amp;PeriodEnd)</f>
        <v/>
      </c>
      <c r="D27" s="331">
        <f>B27-C27</f>
        <v/>
      </c>
      <c r="E27" s="342" t="n"/>
      <c r="F27" s="295" t="n"/>
      <c r="G27" s="295" t="n"/>
      <c r="H27" s="295" t="n"/>
      <c r="I27" s="295" t="n"/>
      <c r="J27" s="295" t="n"/>
      <c r="K27" s="295" t="n"/>
      <c r="L27" s="295" t="n"/>
      <c r="M27" s="295" t="n"/>
      <c r="N27" s="343" t="inlineStr">
        <is>
          <t>Income</t>
        </is>
      </c>
      <c r="O27" s="343">
        <f>B20</f>
        <v/>
      </c>
      <c r="P27" s="343">
        <f>C20</f>
        <v/>
      </c>
      <c r="Q27" s="283" t="n"/>
      <c r="R27" s="283" t="n"/>
      <c r="S27" s="283" t="n"/>
      <c r="T27" s="283" t="n"/>
      <c r="U27" s="283" t="n"/>
      <c r="V27" s="283" t="n"/>
      <c r="W27" s="283" t="n"/>
      <c r="X27" s="283" t="n"/>
      <c r="Y27" s="283" t="n"/>
      <c r="Z27" s="283" t="n"/>
    </row>
    <row r="28" ht="18" customHeight="1" s="232">
      <c r="A28" s="341">
        <f>Settings!A12</f>
        <v/>
      </c>
      <c r="B28" s="330" t="n">
        <v>0</v>
      </c>
      <c r="C28" s="330">
        <f>SUMIFS(TransactionsLog[Amount],TransactionsLog[Category],$A28,TransactionsLog[Date],"&gt;="&amp;PeriodStart,TransactionsLog[Date],"&lt;="&amp;PeriodEnd)</f>
        <v/>
      </c>
      <c r="D28" s="331">
        <f>B28-C28</f>
        <v/>
      </c>
      <c r="E28" s="342" t="n"/>
      <c r="F28" s="295" t="n"/>
      <c r="G28" s="295" t="n"/>
      <c r="H28" s="295" t="n"/>
      <c r="I28" s="295" t="n"/>
      <c r="J28" s="295" t="n"/>
      <c r="K28" s="295" t="n"/>
      <c r="L28" s="295" t="n"/>
      <c r="M28" s="295" t="n"/>
      <c r="N28" s="343" t="inlineStr">
        <is>
          <t>Bills</t>
        </is>
      </c>
      <c r="O28" s="343">
        <f>B32</f>
        <v/>
      </c>
      <c r="P28" s="343">
        <f>C32</f>
        <v/>
      </c>
      <c r="Q28" s="283" t="n"/>
      <c r="R28" s="283" t="n"/>
      <c r="S28" s="283" t="n"/>
      <c r="T28" s="283" t="n"/>
      <c r="U28" s="283" t="n"/>
      <c r="V28" s="283" t="n"/>
      <c r="W28" s="283" t="n"/>
      <c r="X28" s="283" t="n"/>
      <c r="Y28" s="283" t="n"/>
      <c r="Z28" s="283" t="n"/>
    </row>
    <row r="29" ht="18" customHeight="1" s="232">
      <c r="A29" s="341">
        <f>Settings!A13</f>
        <v/>
      </c>
      <c r="B29" s="330" t="n">
        <v>0</v>
      </c>
      <c r="C29" s="330">
        <f>SUMIFS(TransactionsLog[Amount],TransactionsLog[Category],$A29,TransactionsLog[Date],"&gt;="&amp;PeriodStart,TransactionsLog[Date],"&lt;="&amp;PeriodEnd)</f>
        <v/>
      </c>
      <c r="D29" s="331">
        <f>B29-C29</f>
        <v/>
      </c>
      <c r="E29" s="342" t="n"/>
      <c r="F29" s="295" t="n"/>
      <c r="G29" s="295" t="n"/>
      <c r="H29" s="295" t="n"/>
      <c r="I29" s="295" t="n"/>
      <c r="J29" s="295" t="n"/>
      <c r="K29" s="295" t="n"/>
      <c r="L29" s="295" t="n"/>
      <c r="M29" s="295" t="n"/>
      <c r="N29" s="343" t="inlineStr">
        <is>
          <t>Expenses</t>
        </is>
      </c>
      <c r="O29" s="343">
        <f>B44</f>
        <v/>
      </c>
      <c r="P29" s="343">
        <f>C44</f>
        <v/>
      </c>
      <c r="Q29" s="283" t="n"/>
      <c r="R29" s="283" t="n"/>
      <c r="S29" s="283" t="n"/>
      <c r="T29" s="283" t="n"/>
      <c r="U29" s="283" t="n"/>
      <c r="V29" s="283" t="n"/>
      <c r="W29" s="283" t="n"/>
      <c r="X29" s="283" t="n"/>
      <c r="Y29" s="283" t="n"/>
      <c r="Z29" s="283" t="n"/>
    </row>
    <row r="30" ht="18" customHeight="1" s="232">
      <c r="A30" s="341">
        <f>Settings!A14</f>
        <v/>
      </c>
      <c r="B30" s="330" t="n">
        <v>0</v>
      </c>
      <c r="C30" s="330">
        <f>SUMIFS(TransactionsLog[Amount],TransactionsLog[Category],$A30,TransactionsLog[Date],"&gt;="&amp;PeriodStart,TransactionsLog[Date],"&lt;="&amp;PeriodEnd)</f>
        <v/>
      </c>
      <c r="D30" s="331">
        <f>B30-C30</f>
        <v/>
      </c>
      <c r="E30" s="342" t="n"/>
      <c r="F30" s="295" t="n"/>
      <c r="G30" s="295" t="n"/>
      <c r="H30" s="295" t="n"/>
      <c r="I30" s="295" t="n"/>
      <c r="J30" s="295" t="n"/>
      <c r="K30" s="295" t="n"/>
      <c r="L30" s="295" t="n"/>
      <c r="M30" s="295" t="n"/>
      <c r="N30" s="343" t="inlineStr">
        <is>
          <t>Savings</t>
        </is>
      </c>
      <c r="O30" s="343">
        <f>B53</f>
        <v/>
      </c>
      <c r="P30" s="343">
        <f>C53</f>
        <v/>
      </c>
      <c r="Q30" s="283" t="n"/>
      <c r="R30" s="283" t="n"/>
      <c r="S30" s="283" t="n"/>
      <c r="T30" s="283" t="n"/>
      <c r="U30" s="283" t="n"/>
      <c r="V30" s="283" t="n"/>
      <c r="W30" s="283" t="n"/>
      <c r="X30" s="283" t="n"/>
      <c r="Y30" s="283" t="n"/>
      <c r="Z30" s="283" t="n"/>
    </row>
    <row r="31" ht="18" customHeight="1" s="232">
      <c r="A31" s="341">
        <f>Settings!A15</f>
        <v/>
      </c>
      <c r="B31" s="330" t="n">
        <v>0</v>
      </c>
      <c r="C31" s="330">
        <f>'Subscription Tracker'!$C$4</f>
        <v/>
      </c>
      <c r="D31" s="331">
        <f>B31-C31</f>
        <v/>
      </c>
      <c r="E31" s="344" t="n"/>
      <c r="F31" s="295" t="n"/>
      <c r="G31" s="295" t="n"/>
      <c r="H31" s="295" t="n"/>
      <c r="I31" s="295" t="n"/>
      <c r="J31" s="295" t="n"/>
      <c r="K31" s="295" t="n"/>
      <c r="L31" s="295" t="n"/>
      <c r="M31" s="295" t="n"/>
      <c r="N31" s="343" t="inlineStr">
        <is>
          <t>Debt</t>
        </is>
      </c>
      <c r="O31" s="343">
        <f>B61</f>
        <v/>
      </c>
      <c r="P31" s="343">
        <f>C61</f>
        <v/>
      </c>
      <c r="Q31" s="283" t="n"/>
      <c r="R31" s="283" t="n"/>
      <c r="S31" s="283" t="n"/>
      <c r="T31" s="283" t="n"/>
      <c r="U31" s="283" t="n"/>
      <c r="V31" s="283" t="n"/>
      <c r="W31" s="283" t="n"/>
      <c r="X31" s="283" t="n"/>
      <c r="Y31" s="283" t="n"/>
      <c r="Z31" s="283" t="n"/>
    </row>
    <row r="32" ht="18" customHeight="1" s="232">
      <c r="A32" s="345" t="inlineStr">
        <is>
          <t>Total Bills</t>
        </is>
      </c>
      <c r="B32" s="346">
        <f>SUM(B24:B31)</f>
        <v/>
      </c>
      <c r="C32" s="346">
        <f>SUM(C24:C31)</f>
        <v/>
      </c>
      <c r="D32" s="347">
        <f>B32-C32</f>
        <v/>
      </c>
      <c r="E32" s="348" t="n"/>
      <c r="F32" s="295" t="n"/>
      <c r="G32" s="295" t="n"/>
      <c r="H32" s="295" t="n"/>
      <c r="I32" s="295" t="n"/>
      <c r="J32" s="295" t="n"/>
      <c r="K32" s="295" t="n"/>
      <c r="L32" s="295" t="n"/>
      <c r="M32" s="295" t="n"/>
      <c r="N32" s="293" t="n"/>
      <c r="O32" s="293" t="n"/>
      <c r="P32" s="294" t="n"/>
      <c r="Q32" s="283" t="n"/>
      <c r="R32" s="283" t="n"/>
      <c r="S32" s="283" t="n"/>
      <c r="T32" s="283" t="n"/>
      <c r="U32" s="283" t="n"/>
      <c r="V32" s="283" t="n"/>
      <c r="W32" s="283" t="n"/>
      <c r="X32" s="283" t="n"/>
      <c r="Y32" s="283" t="n"/>
      <c r="Z32" s="283" t="n"/>
    </row>
    <row r="33">
      <c r="A33" s="295" t="n"/>
      <c r="B33" s="295" t="n"/>
      <c r="C33" s="295" t="n"/>
      <c r="D33" s="295" t="n"/>
      <c r="E33" s="295" t="n"/>
      <c r="F33" s="295" t="n"/>
      <c r="G33" s="295" t="n"/>
      <c r="H33" s="295" t="n"/>
      <c r="I33" s="295" t="n"/>
      <c r="J33" s="295" t="n"/>
      <c r="K33" s="295" t="n"/>
      <c r="L33" s="295" t="n"/>
      <c r="M33" s="295" t="n"/>
      <c r="N33" s="293" t="n"/>
      <c r="O33" s="293" t="n"/>
      <c r="P33" s="294" t="n"/>
      <c r="Q33" s="283" t="n"/>
      <c r="R33" s="283" t="n"/>
      <c r="S33" s="283" t="n"/>
      <c r="T33" s="283" t="n"/>
      <c r="U33" s="283" t="n"/>
      <c r="V33" s="283" t="n"/>
      <c r="W33" s="283" t="n"/>
      <c r="X33" s="283" t="n"/>
      <c r="Y33" s="283" t="n"/>
      <c r="Z33" s="283" t="n"/>
    </row>
    <row r="34">
      <c r="A34" s="295" t="n"/>
      <c r="B34" s="295" t="n"/>
      <c r="C34" s="295" t="n"/>
      <c r="D34" s="295" t="n"/>
      <c r="E34" s="295" t="n"/>
      <c r="F34" s="295" t="n"/>
      <c r="G34" s="295" t="n"/>
      <c r="H34" s="295" t="n"/>
      <c r="I34" s="295" t="n"/>
      <c r="J34" s="295" t="n"/>
      <c r="K34" s="295" t="n"/>
      <c r="L34" s="295" t="n"/>
      <c r="M34" s="295" t="n"/>
      <c r="N34" s="293" t="n"/>
      <c r="O34" s="293" t="n"/>
      <c r="P34" s="294" t="n"/>
      <c r="Q34" s="283" t="n"/>
      <c r="R34" s="283" t="n"/>
      <c r="S34" s="283" t="n"/>
      <c r="T34" s="283" t="n"/>
      <c r="U34" s="283" t="n"/>
      <c r="V34" s="283" t="n"/>
      <c r="W34" s="283" t="n"/>
      <c r="X34" s="283" t="n"/>
      <c r="Y34" s="283" t="n"/>
      <c r="Z34" s="283" t="n"/>
    </row>
    <row r="35" ht="30" customHeight="1" s="232">
      <c r="A35" s="349" t="inlineStr">
        <is>
          <t>Expense Summary</t>
        </is>
      </c>
      <c r="B35" s="350" t="inlineStr">
        <is>
          <t>Budget</t>
        </is>
      </c>
      <c r="C35" s="350" t="inlineStr">
        <is>
          <t>Actual</t>
        </is>
      </c>
      <c r="D35" s="351" t="inlineStr">
        <is>
          <t>Remaining</t>
        </is>
      </c>
      <c r="E35" s="352" t="inlineStr">
        <is>
          <t>✓</t>
        </is>
      </c>
      <c r="F35" s="295" t="n"/>
      <c r="G35" s="295" t="n"/>
      <c r="H35" s="295" t="n"/>
      <c r="I35" s="295" t="n"/>
      <c r="J35" s="295" t="n"/>
      <c r="K35" s="295" t="n"/>
      <c r="L35" s="295" t="n"/>
      <c r="M35" s="295" t="n"/>
      <c r="N35" s="293" t="n"/>
      <c r="O35" s="293" t="n"/>
      <c r="P35" s="294" t="n"/>
      <c r="Q35" s="283" t="n"/>
      <c r="R35" s="283" t="n"/>
      <c r="S35" s="283" t="n"/>
      <c r="T35" s="283" t="n"/>
      <c r="U35" s="283" t="n"/>
      <c r="V35" s="283" t="n"/>
      <c r="W35" s="283" t="n"/>
      <c r="X35" s="283" t="n"/>
      <c r="Y35" s="283" t="n"/>
      <c r="Z35" s="283" t="n"/>
    </row>
    <row r="36" ht="18" customHeight="1" s="232">
      <c r="A36" s="353">
        <f>Settings!A16</f>
        <v/>
      </c>
      <c r="B36" s="330" t="n">
        <v>0</v>
      </c>
      <c r="C36" s="330" t="n"/>
      <c r="D36" s="331">
        <f>B36-C36</f>
        <v/>
      </c>
      <c r="E36" s="354" t="n"/>
      <c r="F36" s="295" t="n"/>
      <c r="G36" s="295" t="n"/>
      <c r="H36" s="295" t="n"/>
      <c r="I36" s="295" t="n"/>
      <c r="J36" s="295" t="n"/>
      <c r="K36" s="295" t="n"/>
      <c r="L36" s="295" t="n"/>
      <c r="M36" s="295" t="n"/>
      <c r="N36" s="293" t="n"/>
      <c r="O36" s="293" t="n"/>
      <c r="P36" s="294" t="n"/>
      <c r="Q36" s="283" t="n"/>
      <c r="R36" s="283" t="n"/>
      <c r="S36" s="283" t="n"/>
      <c r="T36" s="283" t="n"/>
      <c r="U36" s="283" t="n"/>
      <c r="V36" s="283" t="n"/>
      <c r="W36" s="283" t="n"/>
      <c r="X36" s="283" t="n"/>
      <c r="Y36" s="283" t="n"/>
      <c r="Z36" s="283" t="n"/>
    </row>
    <row r="37" ht="18" customHeight="1" s="232">
      <c r="A37" s="353">
        <f>Settings!A17</f>
        <v/>
      </c>
      <c r="B37" s="330" t="n">
        <v>0</v>
      </c>
      <c r="C37" s="330">
        <f>SUMIFS(TransactionsLog[Amount],TransactionsLog[Category],$A37,TransactionsLog[Date],"&gt;="&amp;PeriodStart,TransactionsLog[Date],"&lt;="&amp;PeriodEnd)</f>
        <v/>
      </c>
      <c r="D37" s="331">
        <f>B37-C37</f>
        <v/>
      </c>
      <c r="E37" s="354" t="n"/>
      <c r="F37" s="295" t="n"/>
      <c r="G37" s="295" t="n"/>
      <c r="H37" s="295" t="n"/>
      <c r="I37" s="295" t="n"/>
      <c r="J37" s="295" t="n"/>
      <c r="K37" s="295" t="n"/>
      <c r="L37" s="295" t="n"/>
      <c r="M37" s="295" t="n"/>
      <c r="N37" s="293" t="n"/>
      <c r="O37" s="293" t="n"/>
      <c r="P37" s="294" t="n"/>
      <c r="Q37" s="283" t="n"/>
      <c r="R37" s="283" t="n"/>
      <c r="S37" s="283" t="n"/>
      <c r="T37" s="283" t="n"/>
      <c r="U37" s="283" t="n"/>
      <c r="V37" s="283" t="n"/>
      <c r="W37" s="283" t="n"/>
      <c r="X37" s="283" t="n"/>
      <c r="Y37" s="283" t="n"/>
      <c r="Z37" s="283" t="n"/>
    </row>
    <row r="38" ht="18" customHeight="1" s="232">
      <c r="A38" s="353">
        <f>Settings!A18</f>
        <v/>
      </c>
      <c r="B38" s="330" t="n">
        <v>0</v>
      </c>
      <c r="C38" s="330">
        <f>SUMIFS(TransactionsLog[Amount],TransactionsLog[Category],$A38,TransactionsLog[Date],"&gt;="&amp;PeriodStart,TransactionsLog[Date],"&lt;="&amp;PeriodEnd)</f>
        <v/>
      </c>
      <c r="D38" s="331">
        <f>B38-C38</f>
        <v/>
      </c>
      <c r="E38" s="354" t="n"/>
      <c r="F38" s="295" t="n"/>
      <c r="G38" s="295" t="n"/>
      <c r="H38" s="295" t="n"/>
      <c r="I38" s="295" t="n"/>
      <c r="J38" s="295" t="n"/>
      <c r="K38" s="295" t="n"/>
      <c r="L38" s="295" t="n"/>
      <c r="M38" s="295" t="n"/>
      <c r="N38" s="293" t="n"/>
      <c r="O38" s="293" t="n"/>
      <c r="P38" s="294" t="n"/>
      <c r="Q38" s="283" t="n"/>
      <c r="R38" s="283" t="n"/>
      <c r="S38" s="283" t="n"/>
      <c r="T38" s="283" t="n"/>
      <c r="U38" s="283" t="n"/>
      <c r="V38" s="283" t="n"/>
      <c r="W38" s="283" t="n"/>
      <c r="X38" s="283" t="n"/>
      <c r="Y38" s="283" t="n"/>
      <c r="Z38" s="283" t="n"/>
    </row>
    <row r="39" ht="18" customHeight="1" s="232">
      <c r="A39" s="353">
        <f>Settings!A19</f>
        <v/>
      </c>
      <c r="B39" s="330" t="n">
        <v>0</v>
      </c>
      <c r="C39" s="330">
        <f>SUMIFS(TransactionsLog[Amount],TransactionsLog[Category],$A39,TransactionsLog[Date],"&gt;="&amp;PeriodStart,TransactionsLog[Date],"&lt;="&amp;PeriodEnd)</f>
        <v/>
      </c>
      <c r="D39" s="331">
        <f>B39-C39</f>
        <v/>
      </c>
      <c r="E39" s="354" t="n"/>
      <c r="F39" s="295" t="n"/>
      <c r="G39" s="295" t="n"/>
      <c r="H39" s="295" t="n"/>
      <c r="I39" s="295" t="n"/>
      <c r="J39" s="295" t="n"/>
      <c r="K39" s="295" t="n"/>
      <c r="L39" s="295" t="n"/>
      <c r="M39" s="295" t="n"/>
      <c r="N39" s="293" t="n"/>
      <c r="O39" s="293" t="n"/>
      <c r="P39" s="294" t="n"/>
      <c r="Q39" s="283" t="n"/>
      <c r="R39" s="283" t="n"/>
      <c r="S39" s="283" t="n"/>
      <c r="T39" s="283" t="n"/>
      <c r="U39" s="283" t="n"/>
      <c r="V39" s="283" t="n"/>
      <c r="W39" s="283" t="n"/>
      <c r="X39" s="283" t="n"/>
      <c r="Y39" s="283" t="n"/>
      <c r="Z39" s="283" t="n"/>
    </row>
    <row r="40" ht="18" customHeight="1" s="232">
      <c r="A40" s="353">
        <f>Settings!A20</f>
        <v/>
      </c>
      <c r="B40" s="330" t="n">
        <v>0</v>
      </c>
      <c r="C40" s="330">
        <f>SUMIFS(TransactionsLog[Amount],TransactionsLog[Category],$A40,TransactionsLog[Date],"&gt;="&amp;PeriodStart,TransactionsLog[Date],"&lt;="&amp;PeriodEnd)</f>
        <v/>
      </c>
      <c r="D40" s="331">
        <f>B40-C40</f>
        <v/>
      </c>
      <c r="E40" s="354" t="n"/>
      <c r="F40" s="295" t="n"/>
      <c r="G40" s="295" t="n"/>
      <c r="H40" s="295" t="n"/>
      <c r="I40" s="295" t="n"/>
      <c r="J40" s="295" t="n"/>
      <c r="K40" s="295" t="n"/>
      <c r="L40" s="295" t="n"/>
      <c r="M40" s="295" t="n"/>
      <c r="N40" s="293" t="n"/>
      <c r="O40" s="293" t="n"/>
      <c r="P40" s="294" t="n"/>
      <c r="Q40" s="283" t="n"/>
      <c r="R40" s="283" t="n"/>
      <c r="S40" s="283" t="n"/>
      <c r="T40" s="283" t="n"/>
      <c r="U40" s="283" t="n"/>
      <c r="V40" s="283" t="n"/>
      <c r="W40" s="283" t="n"/>
      <c r="X40" s="283" t="n"/>
      <c r="Y40" s="283" t="n"/>
      <c r="Z40" s="283" t="n"/>
    </row>
    <row r="41" ht="18" customHeight="1" s="232">
      <c r="A41" s="353">
        <f>Settings!A21</f>
        <v/>
      </c>
      <c r="B41" s="330" t="n">
        <v>0</v>
      </c>
      <c r="C41" s="330">
        <f>SUMIFS(TransactionsLog[Amount],TransactionsLog[Category],$A41,TransactionsLog[Date],"&gt;="&amp;PeriodStart,TransactionsLog[Date],"&lt;="&amp;PeriodEnd)</f>
        <v/>
      </c>
      <c r="D41" s="331">
        <f>B41-C41</f>
        <v/>
      </c>
      <c r="E41" s="354" t="n"/>
      <c r="F41" s="295" t="n"/>
      <c r="G41" s="295" t="n"/>
      <c r="H41" s="295" t="n"/>
      <c r="I41" s="295" t="n"/>
      <c r="J41" s="295" t="n"/>
      <c r="K41" s="295" t="n"/>
      <c r="L41" s="295" t="n"/>
      <c r="M41" s="295" t="n"/>
      <c r="N41" s="355" t="n"/>
      <c r="O41" s="355" t="n"/>
      <c r="P41" s="295" t="n"/>
      <c r="Q41" s="283" t="n"/>
      <c r="R41" s="283" t="n"/>
      <c r="S41" s="283" t="n"/>
      <c r="T41" s="283" t="n"/>
      <c r="U41" s="283" t="n"/>
      <c r="V41" s="283" t="n"/>
      <c r="W41" s="283" t="n"/>
      <c r="X41" s="283" t="n"/>
      <c r="Y41" s="283" t="n"/>
      <c r="Z41" s="283" t="n"/>
    </row>
    <row r="42" ht="18" customHeight="1" s="232">
      <c r="A42" s="353">
        <f>Settings!A22</f>
        <v/>
      </c>
      <c r="B42" s="330" t="n">
        <v>0</v>
      </c>
      <c r="C42" s="330">
        <f>SUMIFS(TransactionsLog[Amount],TransactionsLog[Category],$A42,TransactionsLog[Date],"&gt;="&amp;PeriodStart,TransactionsLog[Date],"&lt;="&amp;PeriodEnd)</f>
        <v/>
      </c>
      <c r="D42" s="331">
        <f>B42-C42</f>
        <v/>
      </c>
      <c r="E42" s="354" t="n"/>
      <c r="F42" s="295" t="n"/>
      <c r="G42" s="295" t="n"/>
      <c r="H42" s="295" t="n"/>
      <c r="I42" s="295" t="n"/>
      <c r="J42" s="295" t="n"/>
      <c r="K42" s="295" t="n"/>
      <c r="L42" s="295" t="n"/>
      <c r="M42" s="295" t="n"/>
      <c r="N42" s="355" t="n"/>
      <c r="O42" s="355" t="n"/>
      <c r="P42" s="295" t="n"/>
      <c r="Q42" s="283" t="n"/>
      <c r="R42" s="283" t="n"/>
      <c r="S42" s="283" t="n"/>
      <c r="T42" s="283" t="n"/>
      <c r="U42" s="283" t="n"/>
      <c r="V42" s="283" t="n"/>
      <c r="W42" s="283" t="n"/>
      <c r="X42" s="283" t="n"/>
      <c r="Y42" s="283" t="n"/>
      <c r="Z42" s="283" t="n"/>
    </row>
    <row r="43" ht="18" customHeight="1" s="232">
      <c r="A43" s="353">
        <f>Settings!A23</f>
        <v/>
      </c>
      <c r="B43" s="330" t="n">
        <v>0</v>
      </c>
      <c r="C43" s="330">
        <f>SUMIFS(TransactionsLog[Amount],TransactionsLog[Category],$A43,TransactionsLog[Date],"&gt;="&amp;PeriodStart,TransactionsLog[Date],"&lt;="&amp;PeriodEnd)</f>
        <v/>
      </c>
      <c r="D43" s="331">
        <f>B43-C43</f>
        <v/>
      </c>
      <c r="E43" s="354" t="n"/>
      <c r="F43" s="295" t="n"/>
      <c r="G43" s="295" t="n"/>
      <c r="H43" s="295" t="n"/>
      <c r="I43" s="295" t="n"/>
      <c r="J43" s="295" t="n"/>
      <c r="K43" s="295" t="n"/>
      <c r="L43" s="295" t="n"/>
      <c r="M43" s="295" t="n"/>
      <c r="N43" s="355" t="n"/>
      <c r="O43" s="355" t="n"/>
      <c r="P43" s="295" t="n"/>
      <c r="Q43" s="283" t="n"/>
      <c r="R43" s="283" t="n"/>
      <c r="S43" s="283" t="n"/>
      <c r="T43" s="283" t="n"/>
      <c r="U43" s="283" t="n"/>
      <c r="V43" s="283" t="n"/>
      <c r="W43" s="283" t="n"/>
      <c r="X43" s="283" t="n"/>
      <c r="Y43" s="283" t="n"/>
      <c r="Z43" s="283" t="n"/>
    </row>
    <row r="44" ht="18" customHeight="1" s="232">
      <c r="A44" s="356" t="inlineStr">
        <is>
          <t>Total Expenses</t>
        </is>
      </c>
      <c r="B44" s="357">
        <f>SUM(B36:B43)</f>
        <v/>
      </c>
      <c r="C44" s="357">
        <f>SUM(C36:C43)</f>
        <v/>
      </c>
      <c r="D44" s="358">
        <f>B44-C44</f>
        <v/>
      </c>
      <c r="E44" s="359" t="n"/>
      <c r="F44" s="295" t="n"/>
      <c r="G44" s="295" t="n"/>
      <c r="H44" s="295" t="n"/>
      <c r="I44" s="295" t="n"/>
      <c r="J44" s="295" t="n"/>
      <c r="K44" s="295" t="n"/>
      <c r="L44" s="295" t="n"/>
      <c r="M44" s="295" t="n"/>
      <c r="N44" s="355" t="n"/>
      <c r="O44" s="355" t="n"/>
      <c r="P44" s="295" t="n"/>
      <c r="Q44" s="283" t="n"/>
      <c r="R44" s="283" t="n"/>
      <c r="S44" s="283" t="n"/>
      <c r="T44" s="283" t="n"/>
      <c r="U44" s="283" t="n"/>
      <c r="V44" s="283" t="n"/>
      <c r="W44" s="283" t="n"/>
      <c r="X44" s="283" t="n"/>
      <c r="Y44" s="283" t="n"/>
      <c r="Z44" s="283" t="n"/>
    </row>
    <row r="45">
      <c r="A45" s="295" t="n"/>
      <c r="B45" s="295" t="n"/>
      <c r="C45" s="295" t="n"/>
      <c r="D45" s="295" t="n"/>
      <c r="E45" s="295" t="n"/>
      <c r="F45" s="295" t="n"/>
      <c r="G45" s="295" t="n"/>
      <c r="H45" s="295" t="n"/>
      <c r="I45" s="295" t="n"/>
      <c r="J45" s="295" t="n"/>
      <c r="K45" s="295" t="n"/>
      <c r="L45" s="295" t="n"/>
      <c r="M45" s="295" t="n"/>
      <c r="N45" s="355" t="n"/>
      <c r="O45" s="355" t="n"/>
      <c r="P45" s="295" t="n"/>
      <c r="Q45" s="283" t="n"/>
      <c r="R45" s="283" t="n"/>
      <c r="S45" s="283" t="n"/>
      <c r="T45" s="283" t="n"/>
      <c r="U45" s="283" t="n"/>
      <c r="V45" s="283" t="n"/>
      <c r="W45" s="283" t="n"/>
      <c r="X45" s="283" t="n"/>
      <c r="Y45" s="283" t="n"/>
      <c r="Z45" s="283" t="n"/>
    </row>
    <row r="46">
      <c r="A46" s="295" t="n"/>
      <c r="B46" s="295" t="n"/>
      <c r="C46" s="295" t="n"/>
      <c r="D46" s="295" t="n"/>
      <c r="E46" s="295" t="n"/>
      <c r="F46" s="295" t="n"/>
      <c r="G46" s="295" t="n"/>
      <c r="H46" s="295" t="n"/>
      <c r="I46" s="295" t="n"/>
      <c r="J46" s="295" t="n"/>
      <c r="K46" s="295" t="n"/>
      <c r="L46" s="295" t="n"/>
      <c r="M46" s="295" t="n"/>
      <c r="N46" s="355" t="n"/>
      <c r="O46" s="355" t="n"/>
      <c r="P46" s="295" t="n"/>
      <c r="Q46" s="283" t="n"/>
      <c r="R46" s="283" t="n"/>
      <c r="S46" s="283" t="n"/>
      <c r="T46" s="283" t="n"/>
      <c r="U46" s="283" t="n"/>
      <c r="V46" s="283" t="n"/>
      <c r="W46" s="283" t="n"/>
      <c r="X46" s="283" t="n"/>
      <c r="Y46" s="283" t="n"/>
      <c r="Z46" s="283" t="n"/>
    </row>
    <row r="47" ht="30" customHeight="1" s="232">
      <c r="A47" s="360" t="inlineStr">
        <is>
          <t>Savings Tracker</t>
        </is>
      </c>
      <c r="B47" s="361" t="inlineStr">
        <is>
          <t>Budget</t>
        </is>
      </c>
      <c r="C47" s="361" t="inlineStr">
        <is>
          <t>Actual</t>
        </is>
      </c>
      <c r="D47" s="362" t="inlineStr">
        <is>
          <t>Remaining</t>
        </is>
      </c>
      <c r="E47" s="363" t="inlineStr">
        <is>
          <t>✓</t>
        </is>
      </c>
      <c r="F47" s="295" t="n"/>
      <c r="G47" s="295" t="n"/>
      <c r="H47" s="295" t="n"/>
      <c r="I47" s="295" t="n"/>
      <c r="J47" s="295" t="n"/>
      <c r="K47" s="295" t="n"/>
      <c r="L47" s="295" t="n"/>
      <c r="M47" s="295" t="n"/>
      <c r="N47" s="355" t="n"/>
      <c r="O47" s="355" t="n"/>
      <c r="P47" s="295" t="n"/>
      <c r="Q47" s="283" t="n"/>
      <c r="R47" s="283" t="n"/>
      <c r="S47" s="283" t="n"/>
      <c r="T47" s="283" t="n"/>
      <c r="U47" s="283" t="n"/>
      <c r="V47" s="283" t="n"/>
      <c r="W47" s="283" t="n"/>
      <c r="X47" s="283" t="n"/>
      <c r="Y47" s="283" t="n"/>
      <c r="Z47" s="283" t="n"/>
    </row>
    <row r="48" ht="18" customHeight="1" s="232">
      <c r="A48" s="364">
        <f>Settings!A24</f>
        <v/>
      </c>
      <c r="B48" s="330" t="n">
        <v>0</v>
      </c>
      <c r="C48" s="330">
        <f>SUMIFS(TransactionsLog[Amount],TransactionsLog[Category],$A48,TransactionsLog[Date],"&gt;="&amp;PeriodStart,TransactionsLog[Date],"&lt;="&amp;PeriodEnd)</f>
        <v/>
      </c>
      <c r="D48" s="331">
        <f>B48-C48</f>
        <v/>
      </c>
      <c r="E48" s="365" t="n"/>
      <c r="F48" s="295" t="n"/>
      <c r="G48" s="295" t="n"/>
      <c r="H48" s="295" t="n"/>
      <c r="I48" s="295" t="n"/>
      <c r="J48" s="295" t="n"/>
      <c r="K48" s="295" t="n"/>
      <c r="L48" s="295" t="n"/>
      <c r="M48" s="295" t="n"/>
      <c r="N48" s="355" t="n"/>
      <c r="O48" s="355" t="n"/>
      <c r="P48" s="295" t="n"/>
      <c r="Q48" s="283" t="n"/>
      <c r="R48" s="283" t="n"/>
      <c r="S48" s="283" t="n"/>
      <c r="T48" s="283" t="n"/>
      <c r="U48" s="283" t="n"/>
      <c r="V48" s="283" t="n"/>
      <c r="W48" s="283" t="n"/>
      <c r="X48" s="283" t="n"/>
      <c r="Y48" s="283" t="n"/>
      <c r="Z48" s="283" t="n"/>
    </row>
    <row r="49" ht="18" customHeight="1" s="232">
      <c r="A49" s="364">
        <f>Settings!A25</f>
        <v/>
      </c>
      <c r="B49" s="330" t="n">
        <v>0</v>
      </c>
      <c r="C49" s="330">
        <f>SUMIFS(TransactionsLog[Amount],TransactionsLog[Category],$A49,TransactionsLog[Date],"&gt;="&amp;PeriodStart,TransactionsLog[Date],"&lt;="&amp;PeriodEnd)</f>
        <v/>
      </c>
      <c r="D49" s="331">
        <f>B49-C49</f>
        <v/>
      </c>
      <c r="E49" s="365" t="n"/>
      <c r="F49" s="295" t="n"/>
      <c r="G49" s="295" t="n"/>
      <c r="H49" s="295" t="n"/>
      <c r="I49" s="295" t="n"/>
      <c r="J49" s="295" t="n"/>
      <c r="K49" s="295" t="n"/>
      <c r="L49" s="295" t="n"/>
      <c r="M49" s="295" t="n"/>
      <c r="N49" s="355" t="n"/>
      <c r="O49" s="355" t="n"/>
      <c r="P49" s="295" t="n"/>
      <c r="Q49" s="283" t="n"/>
      <c r="R49" s="283" t="n"/>
      <c r="S49" s="283" t="n"/>
      <c r="T49" s="283" t="n"/>
      <c r="U49" s="283" t="n"/>
      <c r="V49" s="283" t="n"/>
      <c r="W49" s="283" t="n"/>
      <c r="X49" s="283" t="n"/>
      <c r="Y49" s="283" t="n"/>
      <c r="Z49" s="283" t="n"/>
    </row>
    <row r="50" ht="18" customHeight="1" s="232">
      <c r="A50" s="364">
        <f>Settings!A26</f>
        <v/>
      </c>
      <c r="B50" s="330" t="n">
        <v>0</v>
      </c>
      <c r="C50" s="330">
        <f>SUMIFS(TransactionsLog[Amount],TransactionsLog[Category],$A50,TransactionsLog[Date],"&gt;="&amp;PeriodStart,TransactionsLog[Date],"&lt;="&amp;PeriodEnd)</f>
        <v/>
      </c>
      <c r="D50" s="331">
        <f>B50-C50</f>
        <v/>
      </c>
      <c r="E50" s="365" t="n"/>
      <c r="F50" s="295" t="n"/>
      <c r="G50" s="295" t="n"/>
      <c r="H50" s="295" t="n"/>
      <c r="I50" s="295" t="n"/>
      <c r="J50" s="295" t="n"/>
      <c r="K50" s="295" t="n"/>
      <c r="L50" s="295" t="n"/>
      <c r="M50" s="295" t="n"/>
      <c r="N50" s="355" t="n"/>
      <c r="O50" s="355" t="n"/>
      <c r="P50" s="295" t="n"/>
      <c r="Q50" s="283" t="n"/>
      <c r="R50" s="283" t="n"/>
      <c r="S50" s="283" t="n"/>
      <c r="T50" s="283" t="n"/>
      <c r="U50" s="283" t="n"/>
      <c r="V50" s="283" t="n"/>
      <c r="W50" s="283" t="n"/>
      <c r="X50" s="283" t="n"/>
      <c r="Y50" s="283" t="n"/>
      <c r="Z50" s="283" t="n"/>
    </row>
    <row r="51" ht="18" customHeight="1" s="232">
      <c r="A51" s="364">
        <f>Settings!A27</f>
        <v/>
      </c>
      <c r="B51" s="330" t="n">
        <v>0</v>
      </c>
      <c r="C51" s="330">
        <f>SUMIFS(TransactionsLog[Amount],TransactionsLog[Category],$A51,TransactionsLog[Date],"&gt;="&amp;PeriodStart,TransactionsLog[Date],"&lt;="&amp;PeriodEnd)</f>
        <v/>
      </c>
      <c r="D51" s="331">
        <f>B51-C51</f>
        <v/>
      </c>
      <c r="E51" s="365" t="n"/>
      <c r="F51" s="295" t="n"/>
      <c r="G51" s="295" t="n"/>
      <c r="H51" s="295" t="n"/>
      <c r="I51" s="295" t="n"/>
      <c r="J51" s="295" t="n"/>
      <c r="K51" s="295" t="n"/>
      <c r="L51" s="295" t="n"/>
      <c r="M51" s="295" t="n"/>
      <c r="N51" s="355" t="n"/>
      <c r="O51" s="355" t="n"/>
      <c r="P51" s="295" t="n"/>
      <c r="Q51" s="283" t="n"/>
      <c r="R51" s="283" t="n"/>
      <c r="S51" s="283" t="n"/>
      <c r="T51" s="283" t="n"/>
      <c r="U51" s="283" t="n"/>
      <c r="V51" s="283" t="n"/>
      <c r="W51" s="283" t="n"/>
      <c r="X51" s="283" t="n"/>
      <c r="Y51" s="283" t="n"/>
      <c r="Z51" s="283" t="n"/>
    </row>
    <row r="52" ht="18" customHeight="1" s="232">
      <c r="A52" s="364">
        <f>Settings!A28</f>
        <v/>
      </c>
      <c r="B52" s="330" t="n">
        <v>0</v>
      </c>
      <c r="C52" s="330">
        <f>SUMIFS(TransactionsLog[Amount],TransactionsLog[Category],$A52,TransactionsLog[Date],"&gt;="&amp;PeriodStart,TransactionsLog[Date],"&lt;="&amp;PeriodEnd)</f>
        <v/>
      </c>
      <c r="D52" s="331">
        <f>B52-C52</f>
        <v/>
      </c>
      <c r="E52" s="365" t="n"/>
      <c r="F52" s="295" t="n"/>
      <c r="G52" s="295" t="n"/>
      <c r="H52" s="295" t="n"/>
      <c r="I52" s="295" t="n"/>
      <c r="J52" s="295" t="n"/>
      <c r="K52" s="295" t="n"/>
      <c r="L52" s="295" t="n"/>
      <c r="M52" s="295" t="n"/>
      <c r="N52" s="355" t="n"/>
      <c r="O52" s="355" t="n"/>
      <c r="P52" s="295" t="n"/>
      <c r="Q52" s="283" t="n"/>
      <c r="R52" s="283" t="n"/>
      <c r="S52" s="283" t="n"/>
      <c r="T52" s="283" t="n"/>
      <c r="U52" s="283" t="n"/>
      <c r="V52" s="283" t="n"/>
      <c r="W52" s="283" t="n"/>
      <c r="X52" s="283" t="n"/>
      <c r="Y52" s="283" t="n"/>
      <c r="Z52" s="283" t="n"/>
    </row>
    <row r="53" ht="18" customHeight="1" s="232">
      <c r="A53" s="366" t="inlineStr">
        <is>
          <t>Total Savings</t>
        </is>
      </c>
      <c r="B53" s="367">
        <f>SUM(B48:B52)</f>
        <v/>
      </c>
      <c r="C53" s="367">
        <f>SUM(C48:C52)</f>
        <v/>
      </c>
      <c r="D53" s="368">
        <f>B53-C53</f>
        <v/>
      </c>
      <c r="E53" s="369" t="n"/>
      <c r="F53" s="295" t="n"/>
      <c r="G53" s="295" t="n"/>
      <c r="H53" s="295" t="n"/>
      <c r="I53" s="295" t="n"/>
      <c r="J53" s="295" t="n"/>
      <c r="K53" s="295" t="n"/>
      <c r="L53" s="295" t="n"/>
      <c r="M53" s="295" t="n"/>
      <c r="N53" s="355" t="n"/>
      <c r="O53" s="355" t="n"/>
      <c r="P53" s="295" t="n"/>
      <c r="Q53" s="283" t="n"/>
      <c r="R53" s="283" t="n"/>
      <c r="S53" s="283" t="n"/>
      <c r="T53" s="283" t="n"/>
      <c r="U53" s="283" t="n"/>
      <c r="V53" s="283" t="n"/>
      <c r="W53" s="283" t="n"/>
      <c r="X53" s="283" t="n"/>
      <c r="Y53" s="283" t="n"/>
      <c r="Z53" s="283" t="n"/>
    </row>
    <row r="54">
      <c r="A54" s="295" t="n"/>
      <c r="B54" s="295" t="n"/>
      <c r="C54" s="295" t="n"/>
      <c r="D54" s="295" t="n"/>
      <c r="E54" s="295" t="n"/>
      <c r="F54" s="295" t="n"/>
      <c r="G54" s="295" t="n"/>
      <c r="H54" s="295" t="n"/>
      <c r="I54" s="295" t="n"/>
      <c r="J54" s="295" t="n"/>
      <c r="K54" s="295" t="n"/>
      <c r="L54" s="295" t="n"/>
      <c r="M54" s="295" t="n"/>
      <c r="N54" s="355" t="n"/>
      <c r="O54" s="355" t="n"/>
      <c r="P54" s="295" t="n"/>
      <c r="Q54" s="283" t="n"/>
      <c r="R54" s="283" t="n"/>
      <c r="S54" s="283" t="n"/>
      <c r="T54" s="283" t="n"/>
      <c r="U54" s="283" t="n"/>
      <c r="V54" s="283" t="n"/>
      <c r="W54" s="283" t="n"/>
      <c r="X54" s="283" t="n"/>
      <c r="Y54" s="283" t="n"/>
      <c r="Z54" s="283" t="n"/>
    </row>
    <row r="55">
      <c r="A55" s="295" t="n"/>
      <c r="B55" s="295" t="n"/>
      <c r="C55" s="295" t="n"/>
      <c r="D55" s="295" t="n"/>
      <c r="E55" s="295" t="n"/>
      <c r="F55" s="295" t="n"/>
      <c r="G55" s="295" t="n"/>
      <c r="H55" s="295" t="n"/>
      <c r="I55" s="295" t="n"/>
      <c r="J55" s="295" t="n"/>
      <c r="K55" s="295" t="n"/>
      <c r="L55" s="295" t="n"/>
      <c r="M55" s="295" t="n"/>
      <c r="N55" s="355" t="n"/>
      <c r="O55" s="355" t="n"/>
      <c r="P55" s="295" t="n"/>
      <c r="Q55" s="283" t="n"/>
      <c r="R55" s="283" t="n"/>
      <c r="S55" s="283" t="n"/>
      <c r="T55" s="283" t="n"/>
      <c r="U55" s="283" t="n"/>
      <c r="V55" s="283" t="n"/>
      <c r="W55" s="283" t="n"/>
      <c r="X55" s="283" t="n"/>
      <c r="Y55" s="283" t="n"/>
      <c r="Z55" s="283" t="n"/>
    </row>
    <row r="56" ht="30" customHeight="1" s="232">
      <c r="A56" s="370" t="inlineStr">
        <is>
          <t>Debt Tracker</t>
        </is>
      </c>
      <c r="B56" s="371" t="inlineStr">
        <is>
          <t>Budget</t>
        </is>
      </c>
      <c r="C56" s="371" t="inlineStr">
        <is>
          <t>Actual</t>
        </is>
      </c>
      <c r="D56" s="372" t="inlineStr">
        <is>
          <t>Remaining</t>
        </is>
      </c>
      <c r="E56" s="373" t="inlineStr">
        <is>
          <t>✓</t>
        </is>
      </c>
      <c r="F56" s="295" t="n"/>
      <c r="G56" s="295" t="n"/>
      <c r="H56" s="295" t="n"/>
      <c r="I56" s="295" t="n"/>
      <c r="J56" s="295" t="n"/>
      <c r="K56" s="295" t="n"/>
      <c r="L56" s="295" t="n"/>
      <c r="M56" s="295" t="n"/>
      <c r="N56" s="355" t="n"/>
      <c r="O56" s="355" t="n"/>
      <c r="P56" s="295" t="n"/>
      <c r="Q56" s="283" t="n"/>
      <c r="R56" s="283" t="n"/>
      <c r="S56" s="283" t="n"/>
      <c r="T56" s="283" t="n"/>
      <c r="U56" s="283" t="n"/>
      <c r="V56" s="283" t="n"/>
      <c r="W56" s="283" t="n"/>
      <c r="X56" s="283" t="n"/>
      <c r="Y56" s="283" t="n"/>
      <c r="Z56" s="283" t="n"/>
    </row>
    <row r="57" ht="18" customHeight="1" s="232">
      <c r="A57" s="374">
        <f>Settings!A29</f>
        <v/>
      </c>
      <c r="B57" s="330" t="n">
        <v>0</v>
      </c>
      <c r="C57" s="330">
        <f>SUMIFS(TransactionsLog[Amount],TransactionsLog[Category],$A57,TransactionsLog[Date],"&gt;="&amp;PeriodStart,TransactionsLog[Date],"&lt;="&amp;PeriodEnd)</f>
        <v/>
      </c>
      <c r="D57" s="331">
        <f>B57-C57</f>
        <v/>
      </c>
      <c r="E57" s="375" t="n"/>
      <c r="F57" s="295" t="n"/>
      <c r="G57" s="295" t="n"/>
      <c r="H57" s="295" t="n"/>
      <c r="I57" s="295" t="n"/>
      <c r="J57" s="295" t="n"/>
      <c r="K57" s="295" t="n"/>
      <c r="L57" s="295" t="n"/>
      <c r="M57" s="295" t="n"/>
      <c r="N57" s="355" t="n"/>
      <c r="O57" s="355" t="n"/>
      <c r="P57" s="295" t="n"/>
      <c r="Q57" s="283" t="n"/>
      <c r="R57" s="283" t="n"/>
      <c r="S57" s="283" t="n"/>
      <c r="T57" s="283" t="n"/>
      <c r="U57" s="283" t="n"/>
      <c r="V57" s="283" t="n"/>
      <c r="W57" s="283" t="n"/>
      <c r="X57" s="283" t="n"/>
      <c r="Y57" s="283" t="n"/>
      <c r="Z57" s="283" t="n"/>
    </row>
    <row r="58" ht="18" customHeight="1" s="232">
      <c r="A58" s="374">
        <f>Settings!A30</f>
        <v/>
      </c>
      <c r="B58" s="330" t="n">
        <v>0</v>
      </c>
      <c r="C58" s="330">
        <f>SUMIFS(TransactionsLog[Amount],TransactionsLog[Category],$A58,TransactionsLog[Date],"&gt;="&amp;PeriodStart,TransactionsLog[Date],"&lt;="&amp;PeriodEnd)</f>
        <v/>
      </c>
      <c r="D58" s="331">
        <f>B58-C58</f>
        <v/>
      </c>
      <c r="E58" s="375" t="n"/>
      <c r="F58" s="295" t="n"/>
      <c r="G58" s="295" t="n"/>
      <c r="H58" s="295" t="n"/>
      <c r="I58" s="295" t="n"/>
      <c r="J58" s="295" t="n"/>
      <c r="K58" s="295" t="n"/>
      <c r="L58" s="295" t="n"/>
      <c r="M58" s="295" t="n"/>
      <c r="N58" s="355" t="n"/>
      <c r="O58" s="355" t="n"/>
      <c r="P58" s="295" t="n"/>
      <c r="Q58" s="283" t="n"/>
      <c r="R58" s="283" t="n"/>
      <c r="S58" s="283" t="n"/>
      <c r="T58" s="283" t="n"/>
      <c r="U58" s="283" t="n"/>
      <c r="V58" s="283" t="n"/>
      <c r="W58" s="283" t="n"/>
      <c r="X58" s="283" t="n"/>
      <c r="Y58" s="283" t="n"/>
      <c r="Z58" s="283" t="n"/>
    </row>
    <row r="59" ht="18" customHeight="1" s="232">
      <c r="A59" s="374">
        <f>Settings!A31</f>
        <v/>
      </c>
      <c r="B59" s="330" t="n">
        <v>0</v>
      </c>
      <c r="C59" s="330">
        <f>SUMIFS(TransactionsLog[Amount],TransactionsLog[Category],$A59,TransactionsLog[Date],"&gt;="&amp;PeriodStart,TransactionsLog[Date],"&lt;="&amp;PeriodEnd)</f>
        <v/>
      </c>
      <c r="D59" s="331">
        <f>B59-C59</f>
        <v/>
      </c>
      <c r="E59" s="375" t="n"/>
      <c r="F59" s="295" t="n"/>
      <c r="G59" s="295" t="n"/>
      <c r="H59" s="295" t="n"/>
      <c r="I59" s="295" t="n"/>
      <c r="J59" s="295" t="n"/>
      <c r="K59" s="295" t="n"/>
      <c r="L59" s="295" t="n"/>
      <c r="M59" s="295" t="n"/>
      <c r="N59" s="355" t="n"/>
      <c r="O59" s="355" t="n"/>
      <c r="P59" s="295" t="n"/>
      <c r="Q59" s="283" t="n"/>
      <c r="R59" s="283" t="n"/>
      <c r="S59" s="283" t="n"/>
      <c r="T59" s="283" t="n"/>
      <c r="U59" s="283" t="n"/>
      <c r="V59" s="283" t="n"/>
      <c r="W59" s="283" t="n"/>
      <c r="X59" s="283" t="n"/>
      <c r="Y59" s="283" t="n"/>
      <c r="Z59" s="283" t="n"/>
    </row>
    <row r="60" ht="18" customHeight="1" s="232">
      <c r="A60" s="374">
        <f>Settings!A32</f>
        <v/>
      </c>
      <c r="B60" s="330" t="n">
        <v>0</v>
      </c>
      <c r="C60" s="330">
        <f>SUMIFS(TransactionsLog[Amount],TransactionsLog[Category],$A60,TransactionsLog[Date],"&gt;="&amp;PeriodStart,TransactionsLog[Date],"&lt;="&amp;PeriodEnd)</f>
        <v/>
      </c>
      <c r="D60" s="331">
        <f>B60-C60</f>
        <v/>
      </c>
      <c r="E60" s="375" t="n"/>
      <c r="F60" s="295" t="n"/>
      <c r="G60" s="295" t="n"/>
      <c r="H60" s="295" t="n"/>
      <c r="I60" s="295" t="n"/>
      <c r="J60" s="295" t="n"/>
      <c r="K60" s="295" t="n"/>
      <c r="L60" s="295" t="n"/>
      <c r="M60" s="295" t="n"/>
      <c r="N60" s="355" t="n"/>
      <c r="O60" s="355" t="n"/>
      <c r="P60" s="295" t="n"/>
      <c r="Q60" s="283" t="n"/>
      <c r="R60" s="283" t="n"/>
      <c r="S60" s="283" t="n"/>
      <c r="T60" s="283" t="n"/>
      <c r="U60" s="283" t="n"/>
      <c r="V60" s="283" t="n"/>
      <c r="W60" s="283" t="n"/>
      <c r="X60" s="283" t="n"/>
      <c r="Y60" s="283" t="n"/>
      <c r="Z60" s="283" t="n"/>
    </row>
    <row r="61" ht="18" customHeight="1" s="232">
      <c r="A61" s="376" t="inlineStr">
        <is>
          <t>Total Debt</t>
        </is>
      </c>
      <c r="B61" s="377">
        <f>SUM(B57:B60)</f>
        <v/>
      </c>
      <c r="C61" s="377">
        <f>SUM(C57:C60)</f>
        <v/>
      </c>
      <c r="D61" s="378">
        <f>B61-C61</f>
        <v/>
      </c>
      <c r="E61" s="379" t="n"/>
      <c r="F61" s="295" t="n"/>
      <c r="G61" s="295" t="n"/>
      <c r="H61" s="295" t="n"/>
      <c r="I61" s="295" t="n"/>
      <c r="J61" s="295" t="n"/>
      <c r="K61" s="295" t="n"/>
      <c r="L61" s="295" t="n"/>
      <c r="M61" s="295" t="n"/>
      <c r="N61" s="355" t="n"/>
      <c r="O61" s="355" t="n"/>
      <c r="P61" s="295" t="n"/>
      <c r="Q61" s="283" t="n"/>
      <c r="R61" s="283" t="n"/>
      <c r="S61" s="283" t="n"/>
      <c r="T61" s="283" t="n"/>
      <c r="U61" s="283" t="n"/>
      <c r="V61" s="283" t="n"/>
      <c r="W61" s="283" t="n"/>
      <c r="X61" s="283" t="n"/>
      <c r="Y61" s="283" t="n"/>
      <c r="Z61" s="283" t="n"/>
    </row>
    <row r="62">
      <c r="A62" s="295" t="n"/>
      <c r="B62" s="295" t="n"/>
      <c r="C62" s="295" t="n"/>
      <c r="D62" s="295" t="n"/>
      <c r="E62" s="295" t="n"/>
      <c r="F62" s="295" t="n"/>
      <c r="G62" s="295" t="n"/>
      <c r="H62" s="295" t="n"/>
      <c r="I62" s="295" t="n"/>
      <c r="J62" s="295" t="n"/>
      <c r="K62" s="295" t="n"/>
      <c r="L62" s="295" t="n"/>
      <c r="M62" s="295" t="n"/>
      <c r="N62" s="355" t="n"/>
      <c r="O62" s="355" t="n"/>
      <c r="P62" s="295" t="n"/>
      <c r="Q62" s="283" t="n"/>
      <c r="R62" s="283" t="n"/>
      <c r="S62" s="283" t="n"/>
      <c r="T62" s="283" t="n"/>
      <c r="U62" s="283" t="n"/>
      <c r="V62" s="283" t="n"/>
      <c r="W62" s="283" t="n"/>
      <c r="X62" s="283" t="n"/>
      <c r="Y62" s="283" t="n"/>
      <c r="Z62" s="283" t="n"/>
    </row>
    <row r="63">
      <c r="A63" s="283" t="n"/>
      <c r="B63" s="283" t="n"/>
      <c r="C63" s="283" t="n"/>
      <c r="D63" s="283" t="n"/>
      <c r="E63" s="283" t="n"/>
      <c r="F63" s="283" t="n"/>
      <c r="G63" s="283" t="n"/>
      <c r="H63" s="283" t="n"/>
      <c r="I63" s="283" t="n"/>
      <c r="J63" s="283" t="n"/>
      <c r="K63" s="283" t="n"/>
      <c r="L63" s="283" t="n"/>
      <c r="M63" s="283" t="n"/>
      <c r="N63" s="380" t="n"/>
      <c r="O63" s="380" t="n"/>
      <c r="P63" s="283" t="n"/>
      <c r="Q63" s="283" t="n"/>
      <c r="R63" s="283" t="n"/>
      <c r="S63" s="283" t="n"/>
      <c r="T63" s="283" t="n"/>
      <c r="U63" s="283" t="n"/>
      <c r="V63" s="283" t="n"/>
      <c r="W63" s="283" t="n"/>
      <c r="X63" s="283" t="n"/>
      <c r="Y63" s="283" t="n"/>
      <c r="Z63" s="283" t="n"/>
    </row>
    <row r="64">
      <c r="A64" s="283" t="n"/>
      <c r="B64" s="283" t="n"/>
      <c r="C64" s="283" t="n"/>
      <c r="D64" s="283" t="n"/>
      <c r="E64" s="283" t="n"/>
      <c r="F64" s="283" t="n"/>
      <c r="G64" s="283" t="n"/>
      <c r="H64" s="283" t="n"/>
      <c r="I64" s="283" t="n"/>
      <c r="J64" s="283" t="n"/>
      <c r="K64" s="283" t="n"/>
      <c r="L64" s="283" t="n"/>
      <c r="M64" s="283" t="n"/>
      <c r="N64" s="380" t="n"/>
      <c r="O64" s="380" t="n"/>
      <c r="P64" s="283" t="n"/>
      <c r="Q64" s="283" t="n"/>
      <c r="R64" s="283" t="n"/>
      <c r="S64" s="283" t="n"/>
      <c r="T64" s="283" t="n"/>
      <c r="U64" s="283" t="n"/>
      <c r="V64" s="283" t="n"/>
      <c r="W64" s="283" t="n"/>
      <c r="X64" s="283" t="n"/>
      <c r="Y64" s="283" t="n"/>
      <c r="Z64" s="283" t="n"/>
    </row>
    <row r="65" ht="26" customHeight="1" s="232">
      <c r="A65" s="381" t="inlineStr">
        <is>
          <t>Income Stability</t>
        </is>
      </c>
      <c r="B65" s="382" t="n"/>
      <c r="C65" s="382" t="n"/>
      <c r="D65" s="383" t="n"/>
      <c r="E65" s="384" t="n"/>
      <c r="F65" s="283" t="n"/>
      <c r="G65" s="283" t="n"/>
      <c r="H65" s="283" t="n"/>
      <c r="I65" s="283" t="n"/>
      <c r="J65" s="283" t="n"/>
      <c r="K65" s="283" t="n"/>
      <c r="L65" s="283" t="n"/>
      <c r="M65" s="283" t="n"/>
      <c r="N65" s="380" t="n"/>
      <c r="O65" s="380" t="n"/>
      <c r="P65" s="283" t="n"/>
      <c r="Q65" s="283" t="n"/>
      <c r="R65" s="283" t="n"/>
      <c r="S65" s="283" t="n"/>
      <c r="T65" s="283" t="n"/>
      <c r="U65" s="283" t="n"/>
      <c r="V65" s="283" t="n"/>
      <c r="W65" s="283" t="n"/>
      <c r="X65" s="283" t="n"/>
      <c r="Y65" s="283" t="n"/>
      <c r="Z65" s="283" t="n"/>
    </row>
    <row r="66">
      <c r="A66" s="312" t="inlineStr">
        <is>
          <t>As Of Date</t>
        </is>
      </c>
      <c r="B66" s="385" t="n">
        <v>46235</v>
      </c>
      <c r="C66" s="295" t="n"/>
      <c r="D66" s="315" t="n"/>
      <c r="E66" s="283" t="n"/>
      <c r="F66" s="283" t="n"/>
      <c r="G66" s="283" t="n"/>
      <c r="H66" s="283" t="n"/>
      <c r="I66" s="283" t="n"/>
      <c r="J66" s="283" t="n"/>
      <c r="K66" s="283" t="n"/>
      <c r="L66" s="283" t="n"/>
      <c r="M66" s="283" t="n"/>
      <c r="N66" s="380" t="n"/>
      <c r="O66" s="380" t="n"/>
      <c r="P66" s="283" t="n"/>
      <c r="Q66" s="283" t="n"/>
      <c r="R66" s="283" t="n"/>
      <c r="S66" s="283" t="n"/>
      <c r="T66" s="283" t="n"/>
      <c r="U66" s="283" t="n"/>
      <c r="V66" s="283" t="n"/>
      <c r="W66" s="283" t="n"/>
      <c r="X66" s="283" t="n"/>
      <c r="Y66" s="283" t="n"/>
      <c r="Z66" s="283" t="n"/>
    </row>
    <row r="67">
      <c r="A67" s="312" t="inlineStr">
        <is>
          <t>6-Month Rolling Average</t>
        </is>
      </c>
      <c r="B67" s="314">
        <f>AVERAGE(B77:B82)</f>
        <v/>
      </c>
      <c r="C67" s="295" t="n"/>
      <c r="D67" s="315" t="n"/>
      <c r="E67" s="283" t="n"/>
      <c r="F67" s="283" t="n"/>
      <c r="G67" s="283" t="n"/>
      <c r="H67" s="283" t="n"/>
      <c r="I67" s="283" t="n"/>
      <c r="J67" s="283" t="n"/>
      <c r="K67" s="283" t="n"/>
      <c r="L67" s="283" t="n"/>
      <c r="M67" s="283" t="n"/>
      <c r="N67" s="380" t="n"/>
      <c r="O67" s="380" t="n"/>
      <c r="P67" s="283" t="n"/>
      <c r="Q67" s="283" t="n"/>
      <c r="R67" s="283" t="n"/>
      <c r="S67" s="283" t="n"/>
      <c r="T67" s="283" t="n"/>
      <c r="U67" s="283" t="n"/>
      <c r="V67" s="283" t="n"/>
      <c r="W67" s="283" t="n"/>
      <c r="X67" s="283" t="n"/>
      <c r="Y67" s="283" t="n"/>
      <c r="Z67" s="283" t="n"/>
    </row>
    <row r="68">
      <c r="A68" s="319" t="inlineStr">
        <is>
          <t>Safe-to-Spend Floor (lowest recent month)</t>
        </is>
      </c>
      <c r="B68" s="386">
        <f>MIN(B77:B82)</f>
        <v/>
      </c>
      <c r="C68" s="387" t="n"/>
      <c r="D68" s="323" t="n"/>
      <c r="E68" s="283" t="n"/>
      <c r="F68" s="283" t="n"/>
      <c r="G68" s="283" t="n"/>
      <c r="H68" s="283" t="n"/>
      <c r="I68" s="283" t="n"/>
      <c r="J68" s="283" t="n"/>
      <c r="K68" s="283" t="n"/>
      <c r="L68" s="283" t="n"/>
      <c r="M68" s="283" t="n"/>
      <c r="N68" s="380" t="n"/>
      <c r="O68" s="380" t="n"/>
      <c r="P68" s="283" t="n"/>
      <c r="Q68" s="283" t="n"/>
      <c r="R68" s="283" t="n"/>
      <c r="S68" s="283" t="n"/>
      <c r="T68" s="283" t="n"/>
      <c r="U68" s="283" t="n"/>
      <c r="V68" s="283" t="n"/>
      <c r="W68" s="283" t="n"/>
      <c r="X68" s="283" t="n"/>
      <c r="Y68" s="283" t="n"/>
      <c r="Z68" s="283" t="n"/>
    </row>
    <row r="69" ht="42" customHeight="1" s="232">
      <c r="A69" s="388" t="inlineStr">
        <is>
          <t>Budget your bills, expenses, savings, and debt against the floor above, not your best month, that's what keeps you safe when income dips.</t>
        </is>
      </c>
      <c r="F69" s="283" t="n"/>
      <c r="G69" s="283" t="n"/>
      <c r="H69" s="283" t="n"/>
      <c r="I69" s="283" t="n"/>
      <c r="J69" s="283" t="n"/>
      <c r="K69" s="283" t="n"/>
      <c r="L69" s="283" t="n"/>
      <c r="M69" s="283" t="n"/>
      <c r="N69" s="380" t="n"/>
      <c r="O69" s="380" t="n"/>
      <c r="P69" s="283" t="n"/>
      <c r="Q69" s="283" t="n"/>
      <c r="R69" s="283" t="n"/>
      <c r="S69" s="283" t="n"/>
      <c r="T69" s="283" t="n"/>
      <c r="U69" s="283" t="n"/>
      <c r="V69" s="283" t="n"/>
      <c r="W69" s="283" t="n"/>
      <c r="X69" s="283" t="n"/>
      <c r="Y69" s="283" t="n"/>
      <c r="Z69" s="283" t="n"/>
    </row>
    <row r="70" ht="26" customHeight="1" s="232">
      <c r="A70" s="389" t="inlineStr">
        <is>
          <t>Month</t>
        </is>
      </c>
      <c r="B70" s="390" t="inlineStr">
        <is>
          <t>Income</t>
        </is>
      </c>
      <c r="C70" s="391" t="inlineStr">
        <is>
          <t>Status</t>
        </is>
      </c>
      <c r="D70" s="392" t="inlineStr">
        <is>
          <t>Months Ago</t>
        </is>
      </c>
      <c r="E70" s="283" t="n"/>
      <c r="F70" s="283" t="n"/>
      <c r="G70" s="283" t="n"/>
      <c r="H70" s="283" t="n"/>
      <c r="I70" s="283" t="n"/>
      <c r="J70" s="283" t="n"/>
      <c r="K70" s="283" t="n"/>
      <c r="L70" s="283" t="n"/>
      <c r="M70" s="283" t="n"/>
      <c r="N70" s="380" t="n"/>
      <c r="O70" s="380" t="n"/>
      <c r="P70" s="283" t="n"/>
      <c r="Q70" s="283" t="n"/>
      <c r="R70" s="283" t="n"/>
      <c r="S70" s="283" t="n"/>
      <c r="T70" s="283" t="n"/>
      <c r="U70" s="283" t="n"/>
      <c r="V70" s="283" t="n"/>
      <c r="W70" s="283" t="n"/>
      <c r="X70" s="283" t="n"/>
      <c r="Y70" s="283" t="n"/>
      <c r="Z70" s="283" t="n"/>
    </row>
    <row r="71">
      <c r="A71" s="312">
        <f t="array" ref="A71">INDEX(MonthList,MONTH(EOMONTH($B$66,-D71)))&amp;" "&amp;YEAR(EOMONTH($B$66,-D71))</f>
        <v/>
      </c>
      <c r="B71" s="314">
        <f>SUMIFS(TransactionsLog[Amount],TransactionsLog[Type],"Income",TransactionsLog[Date],"&gt;="&amp;(EOMONTH($B$66,-D71-1)+1),TransactionsLog[Date],"&lt;="&amp;EOMONTH($B$66,-D71))</f>
        <v/>
      </c>
      <c r="C71" s="315">
        <f>IF(B71&lt;$B$68,"Below Baseline","On Track")</f>
        <v/>
      </c>
      <c r="D71" s="393" t="n">
        <v>11</v>
      </c>
      <c r="E71" s="283" t="n"/>
      <c r="F71" s="283" t="n"/>
      <c r="G71" s="283" t="n"/>
      <c r="H71" s="283" t="n"/>
      <c r="I71" s="283" t="n"/>
      <c r="J71" s="283" t="n"/>
      <c r="K71" s="283" t="n"/>
      <c r="L71" s="283" t="n"/>
      <c r="M71" s="283" t="n"/>
      <c r="N71" s="380" t="n"/>
      <c r="O71" s="380" t="n"/>
      <c r="P71" s="283" t="n"/>
      <c r="Q71" s="283" t="n"/>
      <c r="R71" s="283" t="n"/>
      <c r="S71" s="283" t="n"/>
      <c r="T71" s="283" t="n"/>
      <c r="U71" s="283" t="n"/>
      <c r="V71" s="283" t="n"/>
      <c r="W71" s="283" t="n"/>
      <c r="X71" s="283" t="n"/>
      <c r="Y71" s="283" t="n"/>
      <c r="Z71" s="283" t="n"/>
    </row>
    <row r="72">
      <c r="A72" s="312">
        <f t="array" ref="A72">INDEX(MonthList,MONTH(EOMONTH($B$66,-D72)))&amp;" "&amp;YEAR(EOMONTH($B$66,-D72))</f>
        <v/>
      </c>
      <c r="B72" s="314">
        <f>SUMIFS(TransactionsLog[Amount],TransactionsLog[Type],"Income",TransactionsLog[Date],"&gt;="&amp;(EOMONTH($B$66,-D72-1)+1),TransactionsLog[Date],"&lt;="&amp;EOMONTH($B$66,-D72))</f>
        <v/>
      </c>
      <c r="C72" s="315">
        <f>IF(B72&lt;$B$68,"Below Baseline","On Track")</f>
        <v/>
      </c>
      <c r="D72" s="393" t="n">
        <v>10</v>
      </c>
      <c r="E72" s="283" t="n"/>
      <c r="F72" s="283" t="n"/>
      <c r="G72" s="283" t="n"/>
      <c r="H72" s="283" t="n"/>
      <c r="I72" s="283" t="n"/>
      <c r="J72" s="283" t="n"/>
      <c r="K72" s="283" t="n"/>
      <c r="L72" s="283" t="n"/>
      <c r="M72" s="283" t="n"/>
      <c r="N72" s="380" t="n"/>
      <c r="O72" s="380" t="n"/>
      <c r="P72" s="283" t="n"/>
      <c r="Q72" s="283" t="n"/>
      <c r="R72" s="283" t="n"/>
      <c r="S72" s="283" t="n"/>
      <c r="T72" s="283" t="n"/>
      <c r="U72" s="283" t="n"/>
      <c r="V72" s="283" t="n"/>
      <c r="W72" s="283" t="n"/>
      <c r="X72" s="283" t="n"/>
      <c r="Y72" s="283" t="n"/>
      <c r="Z72" s="283" t="n"/>
    </row>
    <row r="73">
      <c r="A73" s="312">
        <f t="array" ref="A73">INDEX(MonthList,MONTH(EOMONTH($B$66,-D73)))&amp;" "&amp;YEAR(EOMONTH($B$66,-D73))</f>
        <v/>
      </c>
      <c r="B73" s="314">
        <f>SUMIFS(TransactionsLog[Amount],TransactionsLog[Type],"Income",TransactionsLog[Date],"&gt;="&amp;(EOMONTH($B$66,-D73-1)+1),TransactionsLog[Date],"&lt;="&amp;EOMONTH($B$66,-D73))</f>
        <v/>
      </c>
      <c r="C73" s="315">
        <f>IF(B73&lt;$B$68,"Below Baseline","On Track")</f>
        <v/>
      </c>
      <c r="D73" s="393" t="n">
        <v>9</v>
      </c>
      <c r="E73" s="283" t="n"/>
      <c r="F73" s="283" t="n"/>
      <c r="G73" s="283" t="n"/>
      <c r="H73" s="283" t="n"/>
      <c r="I73" s="283" t="n"/>
      <c r="J73" s="283" t="n"/>
      <c r="K73" s="283" t="n"/>
      <c r="L73" s="283" t="n"/>
      <c r="M73" s="283" t="n"/>
      <c r="N73" s="380" t="n"/>
      <c r="O73" s="380" t="n"/>
      <c r="P73" s="283" t="n"/>
      <c r="Q73" s="283" t="n"/>
      <c r="R73" s="283" t="n"/>
      <c r="S73" s="283" t="n"/>
      <c r="T73" s="283" t="n"/>
      <c r="U73" s="283" t="n"/>
      <c r="V73" s="283" t="n"/>
      <c r="W73" s="283" t="n"/>
      <c r="X73" s="283" t="n"/>
      <c r="Y73" s="283" t="n"/>
      <c r="Z73" s="283" t="n"/>
    </row>
    <row r="74">
      <c r="A74" s="312">
        <f t="array" ref="A74">INDEX(MonthList,MONTH(EOMONTH($B$66,-D74)))&amp;" "&amp;YEAR(EOMONTH($B$66,-D74))</f>
        <v/>
      </c>
      <c r="B74" s="314">
        <f>SUMIFS(TransactionsLog[Amount],TransactionsLog[Type],"Income",TransactionsLog[Date],"&gt;="&amp;(EOMONTH($B$66,-D74-1)+1),TransactionsLog[Date],"&lt;="&amp;EOMONTH($B$66,-D74))</f>
        <v/>
      </c>
      <c r="C74" s="315">
        <f>IF(B74&lt;$B$68,"Below Baseline","On Track")</f>
        <v/>
      </c>
      <c r="D74" s="393" t="n">
        <v>8</v>
      </c>
      <c r="E74" s="283" t="n"/>
      <c r="F74" s="283" t="n"/>
      <c r="G74" s="283" t="n"/>
      <c r="H74" s="283" t="n"/>
      <c r="I74" s="283" t="n"/>
      <c r="J74" s="283" t="n"/>
      <c r="K74" s="283" t="n"/>
      <c r="L74" s="283" t="n"/>
      <c r="M74" s="283" t="n"/>
      <c r="N74" s="380" t="n"/>
      <c r="O74" s="380" t="n"/>
      <c r="P74" s="283" t="n"/>
      <c r="Q74" s="283" t="n"/>
      <c r="R74" s="283" t="n"/>
      <c r="S74" s="283" t="n"/>
      <c r="T74" s="283" t="n"/>
      <c r="U74" s="283" t="n"/>
      <c r="V74" s="283" t="n"/>
      <c r="W74" s="283" t="n"/>
      <c r="X74" s="283" t="n"/>
      <c r="Y74" s="283" t="n"/>
      <c r="Z74" s="283" t="n"/>
    </row>
    <row r="75">
      <c r="A75" s="312">
        <f t="array" ref="A75">INDEX(MonthList,MONTH(EOMONTH($B$66,-D75)))&amp;" "&amp;YEAR(EOMONTH($B$66,-D75))</f>
        <v/>
      </c>
      <c r="B75" s="314">
        <f>SUMIFS(TransactionsLog[Amount],TransactionsLog[Type],"Income",TransactionsLog[Date],"&gt;="&amp;(EOMONTH($B$66,-D75-1)+1),TransactionsLog[Date],"&lt;="&amp;EOMONTH($B$66,-D75))</f>
        <v/>
      </c>
      <c r="C75" s="315">
        <f>IF(B75&lt;$B$68,"Below Baseline","On Track")</f>
        <v/>
      </c>
      <c r="D75" s="393" t="n">
        <v>7</v>
      </c>
      <c r="E75" s="283" t="n"/>
      <c r="F75" s="283" t="n"/>
      <c r="G75" s="283" t="n"/>
      <c r="H75" s="283" t="n"/>
      <c r="I75" s="283" t="n"/>
      <c r="J75" s="283" t="n"/>
      <c r="K75" s="283" t="n"/>
      <c r="L75" s="283" t="n"/>
      <c r="M75" s="283" t="n"/>
      <c r="N75" s="380" t="n"/>
      <c r="O75" s="380" t="n"/>
      <c r="P75" s="283" t="n"/>
      <c r="Q75" s="283" t="n"/>
      <c r="R75" s="283" t="n"/>
      <c r="S75" s="283" t="n"/>
      <c r="T75" s="283" t="n"/>
      <c r="U75" s="283" t="n"/>
      <c r="V75" s="283" t="n"/>
      <c r="W75" s="283" t="n"/>
      <c r="X75" s="283" t="n"/>
      <c r="Y75" s="283" t="n"/>
      <c r="Z75" s="283" t="n"/>
    </row>
    <row r="76">
      <c r="A76" s="312">
        <f t="array" ref="A76">INDEX(MonthList,MONTH(EOMONTH($B$66,-D76)))&amp;" "&amp;YEAR(EOMONTH($B$66,-D76))</f>
        <v/>
      </c>
      <c r="B76" s="314">
        <f>SUMIFS(TransactionsLog[Amount],TransactionsLog[Type],"Income",TransactionsLog[Date],"&gt;="&amp;(EOMONTH($B$66,-D76-1)+1),TransactionsLog[Date],"&lt;="&amp;EOMONTH($B$66,-D76))</f>
        <v/>
      </c>
      <c r="C76" s="315">
        <f>IF(B76&lt;$B$68,"Below Baseline","On Track")</f>
        <v/>
      </c>
      <c r="D76" s="393" t="n">
        <v>6</v>
      </c>
      <c r="E76" s="283" t="n"/>
      <c r="F76" s="283" t="n"/>
      <c r="G76" s="283" t="n"/>
      <c r="H76" s="283" t="n"/>
      <c r="I76" s="283" t="n"/>
      <c r="J76" s="283" t="n"/>
      <c r="K76" s="283" t="n"/>
      <c r="L76" s="283" t="n"/>
      <c r="M76" s="283" t="n"/>
      <c r="N76" s="380" t="n"/>
      <c r="O76" s="380" t="n"/>
      <c r="P76" s="283" t="n"/>
      <c r="Q76" s="283" t="n"/>
      <c r="R76" s="283" t="n"/>
      <c r="S76" s="283" t="n"/>
      <c r="T76" s="283" t="n"/>
      <c r="U76" s="283" t="n"/>
      <c r="V76" s="283" t="n"/>
      <c r="W76" s="283" t="n"/>
      <c r="X76" s="283" t="n"/>
      <c r="Y76" s="283" t="n"/>
      <c r="Z76" s="283" t="n"/>
    </row>
    <row r="77">
      <c r="A77" s="312">
        <f t="array" ref="A77">INDEX(MonthList,MONTH(EOMONTH($B$66,-D77)))&amp;" "&amp;YEAR(EOMONTH($B$66,-D77))</f>
        <v/>
      </c>
      <c r="B77" s="314">
        <f>SUMIFS(TransactionsLog[Amount],TransactionsLog[Type],"Income",TransactionsLog[Date],"&gt;="&amp;(EOMONTH($B$66,-D77-1)+1),TransactionsLog[Date],"&lt;="&amp;EOMONTH($B$66,-D77))</f>
        <v/>
      </c>
      <c r="C77" s="315">
        <f>IF(B77&lt;$B$68,"Below Baseline","On Track")</f>
        <v/>
      </c>
      <c r="D77" s="393" t="n">
        <v>5</v>
      </c>
      <c r="E77" s="283" t="n"/>
      <c r="F77" s="283" t="n"/>
      <c r="G77" s="283" t="n"/>
      <c r="H77" s="283" t="n"/>
      <c r="I77" s="283" t="n"/>
      <c r="J77" s="283" t="n"/>
      <c r="K77" s="283" t="n"/>
      <c r="L77" s="283" t="n"/>
      <c r="M77" s="283" t="n"/>
      <c r="N77" s="380" t="n"/>
      <c r="O77" s="380" t="n"/>
      <c r="P77" s="283" t="n"/>
      <c r="Q77" s="283" t="n"/>
      <c r="R77" s="283" t="n"/>
      <c r="S77" s="283" t="n"/>
      <c r="T77" s="283" t="n"/>
      <c r="U77" s="283" t="n"/>
      <c r="V77" s="283" t="n"/>
      <c r="W77" s="283" t="n"/>
      <c r="X77" s="283" t="n"/>
      <c r="Y77" s="283" t="n"/>
      <c r="Z77" s="283" t="n"/>
    </row>
    <row r="78">
      <c r="A78" s="312">
        <f t="array" ref="A78">INDEX(MonthList,MONTH(EOMONTH($B$66,-D78)))&amp;" "&amp;YEAR(EOMONTH($B$66,-D78))</f>
        <v/>
      </c>
      <c r="B78" s="314">
        <f>SUMIFS(TransactionsLog[Amount],TransactionsLog[Type],"Income",TransactionsLog[Date],"&gt;="&amp;(EOMONTH($B$66,-D78-1)+1),TransactionsLog[Date],"&lt;="&amp;EOMONTH($B$66,-D78))</f>
        <v/>
      </c>
      <c r="C78" s="315">
        <f>IF(B78&lt;$B$68,"Below Baseline","On Track")</f>
        <v/>
      </c>
      <c r="D78" s="393" t="n">
        <v>4</v>
      </c>
      <c r="E78" s="283" t="n"/>
      <c r="F78" s="283" t="n"/>
      <c r="G78" s="283" t="n"/>
      <c r="H78" s="283" t="n"/>
      <c r="I78" s="283" t="n"/>
      <c r="J78" s="283" t="n"/>
      <c r="K78" s="283" t="n"/>
      <c r="L78" s="283" t="n"/>
      <c r="M78" s="283" t="n"/>
      <c r="N78" s="380" t="n"/>
      <c r="O78" s="380" t="n"/>
      <c r="P78" s="283" t="n"/>
      <c r="Q78" s="283" t="n"/>
      <c r="R78" s="283" t="n"/>
      <c r="S78" s="283" t="n"/>
      <c r="T78" s="283" t="n"/>
      <c r="U78" s="283" t="n"/>
      <c r="V78" s="283" t="n"/>
      <c r="W78" s="283" t="n"/>
      <c r="X78" s="283" t="n"/>
      <c r="Y78" s="283" t="n"/>
      <c r="Z78" s="283" t="n"/>
    </row>
    <row r="79">
      <c r="A79" s="312">
        <f t="array" ref="A79">INDEX(MonthList,MONTH(EOMONTH($B$66,-D79)))&amp;" "&amp;YEAR(EOMONTH($B$66,-D79))</f>
        <v/>
      </c>
      <c r="B79" s="314">
        <f>SUMIFS(TransactionsLog[Amount],TransactionsLog[Type],"Income",TransactionsLog[Date],"&gt;="&amp;(EOMONTH($B$66,-D79-1)+1),TransactionsLog[Date],"&lt;="&amp;EOMONTH($B$66,-D79))</f>
        <v/>
      </c>
      <c r="C79" s="315">
        <f>IF(B79&lt;$B$68,"Below Baseline","On Track")</f>
        <v/>
      </c>
      <c r="D79" s="393" t="n">
        <v>3</v>
      </c>
      <c r="E79" s="283" t="n"/>
      <c r="F79" s="283" t="n"/>
      <c r="G79" s="283" t="n"/>
      <c r="H79" s="283" t="n"/>
      <c r="I79" s="283" t="n"/>
      <c r="J79" s="283" t="n"/>
      <c r="K79" s="283" t="n"/>
      <c r="L79" s="283" t="n"/>
      <c r="M79" s="283" t="n"/>
      <c r="N79" s="380" t="n"/>
      <c r="O79" s="380" t="n"/>
      <c r="P79" s="283" t="n"/>
      <c r="Q79" s="283" t="n"/>
      <c r="R79" s="283" t="n"/>
      <c r="S79" s="283" t="n"/>
      <c r="T79" s="283" t="n"/>
      <c r="U79" s="283" t="n"/>
      <c r="V79" s="283" t="n"/>
      <c r="W79" s="283" t="n"/>
      <c r="X79" s="283" t="n"/>
      <c r="Y79" s="283" t="n"/>
      <c r="Z79" s="283" t="n"/>
    </row>
    <row r="80">
      <c r="A80" s="312">
        <f t="array" ref="A80">INDEX(MonthList,MONTH(EOMONTH($B$66,-D80)))&amp;" "&amp;YEAR(EOMONTH($B$66,-D80))</f>
        <v/>
      </c>
      <c r="B80" s="314">
        <f>SUMIFS(TransactionsLog[Amount],TransactionsLog[Type],"Income",TransactionsLog[Date],"&gt;="&amp;(EOMONTH($B$66,-D80-1)+1),TransactionsLog[Date],"&lt;="&amp;EOMONTH($B$66,-D80))</f>
        <v/>
      </c>
      <c r="C80" s="315">
        <f>IF(B80&lt;$B$68,"Below Baseline","On Track")</f>
        <v/>
      </c>
      <c r="D80" s="393" t="n">
        <v>2</v>
      </c>
      <c r="E80" s="283" t="n"/>
      <c r="F80" s="283" t="n"/>
      <c r="G80" s="283" t="n"/>
      <c r="H80" s="283" t="n"/>
      <c r="I80" s="283" t="n"/>
      <c r="J80" s="283" t="n"/>
      <c r="K80" s="283" t="n"/>
      <c r="L80" s="283" t="n"/>
      <c r="M80" s="283" t="n"/>
      <c r="N80" s="380" t="n"/>
      <c r="O80" s="380" t="n"/>
      <c r="P80" s="283" t="n"/>
      <c r="Q80" s="283" t="n"/>
      <c r="R80" s="283" t="n"/>
      <c r="S80" s="283" t="n"/>
      <c r="T80" s="283" t="n"/>
      <c r="U80" s="283" t="n"/>
      <c r="V80" s="283" t="n"/>
      <c r="W80" s="283" t="n"/>
      <c r="X80" s="283" t="n"/>
      <c r="Y80" s="283" t="n"/>
      <c r="Z80" s="283" t="n"/>
    </row>
    <row r="81">
      <c r="A81" s="312">
        <f t="array" ref="A81">INDEX(MonthList,MONTH(EOMONTH($B$66,-D81)))&amp;" "&amp;YEAR(EOMONTH($B$66,-D81))</f>
        <v/>
      </c>
      <c r="B81" s="314">
        <f>SUMIFS(TransactionsLog[Amount],TransactionsLog[Type],"Income",TransactionsLog[Date],"&gt;="&amp;(EOMONTH($B$66,-D81-1)+1),TransactionsLog[Date],"&lt;="&amp;EOMONTH($B$66,-D81))</f>
        <v/>
      </c>
      <c r="C81" s="315">
        <f>IF(B81&lt;$B$68,"Below Baseline","On Track")</f>
        <v/>
      </c>
      <c r="D81" s="393" t="n">
        <v>1</v>
      </c>
      <c r="E81" s="283" t="n"/>
      <c r="F81" s="283" t="n"/>
      <c r="G81" s="283" t="n"/>
      <c r="H81" s="283" t="n"/>
      <c r="I81" s="283" t="n"/>
      <c r="J81" s="283" t="n"/>
      <c r="K81" s="283" t="n"/>
      <c r="L81" s="283" t="n"/>
      <c r="M81" s="283" t="n"/>
      <c r="N81" s="380" t="n"/>
      <c r="O81" s="380" t="n"/>
      <c r="P81" s="283" t="n"/>
      <c r="Q81" s="283" t="n"/>
      <c r="R81" s="283" t="n"/>
      <c r="S81" s="283" t="n"/>
      <c r="T81" s="283" t="n"/>
      <c r="U81" s="283" t="n"/>
      <c r="V81" s="283" t="n"/>
      <c r="W81" s="283" t="n"/>
      <c r="X81" s="283" t="n"/>
      <c r="Y81" s="283" t="n"/>
      <c r="Z81" s="283" t="n"/>
    </row>
    <row r="82">
      <c r="A82" s="319">
        <f t="array" ref="A82">INDEX(MonthList,MONTH(EOMONTH($B$66,-D82)))&amp;" "&amp;YEAR(EOMONTH($B$66,-D82))</f>
        <v/>
      </c>
      <c r="B82" s="394">
        <f>SUMIFS(TransactionsLog[Amount],TransactionsLog[Type],"Income",TransactionsLog[Date],"&gt;="&amp;(EOMONTH($B$66,-D82-1)+1),TransactionsLog[Date],"&lt;="&amp;EOMONTH($B$66,-D82))</f>
        <v/>
      </c>
      <c r="C82" s="323">
        <f>IF(B82&lt;$B$68,"Below Baseline","On Track")</f>
        <v/>
      </c>
      <c r="D82" s="393" t="n">
        <v>0</v>
      </c>
      <c r="E82" s="283" t="n"/>
      <c r="F82" s="283" t="n"/>
      <c r="G82" s="283" t="n"/>
      <c r="H82" s="283" t="n"/>
      <c r="I82" s="283" t="n"/>
      <c r="J82" s="283" t="n"/>
      <c r="K82" s="283" t="n"/>
      <c r="L82" s="283" t="n"/>
      <c r="M82" s="283" t="n"/>
      <c r="N82" s="380" t="n"/>
      <c r="O82" s="380" t="n"/>
      <c r="P82" s="283" t="n"/>
      <c r="Q82" s="283" t="n"/>
      <c r="R82" s="283" t="n"/>
      <c r="S82" s="283" t="n"/>
      <c r="T82" s="283" t="n"/>
      <c r="U82" s="283" t="n"/>
      <c r="V82" s="283" t="n"/>
      <c r="W82" s="283" t="n"/>
      <c r="X82" s="283" t="n"/>
      <c r="Y82" s="283" t="n"/>
      <c r="Z82" s="283" t="n"/>
    </row>
    <row r="83">
      <c r="A83" s="283" t="n"/>
      <c r="B83" s="283" t="n"/>
      <c r="C83" s="283" t="n"/>
      <c r="D83" s="283" t="n"/>
      <c r="E83" s="283" t="n"/>
      <c r="F83" s="283" t="n"/>
      <c r="G83" s="283" t="n"/>
      <c r="H83" s="283" t="n"/>
      <c r="I83" s="283" t="n"/>
      <c r="J83" s="283" t="n"/>
      <c r="K83" s="283" t="n"/>
      <c r="L83" s="283" t="n"/>
      <c r="M83" s="283" t="n"/>
      <c r="N83" s="380" t="n"/>
      <c r="O83" s="380" t="n"/>
      <c r="P83" s="283" t="n"/>
      <c r="Q83" s="283" t="n"/>
      <c r="R83" s="283" t="n"/>
      <c r="S83" s="283" t="n"/>
      <c r="T83" s="283" t="n"/>
      <c r="U83" s="283" t="n"/>
      <c r="V83" s="283" t="n"/>
      <c r="W83" s="283" t="n"/>
      <c r="X83" s="283" t="n"/>
      <c r="Y83" s="283" t="n"/>
      <c r="Z83" s="283" t="n"/>
    </row>
    <row r="84">
      <c r="A84" s="283" t="n"/>
      <c r="B84" s="283" t="n"/>
      <c r="C84" s="283" t="n"/>
      <c r="D84" s="283" t="n"/>
      <c r="E84" s="283" t="n"/>
      <c r="F84" s="283" t="n"/>
      <c r="G84" s="283" t="n"/>
      <c r="H84" s="283" t="n"/>
      <c r="I84" s="283" t="n"/>
      <c r="J84" s="283" t="n"/>
      <c r="K84" s="283" t="n"/>
      <c r="L84" s="283" t="n"/>
      <c r="M84" s="283" t="n"/>
      <c r="N84" s="380" t="n"/>
      <c r="O84" s="380" t="n"/>
      <c r="P84" s="283" t="n"/>
      <c r="Q84" s="283" t="n"/>
      <c r="R84" s="283" t="n"/>
      <c r="S84" s="283" t="n"/>
      <c r="T84" s="283" t="n"/>
      <c r="U84" s="283" t="n"/>
      <c r="V84" s="283" t="n"/>
      <c r="W84" s="283" t="n"/>
      <c r="X84" s="283" t="n"/>
      <c r="Y84" s="283" t="n"/>
      <c r="Z84" s="283" t="n"/>
    </row>
    <row r="85">
      <c r="A85" s="283" t="n"/>
      <c r="B85" s="283" t="n"/>
      <c r="C85" s="283" t="n"/>
      <c r="D85" s="283" t="n"/>
      <c r="E85" s="283" t="n"/>
      <c r="F85" s="283" t="n"/>
      <c r="G85" s="283" t="n"/>
      <c r="H85" s="283" t="n"/>
      <c r="I85" s="283" t="n"/>
      <c r="J85" s="283" t="n"/>
      <c r="K85" s="283" t="n"/>
      <c r="L85" s="283" t="n"/>
      <c r="M85" s="283" t="n"/>
      <c r="N85" s="380" t="n"/>
      <c r="O85" s="380" t="n"/>
      <c r="P85" s="283" t="n"/>
      <c r="Q85" s="283" t="n"/>
      <c r="R85" s="283" t="n"/>
      <c r="S85" s="283" t="n"/>
      <c r="T85" s="283" t="n"/>
      <c r="U85" s="283" t="n"/>
      <c r="V85" s="283" t="n"/>
      <c r="W85" s="283" t="n"/>
      <c r="X85" s="283" t="n"/>
      <c r="Y85" s="283" t="n"/>
      <c r="Z85" s="283" t="n"/>
    </row>
    <row r="86">
      <c r="A86" s="283" t="n"/>
      <c r="B86" s="283" t="n"/>
      <c r="C86" s="283" t="n"/>
      <c r="D86" s="283" t="n"/>
      <c r="E86" s="283" t="n"/>
      <c r="F86" s="283" t="n"/>
      <c r="G86" s="283" t="n"/>
      <c r="H86" s="283" t="n"/>
      <c r="I86" s="283" t="n"/>
      <c r="J86" s="283" t="n"/>
      <c r="K86" s="283" t="n"/>
      <c r="L86" s="283" t="n"/>
      <c r="M86" s="283" t="n"/>
      <c r="N86" s="380" t="n"/>
      <c r="O86" s="380" t="n"/>
      <c r="P86" s="283" t="n"/>
      <c r="Q86" s="283" t="n"/>
      <c r="R86" s="283" t="n"/>
      <c r="S86" s="283" t="n"/>
      <c r="T86" s="283" t="n"/>
      <c r="U86" s="283" t="n"/>
      <c r="V86" s="283" t="n"/>
      <c r="W86" s="283" t="n"/>
      <c r="X86" s="283" t="n"/>
      <c r="Y86" s="283" t="n"/>
      <c r="Z86" s="283" t="n"/>
    </row>
    <row r="87">
      <c r="A87" s="283" t="n"/>
      <c r="B87" s="283" t="n"/>
      <c r="C87" s="283" t="n"/>
      <c r="D87" s="283" t="n"/>
      <c r="E87" s="283" t="n"/>
      <c r="F87" s="283" t="n"/>
      <c r="G87" s="283" t="n"/>
      <c r="H87" s="283" t="n"/>
      <c r="I87" s="283" t="n"/>
      <c r="J87" s="283" t="n"/>
      <c r="K87" s="283" t="n"/>
      <c r="L87" s="283" t="n"/>
      <c r="M87" s="283" t="n"/>
      <c r="N87" s="380" t="n"/>
      <c r="O87" s="380" t="n"/>
      <c r="P87" s="283" t="n"/>
      <c r="Q87" s="283" t="n"/>
      <c r="R87" s="283" t="n"/>
      <c r="S87" s="283" t="n"/>
      <c r="T87" s="283" t="n"/>
      <c r="U87" s="283" t="n"/>
      <c r="V87" s="283" t="n"/>
      <c r="W87" s="283" t="n"/>
      <c r="X87" s="283" t="n"/>
      <c r="Y87" s="283" t="n"/>
      <c r="Z87" s="283" t="n"/>
    </row>
    <row r="88">
      <c r="A88" s="283" t="n"/>
      <c r="B88" s="283" t="n"/>
      <c r="C88" s="283" t="n"/>
      <c r="D88" s="283" t="n"/>
      <c r="E88" s="283" t="n"/>
      <c r="F88" s="283" t="n"/>
      <c r="G88" s="283" t="n"/>
      <c r="H88" s="283" t="n"/>
      <c r="I88" s="283" t="n"/>
      <c r="J88" s="283" t="n"/>
      <c r="K88" s="283" t="n"/>
      <c r="L88" s="283" t="n"/>
      <c r="M88" s="283" t="n"/>
      <c r="N88" s="380" t="n"/>
      <c r="O88" s="380" t="n"/>
      <c r="P88" s="283" t="n"/>
      <c r="Q88" s="283" t="n"/>
      <c r="R88" s="283" t="n"/>
      <c r="S88" s="283" t="n"/>
      <c r="T88" s="283" t="n"/>
      <c r="U88" s="283" t="n"/>
      <c r="V88" s="283" t="n"/>
      <c r="W88" s="283" t="n"/>
      <c r="X88" s="283" t="n"/>
      <c r="Y88" s="283" t="n"/>
      <c r="Z88" s="283" t="n"/>
    </row>
    <row r="89">
      <c r="A89" s="283" t="n"/>
      <c r="B89" s="283" t="n"/>
      <c r="C89" s="283" t="n"/>
      <c r="D89" s="283" t="n"/>
      <c r="E89" s="283" t="n"/>
      <c r="F89" s="283" t="n"/>
      <c r="G89" s="283" t="n"/>
      <c r="H89" s="283" t="n"/>
      <c r="I89" s="283" t="n"/>
      <c r="J89" s="283" t="n"/>
      <c r="K89" s="283" t="n"/>
      <c r="L89" s="283" t="n"/>
      <c r="M89" s="283" t="n"/>
      <c r="N89" s="380" t="n"/>
      <c r="O89" s="380" t="n"/>
      <c r="P89" s="283" t="n"/>
      <c r="Q89" s="283" t="n"/>
      <c r="R89" s="283" t="n"/>
      <c r="S89" s="283" t="n"/>
      <c r="T89" s="283" t="n"/>
      <c r="U89" s="283" t="n"/>
      <c r="V89" s="283" t="n"/>
      <c r="W89" s="283" t="n"/>
      <c r="X89" s="283" t="n"/>
      <c r="Y89" s="283" t="n"/>
      <c r="Z89" s="283" t="n"/>
    </row>
    <row r="90">
      <c r="A90" s="283" t="n"/>
      <c r="B90" s="283" t="n"/>
      <c r="C90" s="283" t="n"/>
      <c r="D90" s="283" t="n"/>
      <c r="E90" s="283" t="n"/>
      <c r="F90" s="283" t="n"/>
      <c r="G90" s="283" t="n"/>
      <c r="H90" s="283" t="n"/>
      <c r="I90" s="283" t="n"/>
      <c r="J90" s="283" t="n"/>
      <c r="K90" s="283" t="n"/>
      <c r="L90" s="283" t="n"/>
      <c r="M90" s="283" t="n"/>
      <c r="N90" s="380" t="n"/>
      <c r="O90" s="380" t="n"/>
      <c r="P90" s="283" t="n"/>
      <c r="Q90" s="283" t="n"/>
      <c r="R90" s="283" t="n"/>
      <c r="S90" s="283" t="n"/>
      <c r="T90" s="283" t="n"/>
      <c r="U90" s="283" t="n"/>
      <c r="V90" s="283" t="n"/>
      <c r="W90" s="283" t="n"/>
      <c r="X90" s="283" t="n"/>
      <c r="Y90" s="283" t="n"/>
      <c r="Z90" s="283" t="n"/>
    </row>
    <row r="91">
      <c r="A91" s="283" t="n"/>
      <c r="B91" s="283" t="n"/>
      <c r="C91" s="283" t="n"/>
      <c r="D91" s="283" t="n"/>
      <c r="E91" s="283" t="n"/>
      <c r="F91" s="283" t="n"/>
      <c r="G91" s="283" t="n"/>
      <c r="H91" s="283" t="n"/>
      <c r="I91" s="283" t="n"/>
      <c r="J91" s="283" t="n"/>
      <c r="K91" s="283" t="n"/>
      <c r="L91" s="283" t="n"/>
      <c r="M91" s="283" t="n"/>
      <c r="N91" s="380" t="n"/>
      <c r="O91" s="380" t="n"/>
      <c r="P91" s="283" t="n"/>
      <c r="Q91" s="283" t="n"/>
      <c r="R91" s="283" t="n"/>
      <c r="S91" s="283" t="n"/>
      <c r="T91" s="283" t="n"/>
      <c r="U91" s="283" t="n"/>
      <c r="V91" s="283" t="n"/>
      <c r="W91" s="283" t="n"/>
      <c r="X91" s="283" t="n"/>
      <c r="Y91" s="283" t="n"/>
      <c r="Z91" s="283" t="n"/>
    </row>
    <row r="92">
      <c r="A92" s="283" t="n"/>
      <c r="B92" s="283" t="n"/>
      <c r="C92" s="283" t="n"/>
      <c r="D92" s="283" t="n"/>
      <c r="E92" s="283" t="n"/>
      <c r="F92" s="283" t="n"/>
      <c r="G92" s="283" t="n"/>
      <c r="H92" s="283" t="n"/>
      <c r="I92" s="283" t="n"/>
      <c r="J92" s="283" t="n"/>
      <c r="K92" s="283" t="n"/>
      <c r="L92" s="283" t="n"/>
      <c r="M92" s="283" t="n"/>
      <c r="N92" s="380" t="n"/>
      <c r="O92" s="380" t="n"/>
      <c r="P92" s="283" t="n"/>
      <c r="Q92" s="283" t="n"/>
      <c r="R92" s="283" t="n"/>
      <c r="S92" s="283" t="n"/>
      <c r="T92" s="283" t="n"/>
      <c r="U92" s="283" t="n"/>
      <c r="V92" s="283" t="n"/>
      <c r="W92" s="283" t="n"/>
      <c r="X92" s="283" t="n"/>
      <c r="Y92" s="283" t="n"/>
      <c r="Z92" s="283" t="n"/>
    </row>
    <row r="93">
      <c r="A93" s="283" t="n"/>
      <c r="B93" s="283" t="n"/>
      <c r="C93" s="283" t="n"/>
      <c r="D93" s="283" t="n"/>
      <c r="E93" s="283" t="n"/>
      <c r="F93" s="283" t="n"/>
      <c r="G93" s="283" t="n"/>
      <c r="H93" s="283" t="n"/>
      <c r="I93" s="283" t="n"/>
      <c r="J93" s="283" t="n"/>
      <c r="K93" s="283" t="n"/>
      <c r="L93" s="283" t="n"/>
      <c r="M93" s="283" t="n"/>
      <c r="N93" s="380" t="n"/>
      <c r="O93" s="380" t="n"/>
      <c r="P93" s="283" t="n"/>
      <c r="Q93" s="283" t="n"/>
      <c r="R93" s="283" t="n"/>
      <c r="S93" s="283" t="n"/>
      <c r="T93" s="283" t="n"/>
      <c r="U93" s="283" t="n"/>
      <c r="V93" s="283" t="n"/>
      <c r="W93" s="283" t="n"/>
      <c r="X93" s="283" t="n"/>
      <c r="Y93" s="283" t="n"/>
      <c r="Z93" s="283" t="n"/>
    </row>
    <row r="94">
      <c r="A94" s="283" t="n"/>
      <c r="B94" s="283" t="n"/>
      <c r="C94" s="283" t="n"/>
      <c r="D94" s="283" t="n"/>
      <c r="E94" s="283" t="n"/>
      <c r="F94" s="283" t="n"/>
      <c r="G94" s="283" t="n"/>
      <c r="H94" s="283" t="n"/>
      <c r="I94" s="283" t="n"/>
      <c r="J94" s="283" t="n"/>
      <c r="K94" s="283" t="n"/>
      <c r="L94" s="283" t="n"/>
      <c r="M94" s="283" t="n"/>
      <c r="N94" s="380" t="n"/>
      <c r="O94" s="380" t="n"/>
      <c r="P94" s="283" t="n"/>
      <c r="Q94" s="283" t="n"/>
      <c r="R94" s="283" t="n"/>
      <c r="S94" s="283" t="n"/>
      <c r="T94" s="283" t="n"/>
      <c r="U94" s="283" t="n"/>
      <c r="V94" s="283" t="n"/>
      <c r="W94" s="283" t="n"/>
      <c r="X94" s="283" t="n"/>
      <c r="Y94" s="283" t="n"/>
      <c r="Z94" s="283" t="n"/>
    </row>
    <row r="95">
      <c r="A95" s="283" t="n"/>
      <c r="B95" s="283" t="n"/>
      <c r="C95" s="283" t="n"/>
      <c r="D95" s="283" t="n"/>
      <c r="E95" s="283" t="n"/>
      <c r="F95" s="283" t="n"/>
      <c r="G95" s="283" t="n"/>
      <c r="H95" s="283" t="n"/>
      <c r="I95" s="283" t="n"/>
      <c r="J95" s="283" t="n"/>
      <c r="K95" s="283" t="n"/>
      <c r="L95" s="283" t="n"/>
      <c r="M95" s="283" t="n"/>
      <c r="N95" s="380" t="n"/>
      <c r="O95" s="380" t="n"/>
      <c r="P95" s="283" t="n"/>
      <c r="Q95" s="283" t="n"/>
      <c r="R95" s="283" t="n"/>
      <c r="S95" s="283" t="n"/>
      <c r="T95" s="283" t="n"/>
      <c r="U95" s="283" t="n"/>
      <c r="V95" s="283" t="n"/>
      <c r="W95" s="283" t="n"/>
      <c r="X95" s="283" t="n"/>
      <c r="Y95" s="283" t="n"/>
      <c r="Z95" s="283" t="n"/>
    </row>
    <row r="96">
      <c r="A96" s="283" t="n"/>
      <c r="B96" s="283" t="n"/>
      <c r="C96" s="283" t="n"/>
      <c r="D96" s="283" t="n"/>
      <c r="E96" s="283" t="n"/>
      <c r="F96" s="283" t="n"/>
      <c r="G96" s="283" t="n"/>
      <c r="H96" s="283" t="n"/>
      <c r="I96" s="283" t="n"/>
      <c r="J96" s="283" t="n"/>
      <c r="K96" s="283" t="n"/>
      <c r="L96" s="283" t="n"/>
      <c r="M96" s="283" t="n"/>
      <c r="N96" s="380" t="n"/>
      <c r="O96" s="380" t="n"/>
      <c r="P96" s="283" t="n"/>
      <c r="Q96" s="283" t="n"/>
      <c r="R96" s="283" t="n"/>
      <c r="S96" s="283" t="n"/>
      <c r="T96" s="283" t="n"/>
      <c r="U96" s="283" t="n"/>
      <c r="V96" s="283" t="n"/>
      <c r="W96" s="283" t="n"/>
      <c r="X96" s="283" t="n"/>
      <c r="Y96" s="283" t="n"/>
      <c r="Z96" s="283" t="n"/>
    </row>
    <row r="97">
      <c r="A97" s="283" t="n"/>
      <c r="B97" s="283" t="n"/>
      <c r="C97" s="283" t="n"/>
      <c r="D97" s="283" t="n"/>
      <c r="E97" s="283" t="n"/>
      <c r="F97" s="283" t="n"/>
      <c r="G97" s="283" t="n"/>
      <c r="H97" s="283" t="n"/>
      <c r="I97" s="283" t="n"/>
      <c r="J97" s="283" t="n"/>
      <c r="K97" s="283" t="n"/>
      <c r="L97" s="283" t="n"/>
      <c r="M97" s="283" t="n"/>
      <c r="N97" s="380" t="n"/>
      <c r="O97" s="380" t="n"/>
      <c r="P97" s="283" t="n"/>
      <c r="Q97" s="283" t="n"/>
      <c r="R97" s="283" t="n"/>
      <c r="S97" s="283" t="n"/>
      <c r="T97" s="283" t="n"/>
      <c r="U97" s="283" t="n"/>
      <c r="V97" s="283" t="n"/>
      <c r="W97" s="283" t="n"/>
      <c r="X97" s="283" t="n"/>
      <c r="Y97" s="283" t="n"/>
      <c r="Z97" s="283" t="n"/>
    </row>
    <row r="98">
      <c r="A98" s="283" t="n"/>
      <c r="B98" s="283" t="n"/>
      <c r="C98" s="283" t="n"/>
      <c r="D98" s="283" t="n"/>
      <c r="E98" s="283" t="n"/>
      <c r="F98" s="283" t="n"/>
      <c r="G98" s="283" t="n"/>
      <c r="H98" s="283" t="n"/>
      <c r="I98" s="283" t="n"/>
      <c r="J98" s="283" t="n"/>
      <c r="K98" s="283" t="n"/>
      <c r="L98" s="283" t="n"/>
      <c r="M98" s="283" t="n"/>
      <c r="N98" s="380" t="n"/>
      <c r="O98" s="380" t="n"/>
      <c r="P98" s="283" t="n"/>
      <c r="Q98" s="283" t="n"/>
      <c r="R98" s="283" t="n"/>
      <c r="S98" s="283" t="n"/>
      <c r="T98" s="283" t="n"/>
      <c r="U98" s="283" t="n"/>
      <c r="V98" s="283" t="n"/>
      <c r="W98" s="283" t="n"/>
      <c r="X98" s="283" t="n"/>
      <c r="Y98" s="283" t="n"/>
      <c r="Z98" s="283" t="n"/>
    </row>
    <row r="99">
      <c r="A99" s="283" t="n"/>
      <c r="B99" s="283" t="n"/>
      <c r="C99" s="283" t="n"/>
      <c r="D99" s="283" t="n"/>
      <c r="E99" s="283" t="n"/>
      <c r="F99" s="283" t="n"/>
      <c r="G99" s="283" t="n"/>
      <c r="H99" s="283" t="n"/>
      <c r="I99" s="283" t="n"/>
      <c r="J99" s="283" t="n"/>
      <c r="K99" s="283" t="n"/>
      <c r="L99" s="283" t="n"/>
      <c r="M99" s="283" t="n"/>
      <c r="N99" s="380" t="n"/>
      <c r="O99" s="380" t="n"/>
      <c r="P99" s="283" t="n"/>
      <c r="Q99" s="283" t="n"/>
      <c r="R99" s="283" t="n"/>
      <c r="S99" s="283" t="n"/>
      <c r="T99" s="283" t="n"/>
      <c r="U99" s="283" t="n"/>
      <c r="V99" s="283" t="n"/>
      <c r="W99" s="283" t="n"/>
      <c r="X99" s="283" t="n"/>
      <c r="Y99" s="283" t="n"/>
      <c r="Z99" s="283" t="n"/>
    </row>
    <row r="100">
      <c r="A100" s="283" t="n"/>
      <c r="B100" s="283" t="n"/>
      <c r="C100" s="283" t="n"/>
      <c r="D100" s="283" t="n"/>
      <c r="E100" s="283" t="n"/>
      <c r="F100" s="283" t="n"/>
      <c r="G100" s="283" t="n"/>
      <c r="H100" s="283" t="n"/>
      <c r="I100" s="283" t="n"/>
      <c r="J100" s="283" t="n"/>
      <c r="K100" s="283" t="n"/>
      <c r="L100" s="283" t="n"/>
      <c r="M100" s="283" t="n"/>
      <c r="N100" s="380" t="n"/>
      <c r="O100" s="380" t="n"/>
      <c r="P100" s="283" t="n"/>
      <c r="Q100" s="283" t="n"/>
      <c r="R100" s="283" t="n"/>
      <c r="S100" s="283" t="n"/>
      <c r="T100" s="283" t="n"/>
      <c r="U100" s="283" t="n"/>
      <c r="V100" s="283" t="n"/>
      <c r="W100" s="283" t="n"/>
      <c r="X100" s="283" t="n"/>
      <c r="Y100" s="283" t="n"/>
      <c r="Z100" s="283" t="n"/>
    </row>
    <row r="101">
      <c r="A101" s="283" t="n"/>
      <c r="B101" s="283" t="n"/>
      <c r="C101" s="283" t="n"/>
      <c r="D101" s="283" t="n"/>
      <c r="E101" s="283" t="n"/>
      <c r="F101" s="283" t="n"/>
      <c r="G101" s="283" t="n"/>
      <c r="H101" s="283" t="n"/>
      <c r="I101" s="283" t="n"/>
      <c r="J101" s="283" t="n"/>
      <c r="K101" s="283" t="n"/>
      <c r="L101" s="283" t="n"/>
      <c r="M101" s="283" t="n"/>
      <c r="N101" s="380" t="n"/>
      <c r="O101" s="380" t="n"/>
      <c r="P101" s="283" t="n"/>
      <c r="Q101" s="283" t="n"/>
      <c r="R101" s="283" t="n"/>
      <c r="S101" s="283" t="n"/>
      <c r="T101" s="283" t="n"/>
      <c r="U101" s="283" t="n"/>
      <c r="V101" s="283" t="n"/>
      <c r="W101" s="283" t="n"/>
      <c r="X101" s="283" t="n"/>
      <c r="Y101" s="283" t="n"/>
      <c r="Z101" s="283" t="n"/>
    </row>
    <row r="102">
      <c r="A102" s="283" t="n"/>
      <c r="B102" s="283" t="n"/>
      <c r="C102" s="283" t="n"/>
      <c r="D102" s="283" t="n"/>
      <c r="E102" s="283" t="n"/>
      <c r="F102" s="283" t="n"/>
      <c r="G102" s="283" t="n"/>
      <c r="H102" s="283" t="n"/>
      <c r="I102" s="283" t="n"/>
      <c r="J102" s="283" t="n"/>
      <c r="K102" s="283" t="n"/>
      <c r="L102" s="283" t="n"/>
      <c r="M102" s="283" t="n"/>
      <c r="N102" s="380" t="n"/>
      <c r="O102" s="380" t="n"/>
      <c r="P102" s="283" t="n"/>
      <c r="Q102" s="283" t="n"/>
      <c r="R102" s="283" t="n"/>
      <c r="S102" s="283" t="n"/>
      <c r="T102" s="283" t="n"/>
      <c r="U102" s="283" t="n"/>
      <c r="V102" s="283" t="n"/>
      <c r="W102" s="283" t="n"/>
      <c r="X102" s="283" t="n"/>
      <c r="Y102" s="283" t="n"/>
      <c r="Z102" s="283" t="n"/>
    </row>
    <row r="103">
      <c r="A103" s="283" t="n"/>
      <c r="B103" s="283" t="n"/>
      <c r="C103" s="283" t="n"/>
      <c r="D103" s="283" t="n"/>
      <c r="E103" s="283" t="n"/>
      <c r="F103" s="283" t="n"/>
      <c r="G103" s="283" t="n"/>
      <c r="H103" s="283" t="n"/>
      <c r="I103" s="283" t="n"/>
      <c r="J103" s="283" t="n"/>
      <c r="K103" s="283" t="n"/>
      <c r="L103" s="283" t="n"/>
      <c r="M103" s="283" t="n"/>
      <c r="N103" s="380" t="n"/>
      <c r="O103" s="380" t="n"/>
      <c r="P103" s="283" t="n"/>
      <c r="Q103" s="283" t="n"/>
      <c r="R103" s="283" t="n"/>
      <c r="S103" s="283" t="n"/>
      <c r="T103" s="283" t="n"/>
      <c r="U103" s="283" t="n"/>
      <c r="V103" s="283" t="n"/>
      <c r="W103" s="283" t="n"/>
      <c r="X103" s="283" t="n"/>
      <c r="Y103" s="283" t="n"/>
      <c r="Z103" s="283" t="n"/>
    </row>
    <row r="104">
      <c r="A104" s="283" t="n"/>
      <c r="B104" s="283" t="n"/>
      <c r="C104" s="283" t="n"/>
      <c r="D104" s="283" t="n"/>
      <c r="E104" s="283" t="n"/>
      <c r="F104" s="283" t="n"/>
      <c r="G104" s="283" t="n"/>
      <c r="H104" s="283" t="n"/>
      <c r="I104" s="283" t="n"/>
      <c r="J104" s="283" t="n"/>
      <c r="K104" s="283" t="n"/>
      <c r="L104" s="283" t="n"/>
      <c r="M104" s="283" t="n"/>
      <c r="N104" s="380" t="n"/>
      <c r="O104" s="380" t="n"/>
      <c r="P104" s="283" t="n"/>
      <c r="Q104" s="283" t="n"/>
      <c r="R104" s="283" t="n"/>
      <c r="S104" s="283" t="n"/>
      <c r="T104" s="283" t="n"/>
      <c r="U104" s="283" t="n"/>
      <c r="V104" s="283" t="n"/>
      <c r="W104" s="283" t="n"/>
      <c r="X104" s="283" t="n"/>
      <c r="Y104" s="283" t="n"/>
      <c r="Z104" s="283" t="n"/>
    </row>
    <row r="105">
      <c r="A105" s="283" t="n"/>
      <c r="B105" s="283" t="n"/>
      <c r="C105" s="283" t="n"/>
      <c r="D105" s="283" t="n"/>
      <c r="E105" s="283" t="n"/>
      <c r="F105" s="283" t="n"/>
      <c r="G105" s="283" t="n"/>
      <c r="H105" s="283" t="n"/>
      <c r="I105" s="283" t="n"/>
      <c r="J105" s="283" t="n"/>
      <c r="K105" s="283" t="n"/>
      <c r="L105" s="283" t="n"/>
      <c r="M105" s="283" t="n"/>
      <c r="N105" s="380" t="n"/>
      <c r="O105" s="380" t="n"/>
      <c r="P105" s="283" t="n"/>
      <c r="Q105" s="283" t="n"/>
      <c r="R105" s="283" t="n"/>
      <c r="S105" s="283" t="n"/>
      <c r="T105" s="283" t="n"/>
      <c r="U105" s="283" t="n"/>
      <c r="V105" s="283" t="n"/>
      <c r="W105" s="283" t="n"/>
      <c r="X105" s="283" t="n"/>
      <c r="Y105" s="283" t="n"/>
      <c r="Z105" s="283" t="n"/>
    </row>
    <row r="106">
      <c r="A106" s="283" t="n"/>
      <c r="B106" s="283" t="n"/>
      <c r="C106" s="283" t="n"/>
      <c r="D106" s="283" t="n"/>
      <c r="E106" s="283" t="n"/>
      <c r="F106" s="283" t="n"/>
      <c r="G106" s="283" t="n"/>
      <c r="H106" s="283" t="n"/>
      <c r="I106" s="283" t="n"/>
      <c r="J106" s="283" t="n"/>
      <c r="K106" s="283" t="n"/>
      <c r="L106" s="283" t="n"/>
      <c r="M106" s="283" t="n"/>
      <c r="N106" s="380" t="n"/>
      <c r="O106" s="380" t="n"/>
      <c r="P106" s="283" t="n"/>
      <c r="Q106" s="283" t="n"/>
      <c r="R106" s="283" t="n"/>
      <c r="S106" s="283" t="n"/>
      <c r="T106" s="283" t="n"/>
      <c r="U106" s="283" t="n"/>
      <c r="V106" s="283" t="n"/>
      <c r="W106" s="283" t="n"/>
      <c r="X106" s="283" t="n"/>
      <c r="Y106" s="283" t="n"/>
      <c r="Z106" s="283" t="n"/>
    </row>
    <row r="107">
      <c r="A107" s="283" t="n"/>
      <c r="B107" s="283" t="n"/>
      <c r="C107" s="283" t="n"/>
      <c r="D107" s="283" t="n"/>
      <c r="E107" s="283" t="n"/>
      <c r="F107" s="283" t="n"/>
      <c r="G107" s="283" t="n"/>
      <c r="H107" s="283" t="n"/>
      <c r="I107" s="283" t="n"/>
      <c r="J107" s="283" t="n"/>
      <c r="K107" s="283" t="n"/>
      <c r="L107" s="283" t="n"/>
      <c r="M107" s="283" t="n"/>
      <c r="N107" s="380" t="n"/>
      <c r="O107" s="380" t="n"/>
      <c r="P107" s="283" t="n"/>
      <c r="Q107" s="283" t="n"/>
      <c r="R107" s="283" t="n"/>
      <c r="S107" s="283" t="n"/>
      <c r="T107" s="283" t="n"/>
      <c r="U107" s="283" t="n"/>
      <c r="V107" s="283" t="n"/>
      <c r="W107" s="283" t="n"/>
      <c r="X107" s="283" t="n"/>
      <c r="Y107" s="283" t="n"/>
      <c r="Z107" s="283" t="n"/>
    </row>
    <row r="108">
      <c r="A108" s="283" t="n"/>
      <c r="B108" s="283" t="n"/>
      <c r="C108" s="283" t="n"/>
      <c r="D108" s="283" t="n"/>
      <c r="E108" s="283" t="n"/>
      <c r="F108" s="283" t="n"/>
      <c r="G108" s="283" t="n"/>
      <c r="H108" s="283" t="n"/>
      <c r="I108" s="283" t="n"/>
      <c r="J108" s="283" t="n"/>
      <c r="K108" s="283" t="n"/>
      <c r="L108" s="283" t="n"/>
      <c r="M108" s="283" t="n"/>
      <c r="N108" s="380" t="n"/>
      <c r="O108" s="380" t="n"/>
      <c r="P108" s="283" t="n"/>
      <c r="Q108" s="283" t="n"/>
      <c r="R108" s="283" t="n"/>
      <c r="S108" s="283" t="n"/>
      <c r="T108" s="283" t="n"/>
      <c r="U108" s="283" t="n"/>
      <c r="V108" s="283" t="n"/>
      <c r="W108" s="283" t="n"/>
      <c r="X108" s="283" t="n"/>
      <c r="Y108" s="283" t="n"/>
      <c r="Z108" s="283" t="n"/>
    </row>
    <row r="109">
      <c r="A109" s="283" t="n"/>
      <c r="B109" s="283" t="n"/>
      <c r="C109" s="283" t="n"/>
      <c r="D109" s="283" t="n"/>
      <c r="E109" s="283" t="n"/>
      <c r="F109" s="283" t="n"/>
      <c r="G109" s="283" t="n"/>
      <c r="H109" s="283" t="n"/>
      <c r="I109" s="283" t="n"/>
      <c r="J109" s="283" t="n"/>
      <c r="K109" s="283" t="n"/>
      <c r="L109" s="283" t="n"/>
      <c r="M109" s="283" t="n"/>
      <c r="N109" s="380" t="n"/>
      <c r="O109" s="380" t="n"/>
      <c r="P109" s="283" t="n"/>
      <c r="Q109" s="283" t="n"/>
      <c r="R109" s="283" t="n"/>
      <c r="S109" s="283" t="n"/>
      <c r="T109" s="283" t="n"/>
      <c r="U109" s="283" t="n"/>
      <c r="V109" s="283" t="n"/>
      <c r="W109" s="283" t="n"/>
      <c r="X109" s="283" t="n"/>
      <c r="Y109" s="283" t="n"/>
      <c r="Z109" s="283" t="n"/>
    </row>
    <row r="110">
      <c r="A110" s="283" t="n"/>
      <c r="B110" s="283" t="n"/>
      <c r="C110" s="283" t="n"/>
      <c r="D110" s="283" t="n"/>
      <c r="E110" s="283" t="n"/>
      <c r="F110" s="283" t="n"/>
      <c r="G110" s="283" t="n"/>
      <c r="H110" s="283" t="n"/>
      <c r="I110" s="283" t="n"/>
      <c r="J110" s="283" t="n"/>
      <c r="K110" s="283" t="n"/>
      <c r="L110" s="283" t="n"/>
      <c r="M110" s="283" t="n"/>
      <c r="N110" s="380" t="n"/>
      <c r="O110" s="380" t="n"/>
      <c r="P110" s="283" t="n"/>
      <c r="Q110" s="283" t="n"/>
      <c r="R110" s="283" t="n"/>
      <c r="S110" s="283" t="n"/>
      <c r="T110" s="283" t="n"/>
      <c r="U110" s="283" t="n"/>
      <c r="V110" s="283" t="n"/>
      <c r="W110" s="283" t="n"/>
      <c r="X110" s="283" t="n"/>
      <c r="Y110" s="283" t="n"/>
      <c r="Z110" s="283" t="n"/>
    </row>
    <row r="111">
      <c r="A111" s="283" t="n"/>
      <c r="B111" s="283" t="n"/>
      <c r="C111" s="283" t="n"/>
      <c r="D111" s="283" t="n"/>
      <c r="E111" s="283" t="n"/>
      <c r="F111" s="283" t="n"/>
      <c r="G111" s="283" t="n"/>
      <c r="H111" s="283" t="n"/>
      <c r="I111" s="283" t="n"/>
      <c r="J111" s="283" t="n"/>
      <c r="K111" s="283" t="n"/>
      <c r="L111" s="283" t="n"/>
      <c r="M111" s="283" t="n"/>
      <c r="N111" s="380" t="n"/>
      <c r="O111" s="380" t="n"/>
      <c r="P111" s="283" t="n"/>
      <c r="Q111" s="283" t="n"/>
      <c r="R111" s="283" t="n"/>
      <c r="S111" s="283" t="n"/>
      <c r="T111" s="283" t="n"/>
      <c r="U111" s="283" t="n"/>
      <c r="V111" s="283" t="n"/>
      <c r="W111" s="283" t="n"/>
      <c r="X111" s="283" t="n"/>
      <c r="Y111" s="283" t="n"/>
      <c r="Z111" s="283" t="n"/>
    </row>
    <row r="112">
      <c r="A112" s="283" t="n"/>
      <c r="B112" s="283" t="n"/>
      <c r="C112" s="283" t="n"/>
      <c r="D112" s="283" t="n"/>
      <c r="E112" s="283" t="n"/>
      <c r="F112" s="283" t="n"/>
      <c r="G112" s="283" t="n"/>
      <c r="H112" s="283" t="n"/>
      <c r="I112" s="283" t="n"/>
      <c r="J112" s="283" t="n"/>
      <c r="K112" s="283" t="n"/>
      <c r="L112" s="283" t="n"/>
      <c r="M112" s="283" t="n"/>
      <c r="N112" s="380" t="n"/>
      <c r="O112" s="380" t="n"/>
      <c r="P112" s="283" t="n"/>
      <c r="Q112" s="283" t="n"/>
      <c r="R112" s="283" t="n"/>
      <c r="S112" s="283" t="n"/>
      <c r="T112" s="283" t="n"/>
      <c r="U112" s="283" t="n"/>
      <c r="V112" s="283" t="n"/>
      <c r="W112" s="283" t="n"/>
      <c r="X112" s="283" t="n"/>
      <c r="Y112" s="283" t="n"/>
      <c r="Z112" s="283" t="n"/>
    </row>
    <row r="113">
      <c r="A113" s="283" t="n"/>
      <c r="B113" s="283" t="n"/>
      <c r="C113" s="283" t="n"/>
      <c r="D113" s="283" t="n"/>
      <c r="E113" s="283" t="n"/>
      <c r="F113" s="283" t="n"/>
      <c r="G113" s="283" t="n"/>
      <c r="H113" s="283" t="n"/>
      <c r="I113" s="283" t="n"/>
      <c r="J113" s="283" t="n"/>
      <c r="K113" s="283" t="n"/>
      <c r="L113" s="283" t="n"/>
      <c r="M113" s="283" t="n"/>
      <c r="N113" s="380" t="n"/>
      <c r="O113" s="380" t="n"/>
      <c r="P113" s="283" t="n"/>
      <c r="Q113" s="283" t="n"/>
      <c r="R113" s="283" t="n"/>
      <c r="S113" s="283" t="n"/>
      <c r="T113" s="283" t="n"/>
      <c r="U113" s="283" t="n"/>
      <c r="V113" s="283" t="n"/>
      <c r="W113" s="283" t="n"/>
      <c r="X113" s="283" t="n"/>
      <c r="Y113" s="283" t="n"/>
      <c r="Z113" s="283" t="n"/>
    </row>
    <row r="114">
      <c r="A114" s="283" t="n"/>
      <c r="B114" s="283" t="n"/>
      <c r="C114" s="283" t="n"/>
      <c r="D114" s="283" t="n"/>
      <c r="E114" s="283" t="n"/>
      <c r="F114" s="283" t="n"/>
      <c r="G114" s="283" t="n"/>
      <c r="H114" s="283" t="n"/>
      <c r="I114" s="283" t="n"/>
      <c r="J114" s="283" t="n"/>
      <c r="K114" s="283" t="n"/>
      <c r="L114" s="283" t="n"/>
      <c r="M114" s="283" t="n"/>
      <c r="N114" s="380" t="n"/>
      <c r="O114" s="380" t="n"/>
      <c r="P114" s="283" t="n"/>
      <c r="Q114" s="283" t="n"/>
      <c r="R114" s="283" t="n"/>
      <c r="S114" s="283" t="n"/>
      <c r="T114" s="283" t="n"/>
      <c r="U114" s="283" t="n"/>
      <c r="V114" s="283" t="n"/>
      <c r="W114" s="283" t="n"/>
      <c r="X114" s="283" t="n"/>
      <c r="Y114" s="283" t="n"/>
      <c r="Z114" s="283" t="n"/>
    </row>
    <row r="115">
      <c r="A115" s="283" t="n"/>
      <c r="B115" s="283" t="n"/>
      <c r="C115" s="283" t="n"/>
      <c r="D115" s="283" t="n"/>
      <c r="E115" s="283" t="n"/>
      <c r="F115" s="283" t="n"/>
      <c r="G115" s="283" t="n"/>
      <c r="H115" s="283" t="n"/>
      <c r="I115" s="283" t="n"/>
      <c r="J115" s="283" t="n"/>
      <c r="K115" s="283" t="n"/>
      <c r="L115" s="283" t="n"/>
      <c r="M115" s="283" t="n"/>
      <c r="N115" s="380" t="n"/>
      <c r="O115" s="380" t="n"/>
      <c r="P115" s="283" t="n"/>
      <c r="Q115" s="283" t="n"/>
      <c r="R115" s="283" t="n"/>
      <c r="S115" s="283" t="n"/>
      <c r="T115" s="283" t="n"/>
      <c r="U115" s="283" t="n"/>
      <c r="V115" s="283" t="n"/>
      <c r="W115" s="283" t="n"/>
      <c r="X115" s="283" t="n"/>
      <c r="Y115" s="283" t="n"/>
      <c r="Z115" s="283" t="n"/>
    </row>
    <row r="116">
      <c r="A116" s="283" t="n"/>
      <c r="B116" s="283" t="n"/>
      <c r="C116" s="283" t="n"/>
      <c r="D116" s="283" t="n"/>
      <c r="E116" s="283" t="n"/>
      <c r="F116" s="283" t="n"/>
      <c r="G116" s="283" t="n"/>
      <c r="H116" s="283" t="n"/>
      <c r="I116" s="283" t="n"/>
      <c r="J116" s="283" t="n"/>
      <c r="K116" s="283" t="n"/>
      <c r="L116" s="283" t="n"/>
      <c r="M116" s="283" t="n"/>
      <c r="N116" s="380" t="n"/>
      <c r="O116" s="380" t="n"/>
      <c r="P116" s="283" t="n"/>
      <c r="Q116" s="283" t="n"/>
      <c r="R116" s="283" t="n"/>
      <c r="S116" s="283" t="n"/>
      <c r="T116" s="283" t="n"/>
      <c r="U116" s="283" t="n"/>
      <c r="V116" s="283" t="n"/>
      <c r="W116" s="283" t="n"/>
      <c r="X116" s="283" t="n"/>
      <c r="Y116" s="283" t="n"/>
      <c r="Z116" s="283" t="n"/>
    </row>
    <row r="117">
      <c r="A117" s="283" t="n"/>
      <c r="B117" s="283" t="n"/>
      <c r="C117" s="283" t="n"/>
      <c r="D117" s="283" t="n"/>
      <c r="E117" s="283" t="n"/>
      <c r="F117" s="283" t="n"/>
      <c r="G117" s="283" t="n"/>
      <c r="H117" s="283" t="n"/>
      <c r="I117" s="283" t="n"/>
      <c r="J117" s="283" t="n"/>
      <c r="K117" s="283" t="n"/>
      <c r="L117" s="283" t="n"/>
      <c r="M117" s="283" t="n"/>
      <c r="N117" s="380" t="n"/>
      <c r="O117" s="380" t="n"/>
      <c r="P117" s="283" t="n"/>
      <c r="Q117" s="283" t="n"/>
      <c r="R117" s="283" t="n"/>
      <c r="S117" s="283" t="n"/>
      <c r="T117" s="283" t="n"/>
      <c r="U117" s="283" t="n"/>
      <c r="V117" s="283" t="n"/>
      <c r="W117" s="283" t="n"/>
      <c r="X117" s="283" t="n"/>
      <c r="Y117" s="283" t="n"/>
      <c r="Z117" s="283" t="n"/>
    </row>
    <row r="118">
      <c r="A118" s="283" t="n"/>
      <c r="B118" s="283" t="n"/>
      <c r="C118" s="283" t="n"/>
      <c r="D118" s="283" t="n"/>
      <c r="E118" s="283" t="n"/>
      <c r="F118" s="283" t="n"/>
      <c r="G118" s="283" t="n"/>
      <c r="H118" s="283" t="n"/>
      <c r="I118" s="283" t="n"/>
      <c r="J118" s="283" t="n"/>
      <c r="K118" s="283" t="n"/>
      <c r="L118" s="283" t="n"/>
      <c r="M118" s="283" t="n"/>
      <c r="N118" s="380" t="n"/>
      <c r="O118" s="380" t="n"/>
      <c r="P118" s="283" t="n"/>
      <c r="Q118" s="283" t="n"/>
      <c r="R118" s="283" t="n"/>
      <c r="S118" s="283" t="n"/>
      <c r="T118" s="283" t="n"/>
      <c r="U118" s="283" t="n"/>
      <c r="V118" s="283" t="n"/>
      <c r="W118" s="283" t="n"/>
      <c r="X118" s="283" t="n"/>
      <c r="Y118" s="283" t="n"/>
      <c r="Z118" s="283" t="n"/>
    </row>
    <row r="119">
      <c r="A119" s="283" t="n"/>
      <c r="B119" s="283" t="n"/>
      <c r="C119" s="283" t="n"/>
      <c r="D119" s="283" t="n"/>
      <c r="E119" s="283" t="n"/>
      <c r="F119" s="283" t="n"/>
      <c r="G119" s="283" t="n"/>
      <c r="H119" s="283" t="n"/>
      <c r="I119" s="283" t="n"/>
      <c r="J119" s="283" t="n"/>
      <c r="K119" s="283" t="n"/>
      <c r="L119" s="283" t="n"/>
      <c r="M119" s="283" t="n"/>
      <c r="N119" s="380" t="n"/>
      <c r="O119" s="380" t="n"/>
      <c r="P119" s="283" t="n"/>
      <c r="Q119" s="283" t="n"/>
      <c r="R119" s="283" t="n"/>
      <c r="S119" s="283" t="n"/>
      <c r="T119" s="283" t="n"/>
      <c r="U119" s="283" t="n"/>
      <c r="V119" s="283" t="n"/>
      <c r="W119" s="283" t="n"/>
      <c r="X119" s="283" t="n"/>
      <c r="Y119" s="283" t="n"/>
      <c r="Z119" s="283" t="n"/>
    </row>
    <row r="120">
      <c r="A120" s="283" t="n"/>
      <c r="B120" s="283" t="n"/>
      <c r="C120" s="283" t="n"/>
      <c r="D120" s="283" t="n"/>
      <c r="E120" s="283" t="n"/>
      <c r="F120" s="283" t="n"/>
      <c r="G120" s="283" t="n"/>
      <c r="H120" s="283" t="n"/>
      <c r="I120" s="283" t="n"/>
      <c r="J120" s="283" t="n"/>
      <c r="K120" s="283" t="n"/>
      <c r="L120" s="283" t="n"/>
      <c r="M120" s="283" t="n"/>
      <c r="N120" s="380" t="n"/>
      <c r="O120" s="380" t="n"/>
      <c r="P120" s="283" t="n"/>
      <c r="Q120" s="283" t="n"/>
      <c r="R120" s="283" t="n"/>
      <c r="S120" s="283" t="n"/>
      <c r="T120" s="283" t="n"/>
      <c r="U120" s="283" t="n"/>
      <c r="V120" s="283" t="n"/>
      <c r="W120" s="283" t="n"/>
      <c r="X120" s="283" t="n"/>
      <c r="Y120" s="283" t="n"/>
      <c r="Z120" s="283" t="n"/>
    </row>
    <row r="121">
      <c r="A121" s="283" t="n"/>
      <c r="B121" s="283" t="n"/>
      <c r="C121" s="283" t="n"/>
      <c r="D121" s="283" t="n"/>
      <c r="E121" s="283" t="n"/>
      <c r="F121" s="283" t="n"/>
      <c r="G121" s="283" t="n"/>
      <c r="H121" s="283" t="n"/>
      <c r="I121" s="283" t="n"/>
      <c r="J121" s="283" t="n"/>
      <c r="K121" s="283" t="n"/>
      <c r="L121" s="283" t="n"/>
      <c r="M121" s="283" t="n"/>
      <c r="N121" s="380" t="n"/>
      <c r="O121" s="380" t="n"/>
      <c r="P121" s="283" t="n"/>
      <c r="Q121" s="283" t="n"/>
      <c r="R121" s="283" t="n"/>
      <c r="S121" s="283" t="n"/>
      <c r="T121" s="283" t="n"/>
      <c r="U121" s="283" t="n"/>
      <c r="V121" s="283" t="n"/>
      <c r="W121" s="283" t="n"/>
      <c r="X121" s="283" t="n"/>
      <c r="Y121" s="283" t="n"/>
      <c r="Z121" s="283" t="n"/>
    </row>
    <row r="122">
      <c r="A122" s="283" t="n"/>
      <c r="B122" s="283" t="n"/>
      <c r="C122" s="283" t="n"/>
      <c r="D122" s="283" t="n"/>
      <c r="E122" s="283" t="n"/>
      <c r="F122" s="283" t="n"/>
      <c r="G122" s="283" t="n"/>
      <c r="H122" s="283" t="n"/>
      <c r="I122" s="283" t="n"/>
      <c r="J122" s="283" t="n"/>
      <c r="K122" s="283" t="n"/>
      <c r="L122" s="283" t="n"/>
      <c r="M122" s="283" t="n"/>
      <c r="N122" s="380" t="n"/>
      <c r="O122" s="380" t="n"/>
      <c r="P122" s="283" t="n"/>
      <c r="Q122" s="283" t="n"/>
      <c r="R122" s="283" t="n"/>
      <c r="S122" s="283" t="n"/>
      <c r="T122" s="283" t="n"/>
      <c r="U122" s="283" t="n"/>
      <c r="V122" s="283" t="n"/>
      <c r="W122" s="283" t="n"/>
      <c r="X122" s="283" t="n"/>
      <c r="Y122" s="283" t="n"/>
      <c r="Z122" s="283" t="n"/>
    </row>
    <row r="123">
      <c r="A123" s="283" t="n"/>
      <c r="B123" s="283" t="n"/>
      <c r="C123" s="283" t="n"/>
      <c r="D123" s="283" t="n"/>
      <c r="E123" s="283" t="n"/>
      <c r="F123" s="283" t="n"/>
      <c r="G123" s="283" t="n"/>
      <c r="H123" s="283" t="n"/>
      <c r="I123" s="283" t="n"/>
      <c r="J123" s="283" t="n"/>
      <c r="K123" s="283" t="n"/>
      <c r="L123" s="283" t="n"/>
      <c r="M123" s="283" t="n"/>
      <c r="N123" s="380" t="n"/>
      <c r="O123" s="380" t="n"/>
      <c r="P123" s="283" t="n"/>
      <c r="Q123" s="283" t="n"/>
      <c r="R123" s="283" t="n"/>
      <c r="S123" s="283" t="n"/>
      <c r="T123" s="283" t="n"/>
      <c r="U123" s="283" t="n"/>
      <c r="V123" s="283" t="n"/>
      <c r="W123" s="283" t="n"/>
      <c r="X123" s="283" t="n"/>
      <c r="Y123" s="283" t="n"/>
      <c r="Z123" s="283" t="n"/>
    </row>
    <row r="124">
      <c r="A124" s="283" t="n"/>
      <c r="B124" s="283" t="n"/>
      <c r="C124" s="283" t="n"/>
      <c r="D124" s="283" t="n"/>
      <c r="E124" s="283" t="n"/>
      <c r="F124" s="283" t="n"/>
      <c r="G124" s="283" t="n"/>
      <c r="H124" s="283" t="n"/>
      <c r="I124" s="283" t="n"/>
      <c r="J124" s="283" t="n"/>
      <c r="K124" s="283" t="n"/>
      <c r="L124" s="283" t="n"/>
      <c r="M124" s="283" t="n"/>
      <c r="N124" s="380" t="n"/>
      <c r="O124" s="380" t="n"/>
      <c r="P124" s="283" t="n"/>
      <c r="Q124" s="283" t="n"/>
      <c r="R124" s="283" t="n"/>
      <c r="S124" s="283" t="n"/>
      <c r="T124" s="283" t="n"/>
      <c r="U124" s="283" t="n"/>
      <c r="V124" s="283" t="n"/>
      <c r="W124" s="283" t="n"/>
      <c r="X124" s="283" t="n"/>
      <c r="Y124" s="283" t="n"/>
      <c r="Z124" s="283" t="n"/>
    </row>
    <row r="125">
      <c r="A125" s="283" t="n"/>
      <c r="B125" s="283" t="n"/>
      <c r="C125" s="283" t="n"/>
      <c r="D125" s="283" t="n"/>
      <c r="E125" s="283" t="n"/>
      <c r="F125" s="283" t="n"/>
      <c r="G125" s="283" t="n"/>
      <c r="H125" s="283" t="n"/>
      <c r="I125" s="283" t="n"/>
      <c r="J125" s="283" t="n"/>
      <c r="K125" s="283" t="n"/>
      <c r="L125" s="283" t="n"/>
      <c r="M125" s="283" t="n"/>
      <c r="N125" s="380" t="n"/>
      <c r="O125" s="380" t="n"/>
      <c r="P125" s="283" t="n"/>
      <c r="Q125" s="283" t="n"/>
      <c r="R125" s="283" t="n"/>
      <c r="S125" s="283" t="n"/>
      <c r="T125" s="283" t="n"/>
      <c r="U125" s="283" t="n"/>
      <c r="V125" s="283" t="n"/>
      <c r="W125" s="283" t="n"/>
      <c r="X125" s="283" t="n"/>
      <c r="Y125" s="283" t="n"/>
      <c r="Z125" s="283" t="n"/>
    </row>
    <row r="126">
      <c r="A126" s="283" t="n"/>
      <c r="B126" s="283" t="n"/>
      <c r="C126" s="283" t="n"/>
      <c r="D126" s="283" t="n"/>
      <c r="E126" s="283" t="n"/>
      <c r="F126" s="283" t="n"/>
      <c r="G126" s="283" t="n"/>
      <c r="H126" s="283" t="n"/>
      <c r="I126" s="283" t="n"/>
      <c r="J126" s="283" t="n"/>
      <c r="K126" s="283" t="n"/>
      <c r="L126" s="283" t="n"/>
      <c r="M126" s="283" t="n"/>
      <c r="N126" s="380" t="n"/>
      <c r="O126" s="380" t="n"/>
      <c r="P126" s="283" t="n"/>
      <c r="Q126" s="283" t="n"/>
      <c r="R126" s="283" t="n"/>
      <c r="S126" s="283" t="n"/>
      <c r="T126" s="283" t="n"/>
      <c r="U126" s="283" t="n"/>
      <c r="V126" s="283" t="n"/>
      <c r="W126" s="283" t="n"/>
      <c r="X126" s="283" t="n"/>
      <c r="Y126" s="283" t="n"/>
      <c r="Z126" s="283" t="n"/>
    </row>
    <row r="127">
      <c r="A127" s="283" t="n"/>
      <c r="B127" s="283" t="n"/>
      <c r="C127" s="283" t="n"/>
      <c r="D127" s="283" t="n"/>
      <c r="E127" s="283" t="n"/>
      <c r="F127" s="283" t="n"/>
      <c r="G127" s="283" t="n"/>
      <c r="H127" s="283" t="n"/>
      <c r="I127" s="283" t="n"/>
      <c r="J127" s="283" t="n"/>
      <c r="K127" s="283" t="n"/>
      <c r="L127" s="283" t="n"/>
      <c r="M127" s="283" t="n"/>
      <c r="N127" s="380" t="n"/>
      <c r="O127" s="380" t="n"/>
      <c r="P127" s="283" t="n"/>
      <c r="Q127" s="283" t="n"/>
      <c r="R127" s="283" t="n"/>
      <c r="S127" s="283" t="n"/>
      <c r="T127" s="283" t="n"/>
      <c r="U127" s="283" t="n"/>
      <c r="V127" s="283" t="n"/>
      <c r="W127" s="283" t="n"/>
      <c r="X127" s="283" t="n"/>
      <c r="Y127" s="283" t="n"/>
      <c r="Z127" s="283" t="n"/>
    </row>
    <row r="128">
      <c r="A128" s="283" t="n"/>
      <c r="B128" s="283" t="n"/>
      <c r="C128" s="283" t="n"/>
      <c r="D128" s="283" t="n"/>
      <c r="E128" s="283" t="n"/>
      <c r="F128" s="283" t="n"/>
      <c r="G128" s="283" t="n"/>
      <c r="H128" s="283" t="n"/>
      <c r="I128" s="283" t="n"/>
      <c r="J128" s="283" t="n"/>
      <c r="K128" s="283" t="n"/>
      <c r="L128" s="283" t="n"/>
      <c r="M128" s="283" t="n"/>
      <c r="N128" s="380" t="n"/>
      <c r="O128" s="380" t="n"/>
      <c r="P128" s="283" t="n"/>
      <c r="Q128" s="283" t="n"/>
      <c r="R128" s="283" t="n"/>
      <c r="S128" s="283" t="n"/>
      <c r="T128" s="283" t="n"/>
      <c r="U128" s="283" t="n"/>
      <c r="V128" s="283" t="n"/>
      <c r="W128" s="283" t="n"/>
      <c r="X128" s="283" t="n"/>
      <c r="Y128" s="283" t="n"/>
      <c r="Z128" s="283" t="n"/>
    </row>
    <row r="129">
      <c r="A129" s="283" t="n"/>
      <c r="B129" s="283" t="n"/>
      <c r="C129" s="283" t="n"/>
      <c r="D129" s="283" t="n"/>
      <c r="E129" s="283" t="n"/>
      <c r="F129" s="283" t="n"/>
      <c r="G129" s="283" t="n"/>
      <c r="H129" s="283" t="n"/>
      <c r="I129" s="283" t="n"/>
      <c r="J129" s="283" t="n"/>
      <c r="K129" s="283" t="n"/>
      <c r="L129" s="283" t="n"/>
      <c r="M129" s="283" t="n"/>
      <c r="N129" s="380" t="n"/>
      <c r="O129" s="380" t="n"/>
      <c r="P129" s="283" t="n"/>
      <c r="Q129" s="283" t="n"/>
      <c r="R129" s="283" t="n"/>
      <c r="S129" s="283" t="n"/>
      <c r="T129" s="283" t="n"/>
      <c r="U129" s="283" t="n"/>
      <c r="V129" s="283" t="n"/>
      <c r="W129" s="283" t="n"/>
      <c r="X129" s="283" t="n"/>
      <c r="Y129" s="283" t="n"/>
      <c r="Z129" s="283" t="n"/>
    </row>
    <row r="130">
      <c r="A130" s="283" t="n"/>
      <c r="B130" s="283" t="n"/>
      <c r="C130" s="283" t="n"/>
      <c r="D130" s="283" t="n"/>
      <c r="E130" s="283" t="n"/>
      <c r="F130" s="283" t="n"/>
      <c r="G130" s="283" t="n"/>
      <c r="H130" s="283" t="n"/>
      <c r="I130" s="283" t="n"/>
      <c r="J130" s="283" t="n"/>
      <c r="K130" s="283" t="n"/>
      <c r="L130" s="283" t="n"/>
      <c r="M130" s="283" t="n"/>
      <c r="N130" s="380" t="n"/>
      <c r="O130" s="380" t="n"/>
      <c r="P130" s="283" t="n"/>
      <c r="Q130" s="283" t="n"/>
      <c r="R130" s="283" t="n"/>
      <c r="S130" s="283" t="n"/>
      <c r="T130" s="283" t="n"/>
      <c r="U130" s="283" t="n"/>
      <c r="V130" s="283" t="n"/>
      <c r="W130" s="283" t="n"/>
      <c r="X130" s="283" t="n"/>
      <c r="Y130" s="283" t="n"/>
      <c r="Z130" s="283" t="n"/>
    </row>
    <row r="131">
      <c r="A131" s="283" t="n"/>
      <c r="B131" s="283" t="n"/>
      <c r="C131" s="283" t="n"/>
      <c r="D131" s="283" t="n"/>
      <c r="E131" s="283" t="n"/>
      <c r="F131" s="283" t="n"/>
      <c r="G131" s="283" t="n"/>
      <c r="H131" s="283" t="n"/>
      <c r="I131" s="283" t="n"/>
      <c r="J131" s="283" t="n"/>
      <c r="K131" s="283" t="n"/>
      <c r="L131" s="283" t="n"/>
      <c r="M131" s="283" t="n"/>
      <c r="N131" s="380" t="n"/>
      <c r="O131" s="380" t="n"/>
      <c r="P131" s="283" t="n"/>
      <c r="Q131" s="283" t="n"/>
      <c r="R131" s="283" t="n"/>
      <c r="S131" s="283" t="n"/>
      <c r="T131" s="283" t="n"/>
      <c r="U131" s="283" t="n"/>
      <c r="V131" s="283" t="n"/>
      <c r="W131" s="283" t="n"/>
      <c r="X131" s="283" t="n"/>
      <c r="Y131" s="283" t="n"/>
      <c r="Z131" s="283" t="n"/>
    </row>
    <row r="132">
      <c r="A132" s="283" t="n"/>
      <c r="B132" s="283" t="n"/>
      <c r="C132" s="283" t="n"/>
      <c r="D132" s="283" t="n"/>
      <c r="E132" s="283" t="n"/>
      <c r="F132" s="283" t="n"/>
      <c r="G132" s="283" t="n"/>
      <c r="H132" s="283" t="n"/>
      <c r="I132" s="283" t="n"/>
      <c r="J132" s="283" t="n"/>
      <c r="K132" s="283" t="n"/>
      <c r="L132" s="283" t="n"/>
      <c r="M132" s="283" t="n"/>
      <c r="N132" s="380" t="n"/>
      <c r="O132" s="380" t="n"/>
      <c r="P132" s="283" t="n"/>
      <c r="Q132" s="283" t="n"/>
      <c r="R132" s="283" t="n"/>
      <c r="S132" s="283" t="n"/>
      <c r="T132" s="283" t="n"/>
      <c r="U132" s="283" t="n"/>
      <c r="V132" s="283" t="n"/>
      <c r="W132" s="283" t="n"/>
      <c r="X132" s="283" t="n"/>
      <c r="Y132" s="283" t="n"/>
      <c r="Z132" s="283" t="n"/>
    </row>
    <row r="133">
      <c r="A133" s="283" t="n"/>
      <c r="B133" s="283" t="n"/>
      <c r="C133" s="283" t="n"/>
      <c r="D133" s="283" t="n"/>
      <c r="E133" s="283" t="n"/>
      <c r="F133" s="283" t="n"/>
      <c r="G133" s="283" t="n"/>
      <c r="H133" s="283" t="n"/>
      <c r="I133" s="283" t="n"/>
      <c r="J133" s="283" t="n"/>
      <c r="K133" s="283" t="n"/>
      <c r="L133" s="283" t="n"/>
      <c r="M133" s="283" t="n"/>
      <c r="N133" s="380" t="n"/>
      <c r="O133" s="380" t="n"/>
      <c r="P133" s="283" t="n"/>
      <c r="Q133" s="283" t="n"/>
      <c r="R133" s="283" t="n"/>
      <c r="S133" s="283" t="n"/>
      <c r="T133" s="283" t="n"/>
      <c r="U133" s="283" t="n"/>
      <c r="V133" s="283" t="n"/>
      <c r="W133" s="283" t="n"/>
      <c r="X133" s="283" t="n"/>
      <c r="Y133" s="283" t="n"/>
      <c r="Z133" s="283" t="n"/>
    </row>
    <row r="134">
      <c r="A134" s="283" t="n"/>
      <c r="B134" s="283" t="n"/>
      <c r="C134" s="283" t="n"/>
      <c r="D134" s="283" t="n"/>
      <c r="E134" s="283" t="n"/>
      <c r="F134" s="283" t="n"/>
      <c r="G134" s="283" t="n"/>
      <c r="H134" s="283" t="n"/>
      <c r="I134" s="283" t="n"/>
      <c r="J134" s="283" t="n"/>
      <c r="K134" s="283" t="n"/>
      <c r="L134" s="283" t="n"/>
      <c r="M134" s="283" t="n"/>
      <c r="N134" s="380" t="n"/>
      <c r="O134" s="380" t="n"/>
      <c r="P134" s="283" t="n"/>
      <c r="Q134" s="283" t="n"/>
      <c r="R134" s="283" t="n"/>
      <c r="S134" s="283" t="n"/>
      <c r="T134" s="283" t="n"/>
      <c r="U134" s="283" t="n"/>
      <c r="V134" s="283" t="n"/>
      <c r="W134" s="283" t="n"/>
      <c r="X134" s="283" t="n"/>
      <c r="Y134" s="283" t="n"/>
      <c r="Z134" s="283" t="n"/>
    </row>
    <row r="135">
      <c r="A135" s="283" t="n"/>
      <c r="B135" s="283" t="n"/>
      <c r="C135" s="283" t="n"/>
      <c r="D135" s="283" t="n"/>
      <c r="E135" s="283" t="n"/>
      <c r="F135" s="283" t="n"/>
      <c r="G135" s="283" t="n"/>
      <c r="H135" s="283" t="n"/>
      <c r="I135" s="283" t="n"/>
      <c r="J135" s="283" t="n"/>
      <c r="K135" s="283" t="n"/>
      <c r="L135" s="283" t="n"/>
      <c r="M135" s="283" t="n"/>
      <c r="N135" s="380" t="n"/>
      <c r="O135" s="380" t="n"/>
      <c r="P135" s="283" t="n"/>
      <c r="Q135" s="283" t="n"/>
      <c r="R135" s="283" t="n"/>
      <c r="S135" s="283" t="n"/>
      <c r="T135" s="283" t="n"/>
      <c r="U135" s="283" t="n"/>
      <c r="V135" s="283" t="n"/>
      <c r="W135" s="283" t="n"/>
      <c r="X135" s="283" t="n"/>
      <c r="Y135" s="283" t="n"/>
      <c r="Z135" s="283" t="n"/>
    </row>
    <row r="136">
      <c r="A136" s="283" t="n"/>
      <c r="B136" s="283" t="n"/>
      <c r="C136" s="283" t="n"/>
      <c r="D136" s="283" t="n"/>
      <c r="E136" s="283" t="n"/>
      <c r="F136" s="283" t="n"/>
      <c r="G136" s="283" t="n"/>
      <c r="H136" s="283" t="n"/>
      <c r="I136" s="283" t="n"/>
      <c r="J136" s="283" t="n"/>
      <c r="K136" s="283" t="n"/>
      <c r="L136" s="283" t="n"/>
      <c r="M136" s="283" t="n"/>
      <c r="N136" s="380" t="n"/>
      <c r="O136" s="380" t="n"/>
      <c r="P136" s="283" t="n"/>
      <c r="Q136" s="283" t="n"/>
      <c r="R136" s="283" t="n"/>
      <c r="S136" s="283" t="n"/>
      <c r="T136" s="283" t="n"/>
      <c r="U136" s="283" t="n"/>
      <c r="V136" s="283" t="n"/>
      <c r="W136" s="283" t="n"/>
      <c r="X136" s="283" t="n"/>
      <c r="Y136" s="283" t="n"/>
      <c r="Z136" s="283" t="n"/>
    </row>
    <row r="137">
      <c r="A137" s="283" t="n"/>
      <c r="B137" s="283" t="n"/>
      <c r="C137" s="283" t="n"/>
      <c r="D137" s="283" t="n"/>
      <c r="E137" s="283" t="n"/>
      <c r="F137" s="283" t="n"/>
      <c r="G137" s="283" t="n"/>
      <c r="H137" s="283" t="n"/>
      <c r="I137" s="283" t="n"/>
      <c r="J137" s="283" t="n"/>
      <c r="K137" s="283" t="n"/>
      <c r="L137" s="283" t="n"/>
      <c r="M137" s="283" t="n"/>
      <c r="N137" s="380" t="n"/>
      <c r="O137" s="380" t="n"/>
      <c r="P137" s="283" t="n"/>
      <c r="Q137" s="283" t="n"/>
      <c r="R137" s="283" t="n"/>
      <c r="S137" s="283" t="n"/>
      <c r="T137" s="283" t="n"/>
      <c r="U137" s="283" t="n"/>
      <c r="V137" s="283" t="n"/>
      <c r="W137" s="283" t="n"/>
      <c r="X137" s="283" t="n"/>
      <c r="Y137" s="283" t="n"/>
      <c r="Z137" s="283" t="n"/>
    </row>
    <row r="138">
      <c r="A138" s="283" t="n"/>
      <c r="B138" s="283" t="n"/>
      <c r="C138" s="283" t="n"/>
      <c r="D138" s="283" t="n"/>
      <c r="E138" s="283" t="n"/>
      <c r="F138" s="283" t="n"/>
      <c r="G138" s="283" t="n"/>
      <c r="H138" s="283" t="n"/>
      <c r="I138" s="283" t="n"/>
      <c r="J138" s="283" t="n"/>
      <c r="K138" s="283" t="n"/>
      <c r="L138" s="283" t="n"/>
      <c r="M138" s="283" t="n"/>
      <c r="N138" s="380" t="n"/>
      <c r="O138" s="380" t="n"/>
      <c r="P138" s="283" t="n"/>
      <c r="Q138" s="283" t="n"/>
      <c r="R138" s="283" t="n"/>
      <c r="S138" s="283" t="n"/>
      <c r="T138" s="283" t="n"/>
      <c r="U138" s="283" t="n"/>
      <c r="V138" s="283" t="n"/>
      <c r="W138" s="283" t="n"/>
      <c r="X138" s="283" t="n"/>
      <c r="Y138" s="283" t="n"/>
      <c r="Z138" s="283" t="n"/>
    </row>
    <row r="139">
      <c r="A139" s="283" t="n"/>
      <c r="B139" s="283" t="n"/>
      <c r="C139" s="283" t="n"/>
      <c r="D139" s="283" t="n"/>
      <c r="E139" s="283" t="n"/>
      <c r="F139" s="283" t="n"/>
      <c r="G139" s="283" t="n"/>
      <c r="H139" s="283" t="n"/>
      <c r="I139" s="283" t="n"/>
      <c r="J139" s="283" t="n"/>
      <c r="K139" s="283" t="n"/>
      <c r="L139" s="283" t="n"/>
      <c r="M139" s="283" t="n"/>
      <c r="N139" s="380" t="n"/>
      <c r="O139" s="380" t="n"/>
      <c r="P139" s="283" t="n"/>
      <c r="Q139" s="283" t="n"/>
      <c r="R139" s="283" t="n"/>
      <c r="S139" s="283" t="n"/>
      <c r="T139" s="283" t="n"/>
      <c r="U139" s="283" t="n"/>
      <c r="V139" s="283" t="n"/>
      <c r="W139" s="283" t="n"/>
      <c r="X139" s="283" t="n"/>
      <c r="Y139" s="283" t="n"/>
      <c r="Z139" s="283" t="n"/>
    </row>
    <row r="140">
      <c r="A140" s="283" t="n"/>
      <c r="B140" s="283" t="n"/>
      <c r="C140" s="283" t="n"/>
      <c r="D140" s="283" t="n"/>
      <c r="E140" s="283" t="n"/>
      <c r="F140" s="283" t="n"/>
      <c r="G140" s="283" t="n"/>
      <c r="H140" s="283" t="n"/>
      <c r="I140" s="283" t="n"/>
      <c r="J140" s="283" t="n"/>
      <c r="K140" s="283" t="n"/>
      <c r="L140" s="283" t="n"/>
      <c r="M140" s="283" t="n"/>
      <c r="N140" s="380" t="n"/>
      <c r="O140" s="380" t="n"/>
      <c r="P140" s="283" t="n"/>
      <c r="Q140" s="283" t="n"/>
      <c r="R140" s="283" t="n"/>
      <c r="S140" s="283" t="n"/>
      <c r="T140" s="283" t="n"/>
      <c r="U140" s="283" t="n"/>
      <c r="V140" s="283" t="n"/>
      <c r="W140" s="283" t="n"/>
      <c r="X140" s="283" t="n"/>
      <c r="Y140" s="283" t="n"/>
      <c r="Z140" s="283" t="n"/>
    </row>
    <row r="141">
      <c r="A141" s="283" t="n"/>
      <c r="B141" s="283" t="n"/>
      <c r="C141" s="283" t="n"/>
      <c r="D141" s="283" t="n"/>
      <c r="E141" s="283" t="n"/>
      <c r="F141" s="283" t="n"/>
      <c r="G141" s="283" t="n"/>
      <c r="H141" s="283" t="n"/>
      <c r="I141" s="283" t="n"/>
      <c r="J141" s="283" t="n"/>
      <c r="K141" s="283" t="n"/>
      <c r="L141" s="283" t="n"/>
      <c r="M141" s="283" t="n"/>
      <c r="N141" s="380" t="n"/>
      <c r="O141" s="380" t="n"/>
      <c r="P141" s="283" t="n"/>
      <c r="Q141" s="283" t="n"/>
      <c r="R141" s="283" t="n"/>
      <c r="S141" s="283" t="n"/>
      <c r="T141" s="283" t="n"/>
      <c r="U141" s="283" t="n"/>
      <c r="V141" s="283" t="n"/>
      <c r="W141" s="283" t="n"/>
      <c r="X141" s="283" t="n"/>
      <c r="Y141" s="283" t="n"/>
      <c r="Z141" s="283" t="n"/>
    </row>
    <row r="142">
      <c r="A142" s="283" t="n"/>
      <c r="B142" s="283" t="n"/>
      <c r="C142" s="283" t="n"/>
      <c r="D142" s="283" t="n"/>
      <c r="E142" s="283" t="n"/>
      <c r="F142" s="283" t="n"/>
      <c r="G142" s="283" t="n"/>
      <c r="H142" s="283" t="n"/>
      <c r="I142" s="283" t="n"/>
      <c r="J142" s="283" t="n"/>
      <c r="K142" s="283" t="n"/>
      <c r="L142" s="283" t="n"/>
      <c r="M142" s="283" t="n"/>
      <c r="N142" s="380" t="n"/>
      <c r="O142" s="380" t="n"/>
      <c r="P142" s="283" t="n"/>
      <c r="Q142" s="283" t="n"/>
      <c r="R142" s="283" t="n"/>
      <c r="S142" s="283" t="n"/>
      <c r="T142" s="283" t="n"/>
      <c r="U142" s="283" t="n"/>
      <c r="V142" s="283" t="n"/>
      <c r="W142" s="283" t="n"/>
      <c r="X142" s="283" t="n"/>
      <c r="Y142" s="283" t="n"/>
      <c r="Z142" s="283" t="n"/>
    </row>
    <row r="143">
      <c r="A143" s="283" t="n"/>
      <c r="B143" s="283" t="n"/>
      <c r="C143" s="283" t="n"/>
      <c r="D143" s="283" t="n"/>
      <c r="E143" s="283" t="n"/>
      <c r="F143" s="283" t="n"/>
      <c r="G143" s="283" t="n"/>
      <c r="H143" s="283" t="n"/>
      <c r="I143" s="283" t="n"/>
      <c r="J143" s="283" t="n"/>
      <c r="K143" s="283" t="n"/>
      <c r="L143" s="283" t="n"/>
      <c r="M143" s="283" t="n"/>
      <c r="N143" s="380" t="n"/>
      <c r="O143" s="380" t="n"/>
      <c r="P143" s="283" t="n"/>
      <c r="Q143" s="283" t="n"/>
      <c r="R143" s="283" t="n"/>
      <c r="S143" s="283" t="n"/>
      <c r="T143" s="283" t="n"/>
      <c r="U143" s="283" t="n"/>
      <c r="V143" s="283" t="n"/>
      <c r="W143" s="283" t="n"/>
      <c r="X143" s="283" t="n"/>
      <c r="Y143" s="283" t="n"/>
      <c r="Z143" s="283" t="n"/>
    </row>
    <row r="144">
      <c r="A144" s="283" t="n"/>
      <c r="B144" s="283" t="n"/>
      <c r="C144" s="283" t="n"/>
      <c r="D144" s="283" t="n"/>
      <c r="E144" s="283" t="n"/>
      <c r="F144" s="283" t="n"/>
      <c r="G144" s="283" t="n"/>
      <c r="H144" s="283" t="n"/>
      <c r="I144" s="283" t="n"/>
      <c r="J144" s="283" t="n"/>
      <c r="K144" s="283" t="n"/>
      <c r="L144" s="283" t="n"/>
      <c r="M144" s="283" t="n"/>
      <c r="N144" s="380" t="n"/>
      <c r="O144" s="380" t="n"/>
      <c r="P144" s="283" t="n"/>
      <c r="Q144" s="283" t="n"/>
      <c r="R144" s="283" t="n"/>
      <c r="S144" s="283" t="n"/>
      <c r="T144" s="283" t="n"/>
      <c r="U144" s="283" t="n"/>
      <c r="V144" s="283" t="n"/>
      <c r="W144" s="283" t="n"/>
      <c r="X144" s="283" t="n"/>
      <c r="Y144" s="283" t="n"/>
      <c r="Z144" s="283" t="n"/>
    </row>
    <row r="145">
      <c r="A145" s="283" t="n"/>
      <c r="B145" s="283" t="n"/>
      <c r="C145" s="283" t="n"/>
      <c r="D145" s="283" t="n"/>
      <c r="E145" s="283" t="n"/>
      <c r="F145" s="283" t="n"/>
      <c r="G145" s="283" t="n"/>
      <c r="H145" s="283" t="n"/>
      <c r="I145" s="283" t="n"/>
      <c r="J145" s="283" t="n"/>
      <c r="K145" s="283" t="n"/>
      <c r="L145" s="283" t="n"/>
      <c r="M145" s="283" t="n"/>
      <c r="N145" s="380" t="n"/>
      <c r="O145" s="380" t="n"/>
      <c r="P145" s="283" t="n"/>
      <c r="Q145" s="283" t="n"/>
      <c r="R145" s="283" t="n"/>
      <c r="S145" s="283" t="n"/>
      <c r="T145" s="283" t="n"/>
      <c r="U145" s="283" t="n"/>
      <c r="V145" s="283" t="n"/>
      <c r="W145" s="283" t="n"/>
      <c r="X145" s="283" t="n"/>
      <c r="Y145" s="283" t="n"/>
      <c r="Z145" s="283" t="n"/>
    </row>
    <row r="146">
      <c r="A146" s="283" t="n"/>
      <c r="B146" s="283" t="n"/>
      <c r="C146" s="283" t="n"/>
      <c r="D146" s="283" t="n"/>
      <c r="E146" s="283" t="n"/>
      <c r="F146" s="283" t="n"/>
      <c r="G146" s="283" t="n"/>
      <c r="H146" s="283" t="n"/>
      <c r="I146" s="283" t="n"/>
      <c r="J146" s="283" t="n"/>
      <c r="K146" s="283" t="n"/>
      <c r="L146" s="283" t="n"/>
      <c r="M146" s="283" t="n"/>
      <c r="N146" s="380" t="n"/>
      <c r="O146" s="380" t="n"/>
      <c r="P146" s="283" t="n"/>
      <c r="Q146" s="283" t="n"/>
      <c r="R146" s="283" t="n"/>
      <c r="S146" s="283" t="n"/>
      <c r="T146" s="283" t="n"/>
      <c r="U146" s="283" t="n"/>
      <c r="V146" s="283" t="n"/>
      <c r="W146" s="283" t="n"/>
      <c r="X146" s="283" t="n"/>
      <c r="Y146" s="283" t="n"/>
      <c r="Z146" s="283" t="n"/>
    </row>
    <row r="147">
      <c r="A147" s="283" t="n"/>
      <c r="B147" s="283" t="n"/>
      <c r="C147" s="283" t="n"/>
      <c r="D147" s="283" t="n"/>
      <c r="E147" s="283" t="n"/>
      <c r="F147" s="283" t="n"/>
      <c r="G147" s="283" t="n"/>
      <c r="H147" s="283" t="n"/>
      <c r="I147" s="283" t="n"/>
      <c r="J147" s="283" t="n"/>
      <c r="K147" s="283" t="n"/>
      <c r="L147" s="283" t="n"/>
      <c r="M147" s="283" t="n"/>
      <c r="N147" s="380" t="n"/>
      <c r="O147" s="380" t="n"/>
      <c r="P147" s="283" t="n"/>
      <c r="Q147" s="283" t="n"/>
      <c r="R147" s="283" t="n"/>
      <c r="S147" s="283" t="n"/>
      <c r="T147" s="283" t="n"/>
      <c r="U147" s="283" t="n"/>
      <c r="V147" s="283" t="n"/>
      <c r="W147" s="283" t="n"/>
      <c r="X147" s="283" t="n"/>
      <c r="Y147" s="283" t="n"/>
      <c r="Z147" s="283" t="n"/>
    </row>
    <row r="148">
      <c r="A148" s="283" t="n"/>
      <c r="B148" s="283" t="n"/>
      <c r="C148" s="283" t="n"/>
      <c r="D148" s="283" t="n"/>
      <c r="E148" s="283" t="n"/>
      <c r="F148" s="283" t="n"/>
      <c r="G148" s="283" t="n"/>
      <c r="H148" s="283" t="n"/>
      <c r="I148" s="283" t="n"/>
      <c r="J148" s="283" t="n"/>
      <c r="K148" s="283" t="n"/>
      <c r="L148" s="283" t="n"/>
      <c r="M148" s="283" t="n"/>
      <c r="N148" s="380" t="n"/>
      <c r="O148" s="380" t="n"/>
      <c r="P148" s="283" t="n"/>
      <c r="Q148" s="283" t="n"/>
      <c r="R148" s="283" t="n"/>
      <c r="S148" s="283" t="n"/>
      <c r="T148" s="283" t="n"/>
      <c r="U148" s="283" t="n"/>
      <c r="V148" s="283" t="n"/>
      <c r="W148" s="283" t="n"/>
      <c r="X148" s="283" t="n"/>
      <c r="Y148" s="283" t="n"/>
      <c r="Z148" s="283" t="n"/>
    </row>
    <row r="149">
      <c r="A149" s="283" t="n"/>
      <c r="B149" s="283" t="n"/>
      <c r="C149" s="283" t="n"/>
      <c r="D149" s="283" t="n"/>
      <c r="E149" s="283" t="n"/>
      <c r="F149" s="283" t="n"/>
      <c r="G149" s="283" t="n"/>
      <c r="H149" s="283" t="n"/>
      <c r="I149" s="283" t="n"/>
      <c r="J149" s="283" t="n"/>
      <c r="K149" s="283" t="n"/>
      <c r="L149" s="283" t="n"/>
      <c r="M149" s="283" t="n"/>
      <c r="N149" s="380" t="n"/>
      <c r="O149" s="380" t="n"/>
      <c r="P149" s="283" t="n"/>
      <c r="Q149" s="283" t="n"/>
      <c r="R149" s="283" t="n"/>
      <c r="S149" s="283" t="n"/>
      <c r="T149" s="283" t="n"/>
      <c r="U149" s="283" t="n"/>
      <c r="V149" s="283" t="n"/>
      <c r="W149" s="283" t="n"/>
      <c r="X149" s="283" t="n"/>
      <c r="Y149" s="283" t="n"/>
      <c r="Z149" s="283" t="n"/>
    </row>
    <row r="150">
      <c r="A150" s="283" t="n"/>
      <c r="B150" s="283" t="n"/>
      <c r="C150" s="283" t="n"/>
      <c r="D150" s="283" t="n"/>
      <c r="E150" s="283" t="n"/>
      <c r="F150" s="283" t="n"/>
      <c r="G150" s="283" t="n"/>
      <c r="H150" s="283" t="n"/>
      <c r="I150" s="283" t="n"/>
      <c r="J150" s="283" t="n"/>
      <c r="K150" s="283" t="n"/>
      <c r="L150" s="283" t="n"/>
      <c r="M150" s="283" t="n"/>
      <c r="N150" s="380" t="n"/>
      <c r="O150" s="380" t="n"/>
      <c r="P150" s="283" t="n"/>
      <c r="Q150" s="283" t="n"/>
      <c r="R150" s="283" t="n"/>
      <c r="S150" s="283" t="n"/>
      <c r="T150" s="283" t="n"/>
      <c r="U150" s="283" t="n"/>
      <c r="V150" s="283" t="n"/>
      <c r="W150" s="283" t="n"/>
      <c r="X150" s="283" t="n"/>
      <c r="Y150" s="283" t="n"/>
      <c r="Z150" s="283" t="n"/>
    </row>
    <row r="151">
      <c r="A151" s="283" t="n"/>
      <c r="B151" s="283" t="n"/>
      <c r="C151" s="283" t="n"/>
      <c r="D151" s="283" t="n"/>
      <c r="E151" s="283" t="n"/>
      <c r="F151" s="283" t="n"/>
      <c r="G151" s="283" t="n"/>
      <c r="H151" s="283" t="n"/>
      <c r="I151" s="283" t="n"/>
      <c r="J151" s="283" t="n"/>
      <c r="K151" s="283" t="n"/>
      <c r="L151" s="283" t="n"/>
      <c r="M151" s="283" t="n"/>
      <c r="N151" s="380" t="n"/>
      <c r="O151" s="380" t="n"/>
      <c r="P151" s="283" t="n"/>
      <c r="Q151" s="283" t="n"/>
      <c r="R151" s="283" t="n"/>
      <c r="S151" s="283" t="n"/>
      <c r="T151" s="283" t="n"/>
      <c r="U151" s="283" t="n"/>
      <c r="V151" s="283" t="n"/>
      <c r="W151" s="283" t="n"/>
      <c r="X151" s="283" t="n"/>
      <c r="Y151" s="283" t="n"/>
      <c r="Z151" s="283" t="n"/>
    </row>
    <row r="152">
      <c r="A152" s="283" t="n"/>
      <c r="B152" s="283" t="n"/>
      <c r="C152" s="283" t="n"/>
      <c r="D152" s="283" t="n"/>
      <c r="E152" s="283" t="n"/>
      <c r="F152" s="283" t="n"/>
      <c r="G152" s="283" t="n"/>
      <c r="H152" s="283" t="n"/>
      <c r="I152" s="283" t="n"/>
      <c r="J152" s="283" t="n"/>
      <c r="K152" s="283" t="n"/>
      <c r="L152" s="283" t="n"/>
      <c r="M152" s="283" t="n"/>
      <c r="N152" s="380" t="n"/>
      <c r="O152" s="380" t="n"/>
      <c r="P152" s="283" t="n"/>
      <c r="Q152" s="283" t="n"/>
      <c r="R152" s="283" t="n"/>
      <c r="S152" s="283" t="n"/>
      <c r="T152" s="283" t="n"/>
      <c r="U152" s="283" t="n"/>
      <c r="V152" s="283" t="n"/>
      <c r="W152" s="283" t="n"/>
      <c r="X152" s="283" t="n"/>
      <c r="Y152" s="283" t="n"/>
      <c r="Z152" s="283" t="n"/>
    </row>
    <row r="153">
      <c r="A153" s="283" t="n"/>
      <c r="B153" s="283" t="n"/>
      <c r="C153" s="283" t="n"/>
      <c r="D153" s="283" t="n"/>
      <c r="E153" s="283" t="n"/>
      <c r="F153" s="283" t="n"/>
      <c r="G153" s="283" t="n"/>
      <c r="H153" s="283" t="n"/>
      <c r="I153" s="283" t="n"/>
      <c r="J153" s="283" t="n"/>
      <c r="K153" s="283" t="n"/>
      <c r="L153" s="283" t="n"/>
      <c r="M153" s="283" t="n"/>
      <c r="N153" s="380" t="n"/>
      <c r="O153" s="380" t="n"/>
      <c r="P153" s="283" t="n"/>
      <c r="Q153" s="283" t="n"/>
      <c r="R153" s="283" t="n"/>
      <c r="S153" s="283" t="n"/>
      <c r="T153" s="283" t="n"/>
      <c r="U153" s="283" t="n"/>
      <c r="V153" s="283" t="n"/>
      <c r="W153" s="283" t="n"/>
      <c r="X153" s="283" t="n"/>
      <c r="Y153" s="283" t="n"/>
      <c r="Z153" s="283" t="n"/>
    </row>
    <row r="154">
      <c r="A154" s="283" t="n"/>
      <c r="B154" s="283" t="n"/>
      <c r="C154" s="283" t="n"/>
      <c r="D154" s="283" t="n"/>
      <c r="E154" s="283" t="n"/>
      <c r="F154" s="283" t="n"/>
      <c r="G154" s="283" t="n"/>
      <c r="H154" s="283" t="n"/>
      <c r="I154" s="283" t="n"/>
      <c r="J154" s="283" t="n"/>
      <c r="K154" s="283" t="n"/>
      <c r="L154" s="283" t="n"/>
      <c r="M154" s="283" t="n"/>
      <c r="N154" s="380" t="n"/>
      <c r="O154" s="380" t="n"/>
      <c r="P154" s="283" t="n"/>
      <c r="Q154" s="283" t="n"/>
      <c r="R154" s="283" t="n"/>
      <c r="S154" s="283" t="n"/>
      <c r="T154" s="283" t="n"/>
      <c r="U154" s="283" t="n"/>
      <c r="V154" s="283" t="n"/>
      <c r="W154" s="283" t="n"/>
      <c r="X154" s="283" t="n"/>
      <c r="Y154" s="283" t="n"/>
      <c r="Z154" s="283" t="n"/>
    </row>
    <row r="155">
      <c r="A155" s="283" t="n"/>
      <c r="B155" s="283" t="n"/>
      <c r="C155" s="283" t="n"/>
      <c r="D155" s="283" t="n"/>
      <c r="E155" s="283" t="n"/>
      <c r="F155" s="283" t="n"/>
      <c r="G155" s="283" t="n"/>
      <c r="H155" s="283" t="n"/>
      <c r="I155" s="283" t="n"/>
      <c r="J155" s="283" t="n"/>
      <c r="K155" s="283" t="n"/>
      <c r="L155" s="283" t="n"/>
      <c r="M155" s="283" t="n"/>
      <c r="N155" s="380" t="n"/>
      <c r="O155" s="380" t="n"/>
      <c r="P155" s="283" t="n"/>
      <c r="Q155" s="283" t="n"/>
      <c r="R155" s="283" t="n"/>
      <c r="S155" s="283" t="n"/>
      <c r="T155" s="283" t="n"/>
      <c r="U155" s="283" t="n"/>
      <c r="V155" s="283" t="n"/>
      <c r="W155" s="283" t="n"/>
      <c r="X155" s="283" t="n"/>
      <c r="Y155" s="283" t="n"/>
      <c r="Z155" s="283" t="n"/>
    </row>
    <row r="156">
      <c r="A156" s="283" t="n"/>
      <c r="B156" s="283" t="n"/>
      <c r="C156" s="283" t="n"/>
      <c r="D156" s="283" t="n"/>
      <c r="E156" s="283" t="n"/>
      <c r="F156" s="283" t="n"/>
      <c r="G156" s="283" t="n"/>
      <c r="H156" s="283" t="n"/>
      <c r="I156" s="283" t="n"/>
      <c r="J156" s="283" t="n"/>
      <c r="K156" s="283" t="n"/>
      <c r="L156" s="283" t="n"/>
      <c r="M156" s="283" t="n"/>
      <c r="N156" s="380" t="n"/>
      <c r="O156" s="380" t="n"/>
      <c r="P156" s="283" t="n"/>
      <c r="Q156" s="283" t="n"/>
      <c r="R156" s="283" t="n"/>
      <c r="S156" s="283" t="n"/>
      <c r="T156" s="283" t="n"/>
      <c r="U156" s="283" t="n"/>
      <c r="V156" s="283" t="n"/>
      <c r="W156" s="283" t="n"/>
      <c r="X156" s="283" t="n"/>
      <c r="Y156" s="283" t="n"/>
      <c r="Z156" s="283" t="n"/>
    </row>
    <row r="157">
      <c r="A157" s="283" t="n"/>
      <c r="B157" s="283" t="n"/>
      <c r="C157" s="283" t="n"/>
      <c r="D157" s="283" t="n"/>
      <c r="E157" s="283" t="n"/>
      <c r="F157" s="283" t="n"/>
      <c r="G157" s="283" t="n"/>
      <c r="H157" s="283" t="n"/>
      <c r="I157" s="283" t="n"/>
      <c r="J157" s="283" t="n"/>
      <c r="K157" s="283" t="n"/>
      <c r="L157" s="283" t="n"/>
      <c r="M157" s="283" t="n"/>
      <c r="N157" s="380" t="n"/>
      <c r="O157" s="380" t="n"/>
      <c r="P157" s="283" t="n"/>
      <c r="Q157" s="283" t="n"/>
      <c r="R157" s="283" t="n"/>
      <c r="S157" s="283" t="n"/>
      <c r="T157" s="283" t="n"/>
      <c r="U157" s="283" t="n"/>
      <c r="V157" s="283" t="n"/>
      <c r="W157" s="283" t="n"/>
      <c r="X157" s="283" t="n"/>
      <c r="Y157" s="283" t="n"/>
      <c r="Z157" s="283" t="n"/>
    </row>
    <row r="158">
      <c r="A158" s="283" t="n"/>
      <c r="B158" s="283" t="n"/>
      <c r="C158" s="283" t="n"/>
      <c r="D158" s="283" t="n"/>
      <c r="E158" s="283" t="n"/>
      <c r="F158" s="283" t="n"/>
      <c r="G158" s="283" t="n"/>
      <c r="H158" s="283" t="n"/>
      <c r="I158" s="283" t="n"/>
      <c r="J158" s="283" t="n"/>
      <c r="K158" s="283" t="n"/>
      <c r="L158" s="283" t="n"/>
      <c r="M158" s="283" t="n"/>
      <c r="N158" s="380" t="n"/>
      <c r="O158" s="380" t="n"/>
      <c r="P158" s="283" t="n"/>
      <c r="Q158" s="283" t="n"/>
      <c r="R158" s="283" t="n"/>
      <c r="S158" s="283" t="n"/>
      <c r="T158" s="283" t="n"/>
      <c r="U158" s="283" t="n"/>
      <c r="V158" s="283" t="n"/>
      <c r="W158" s="283" t="n"/>
      <c r="X158" s="283" t="n"/>
      <c r="Y158" s="283" t="n"/>
      <c r="Z158" s="283" t="n"/>
    </row>
    <row r="159">
      <c r="A159" s="283" t="n"/>
      <c r="B159" s="283" t="n"/>
      <c r="C159" s="283" t="n"/>
      <c r="D159" s="283" t="n"/>
      <c r="E159" s="283" t="n"/>
      <c r="F159" s="283" t="n"/>
      <c r="G159" s="283" t="n"/>
      <c r="H159" s="283" t="n"/>
      <c r="I159" s="283" t="n"/>
      <c r="J159" s="283" t="n"/>
      <c r="K159" s="283" t="n"/>
      <c r="L159" s="283" t="n"/>
      <c r="M159" s="283" t="n"/>
      <c r="N159" s="380" t="n"/>
      <c r="O159" s="380" t="n"/>
      <c r="P159" s="283" t="n"/>
      <c r="Q159" s="283" t="n"/>
      <c r="R159" s="283" t="n"/>
      <c r="S159" s="283" t="n"/>
      <c r="T159" s="283" t="n"/>
      <c r="U159" s="283" t="n"/>
      <c r="V159" s="283" t="n"/>
      <c r="W159" s="283" t="n"/>
      <c r="X159" s="283" t="n"/>
      <c r="Y159" s="283" t="n"/>
      <c r="Z159" s="283" t="n"/>
    </row>
    <row r="160">
      <c r="A160" s="283" t="n"/>
      <c r="B160" s="283" t="n"/>
      <c r="C160" s="283" t="n"/>
      <c r="D160" s="283" t="n"/>
      <c r="E160" s="283" t="n"/>
      <c r="F160" s="283" t="n"/>
      <c r="G160" s="283" t="n"/>
      <c r="H160" s="283" t="n"/>
      <c r="I160" s="283" t="n"/>
      <c r="J160" s="283" t="n"/>
      <c r="K160" s="283" t="n"/>
      <c r="L160" s="283" t="n"/>
      <c r="M160" s="283" t="n"/>
      <c r="N160" s="380" t="n"/>
      <c r="O160" s="380" t="n"/>
      <c r="P160" s="283" t="n"/>
      <c r="Q160" s="283" t="n"/>
      <c r="R160" s="283" t="n"/>
      <c r="S160" s="283" t="n"/>
      <c r="T160" s="283" t="n"/>
      <c r="U160" s="283" t="n"/>
      <c r="V160" s="283" t="n"/>
      <c r="W160" s="283" t="n"/>
      <c r="X160" s="283" t="n"/>
      <c r="Y160" s="283" t="n"/>
      <c r="Z160" s="283" t="n"/>
    </row>
    <row r="161">
      <c r="A161" s="283" t="n"/>
      <c r="B161" s="283" t="n"/>
      <c r="C161" s="283" t="n"/>
      <c r="D161" s="283" t="n"/>
      <c r="E161" s="283" t="n"/>
      <c r="F161" s="283" t="n"/>
      <c r="G161" s="283" t="n"/>
      <c r="H161" s="283" t="n"/>
      <c r="I161" s="283" t="n"/>
      <c r="J161" s="283" t="n"/>
      <c r="K161" s="283" t="n"/>
      <c r="L161" s="283" t="n"/>
      <c r="M161" s="283" t="n"/>
      <c r="N161" s="380" t="n"/>
      <c r="O161" s="380" t="n"/>
      <c r="P161" s="283" t="n"/>
      <c r="Q161" s="283" t="n"/>
      <c r="R161" s="283" t="n"/>
      <c r="S161" s="283" t="n"/>
      <c r="T161" s="283" t="n"/>
      <c r="U161" s="283" t="n"/>
      <c r="V161" s="283" t="n"/>
      <c r="W161" s="283" t="n"/>
      <c r="X161" s="283" t="n"/>
      <c r="Y161" s="283" t="n"/>
      <c r="Z161" s="283" t="n"/>
    </row>
    <row r="162">
      <c r="A162" s="283" t="n"/>
      <c r="B162" s="283" t="n"/>
      <c r="C162" s="283" t="n"/>
      <c r="D162" s="283" t="n"/>
      <c r="E162" s="283" t="n"/>
      <c r="F162" s="283" t="n"/>
      <c r="G162" s="283" t="n"/>
      <c r="H162" s="283" t="n"/>
      <c r="I162" s="283" t="n"/>
      <c r="J162" s="283" t="n"/>
      <c r="K162" s="283" t="n"/>
      <c r="L162" s="283" t="n"/>
      <c r="M162" s="283" t="n"/>
      <c r="N162" s="380" t="n"/>
      <c r="O162" s="380" t="n"/>
      <c r="P162" s="283" t="n"/>
      <c r="Q162" s="283" t="n"/>
      <c r="R162" s="283" t="n"/>
      <c r="S162" s="283" t="n"/>
      <c r="T162" s="283" t="n"/>
      <c r="U162" s="283" t="n"/>
      <c r="V162" s="283" t="n"/>
      <c r="W162" s="283" t="n"/>
      <c r="X162" s="283" t="n"/>
      <c r="Y162" s="283" t="n"/>
      <c r="Z162" s="283" t="n"/>
    </row>
    <row r="163">
      <c r="A163" s="283" t="n"/>
      <c r="B163" s="283" t="n"/>
      <c r="C163" s="283" t="n"/>
      <c r="D163" s="283" t="n"/>
      <c r="E163" s="283" t="n"/>
      <c r="F163" s="283" t="n"/>
      <c r="G163" s="283" t="n"/>
      <c r="H163" s="283" t="n"/>
      <c r="I163" s="283" t="n"/>
      <c r="J163" s="283" t="n"/>
      <c r="K163" s="283" t="n"/>
      <c r="L163" s="283" t="n"/>
      <c r="M163" s="283" t="n"/>
      <c r="N163" s="380" t="n"/>
      <c r="O163" s="380" t="n"/>
      <c r="P163" s="283" t="n"/>
      <c r="Q163" s="283" t="n"/>
      <c r="R163" s="283" t="n"/>
      <c r="S163" s="283" t="n"/>
      <c r="T163" s="283" t="n"/>
      <c r="U163" s="283" t="n"/>
      <c r="V163" s="283" t="n"/>
      <c r="W163" s="283" t="n"/>
      <c r="X163" s="283" t="n"/>
      <c r="Y163" s="283" t="n"/>
      <c r="Z163" s="283" t="n"/>
    </row>
    <row r="164">
      <c r="A164" s="283" t="n"/>
      <c r="B164" s="283" t="n"/>
      <c r="C164" s="283" t="n"/>
      <c r="D164" s="283" t="n"/>
      <c r="E164" s="283" t="n"/>
      <c r="F164" s="283" t="n"/>
      <c r="G164" s="283" t="n"/>
      <c r="H164" s="283" t="n"/>
      <c r="I164" s="283" t="n"/>
      <c r="J164" s="283" t="n"/>
      <c r="K164" s="283" t="n"/>
      <c r="L164" s="283" t="n"/>
      <c r="M164" s="283" t="n"/>
      <c r="N164" s="380" t="n"/>
      <c r="O164" s="380" t="n"/>
      <c r="P164" s="283" t="n"/>
      <c r="Q164" s="283" t="n"/>
      <c r="R164" s="283" t="n"/>
      <c r="S164" s="283" t="n"/>
      <c r="T164" s="283" t="n"/>
      <c r="U164" s="283" t="n"/>
      <c r="V164" s="283" t="n"/>
      <c r="W164" s="283" t="n"/>
      <c r="X164" s="283" t="n"/>
      <c r="Y164" s="283" t="n"/>
      <c r="Z164" s="283" t="n"/>
    </row>
    <row r="165">
      <c r="A165" s="283" t="n"/>
      <c r="B165" s="283" t="n"/>
      <c r="C165" s="283" t="n"/>
      <c r="D165" s="283" t="n"/>
      <c r="E165" s="283" t="n"/>
      <c r="F165" s="283" t="n"/>
      <c r="G165" s="283" t="n"/>
      <c r="H165" s="283" t="n"/>
      <c r="I165" s="283" t="n"/>
      <c r="J165" s="283" t="n"/>
      <c r="K165" s="283" t="n"/>
      <c r="L165" s="283" t="n"/>
      <c r="M165" s="283" t="n"/>
      <c r="N165" s="380" t="n"/>
      <c r="O165" s="380" t="n"/>
      <c r="P165" s="283" t="n"/>
      <c r="Q165" s="283" t="n"/>
      <c r="R165" s="283" t="n"/>
      <c r="S165" s="283" t="n"/>
      <c r="T165" s="283" t="n"/>
      <c r="U165" s="283" t="n"/>
      <c r="V165" s="283" t="n"/>
      <c r="W165" s="283" t="n"/>
      <c r="X165" s="283" t="n"/>
      <c r="Y165" s="283" t="n"/>
      <c r="Z165" s="283" t="n"/>
    </row>
    <row r="166">
      <c r="A166" s="283" t="n"/>
      <c r="B166" s="283" t="n"/>
      <c r="C166" s="283" t="n"/>
      <c r="D166" s="283" t="n"/>
      <c r="E166" s="283" t="n"/>
      <c r="F166" s="283" t="n"/>
      <c r="G166" s="283" t="n"/>
      <c r="H166" s="283" t="n"/>
      <c r="I166" s="283" t="n"/>
      <c r="J166" s="283" t="n"/>
      <c r="K166" s="283" t="n"/>
      <c r="L166" s="283" t="n"/>
      <c r="M166" s="283" t="n"/>
      <c r="N166" s="380" t="n"/>
      <c r="O166" s="380" t="n"/>
      <c r="P166" s="283" t="n"/>
      <c r="Q166" s="283" t="n"/>
      <c r="R166" s="283" t="n"/>
      <c r="S166" s="283" t="n"/>
      <c r="T166" s="283" t="n"/>
      <c r="U166" s="283" t="n"/>
      <c r="V166" s="283" t="n"/>
      <c r="W166" s="283" t="n"/>
      <c r="X166" s="283" t="n"/>
      <c r="Y166" s="283" t="n"/>
      <c r="Z166" s="283" t="n"/>
    </row>
    <row r="167">
      <c r="A167" s="283" t="n"/>
      <c r="B167" s="283" t="n"/>
      <c r="C167" s="283" t="n"/>
      <c r="D167" s="283" t="n"/>
      <c r="E167" s="283" t="n"/>
      <c r="F167" s="283" t="n"/>
      <c r="G167" s="283" t="n"/>
      <c r="H167" s="283" t="n"/>
      <c r="I167" s="283" t="n"/>
      <c r="J167" s="283" t="n"/>
      <c r="K167" s="283" t="n"/>
      <c r="L167" s="283" t="n"/>
      <c r="M167" s="283" t="n"/>
      <c r="N167" s="380" t="n"/>
      <c r="O167" s="380" t="n"/>
      <c r="P167" s="283" t="n"/>
      <c r="Q167" s="283" t="n"/>
      <c r="R167" s="283" t="n"/>
      <c r="S167" s="283" t="n"/>
      <c r="T167" s="283" t="n"/>
      <c r="U167" s="283" t="n"/>
      <c r="V167" s="283" t="n"/>
      <c r="W167" s="283" t="n"/>
      <c r="X167" s="283" t="n"/>
      <c r="Y167" s="283" t="n"/>
      <c r="Z167" s="283" t="n"/>
    </row>
    <row r="168">
      <c r="A168" s="283" t="n"/>
      <c r="B168" s="283" t="n"/>
      <c r="C168" s="283" t="n"/>
      <c r="D168" s="283" t="n"/>
      <c r="E168" s="283" t="n"/>
      <c r="F168" s="283" t="n"/>
      <c r="G168" s="283" t="n"/>
      <c r="H168" s="283" t="n"/>
      <c r="I168" s="283" t="n"/>
      <c r="J168" s="283" t="n"/>
      <c r="K168" s="283" t="n"/>
      <c r="L168" s="283" t="n"/>
      <c r="M168" s="283" t="n"/>
      <c r="N168" s="380" t="n"/>
      <c r="O168" s="380" t="n"/>
      <c r="P168" s="283" t="n"/>
      <c r="Q168" s="283" t="n"/>
      <c r="R168" s="283" t="n"/>
      <c r="S168" s="283" t="n"/>
      <c r="T168" s="283" t="n"/>
      <c r="U168" s="283" t="n"/>
      <c r="V168" s="283" t="n"/>
      <c r="W168" s="283" t="n"/>
      <c r="X168" s="283" t="n"/>
      <c r="Y168" s="283" t="n"/>
      <c r="Z168" s="283" t="n"/>
    </row>
    <row r="169">
      <c r="A169" s="283" t="n"/>
      <c r="B169" s="283" t="n"/>
      <c r="C169" s="283" t="n"/>
      <c r="D169" s="283" t="n"/>
      <c r="E169" s="283" t="n"/>
      <c r="F169" s="283" t="n"/>
      <c r="G169" s="283" t="n"/>
      <c r="H169" s="283" t="n"/>
      <c r="I169" s="283" t="n"/>
      <c r="J169" s="283" t="n"/>
      <c r="K169" s="283" t="n"/>
      <c r="L169" s="283" t="n"/>
      <c r="M169" s="283" t="n"/>
      <c r="N169" s="380" t="n"/>
      <c r="O169" s="380" t="n"/>
      <c r="P169" s="283" t="n"/>
      <c r="Q169" s="283" t="n"/>
      <c r="R169" s="283" t="n"/>
      <c r="S169" s="283" t="n"/>
      <c r="T169" s="283" t="n"/>
      <c r="U169" s="283" t="n"/>
      <c r="V169" s="283" t="n"/>
      <c r="W169" s="283" t="n"/>
      <c r="X169" s="283" t="n"/>
      <c r="Y169" s="283" t="n"/>
      <c r="Z169" s="283" t="n"/>
    </row>
    <row r="170">
      <c r="A170" s="283" t="n"/>
      <c r="B170" s="283" t="n"/>
      <c r="C170" s="283" t="n"/>
      <c r="D170" s="283" t="n"/>
      <c r="E170" s="283" t="n"/>
      <c r="F170" s="283" t="n"/>
      <c r="G170" s="283" t="n"/>
      <c r="H170" s="283" t="n"/>
      <c r="I170" s="283" t="n"/>
      <c r="J170" s="283" t="n"/>
      <c r="K170" s="283" t="n"/>
      <c r="L170" s="283" t="n"/>
      <c r="M170" s="283" t="n"/>
      <c r="N170" s="380" t="n"/>
      <c r="O170" s="380" t="n"/>
      <c r="P170" s="283" t="n"/>
      <c r="Q170" s="283" t="n"/>
      <c r="R170" s="283" t="n"/>
      <c r="S170" s="283" t="n"/>
      <c r="T170" s="283" t="n"/>
      <c r="U170" s="283" t="n"/>
      <c r="V170" s="283" t="n"/>
      <c r="W170" s="283" t="n"/>
      <c r="X170" s="283" t="n"/>
      <c r="Y170" s="283" t="n"/>
      <c r="Z170" s="283" t="n"/>
    </row>
    <row r="171">
      <c r="A171" s="283" t="n"/>
      <c r="B171" s="283" t="n"/>
      <c r="C171" s="283" t="n"/>
      <c r="D171" s="283" t="n"/>
      <c r="E171" s="283" t="n"/>
      <c r="F171" s="283" t="n"/>
      <c r="G171" s="283" t="n"/>
      <c r="H171" s="283" t="n"/>
      <c r="I171" s="283" t="n"/>
      <c r="J171" s="283" t="n"/>
      <c r="K171" s="283" t="n"/>
      <c r="L171" s="283" t="n"/>
      <c r="M171" s="283" t="n"/>
      <c r="N171" s="380" t="n"/>
      <c r="O171" s="380" t="n"/>
      <c r="P171" s="283" t="n"/>
      <c r="Q171" s="283" t="n"/>
      <c r="R171" s="283" t="n"/>
      <c r="S171" s="283" t="n"/>
      <c r="T171" s="283" t="n"/>
      <c r="U171" s="283" t="n"/>
      <c r="V171" s="283" t="n"/>
      <c r="W171" s="283" t="n"/>
      <c r="X171" s="283" t="n"/>
      <c r="Y171" s="283" t="n"/>
      <c r="Z171" s="283" t="n"/>
    </row>
    <row r="172">
      <c r="A172" s="283" t="n"/>
      <c r="B172" s="283" t="n"/>
      <c r="C172" s="283" t="n"/>
      <c r="D172" s="283" t="n"/>
      <c r="E172" s="283" t="n"/>
      <c r="F172" s="283" t="n"/>
      <c r="G172" s="283" t="n"/>
      <c r="H172" s="283" t="n"/>
      <c r="I172" s="283" t="n"/>
      <c r="J172" s="283" t="n"/>
      <c r="K172" s="283" t="n"/>
      <c r="L172" s="283" t="n"/>
      <c r="M172" s="283" t="n"/>
      <c r="N172" s="380" t="n"/>
      <c r="O172" s="380" t="n"/>
      <c r="P172" s="283" t="n"/>
      <c r="Q172" s="283" t="n"/>
      <c r="R172" s="283" t="n"/>
      <c r="S172" s="283" t="n"/>
      <c r="T172" s="283" t="n"/>
      <c r="U172" s="283" t="n"/>
      <c r="V172" s="283" t="n"/>
      <c r="W172" s="283" t="n"/>
      <c r="X172" s="283" t="n"/>
      <c r="Y172" s="283" t="n"/>
      <c r="Z172" s="283" t="n"/>
    </row>
    <row r="173">
      <c r="A173" s="283" t="n"/>
      <c r="B173" s="283" t="n"/>
      <c r="C173" s="283" t="n"/>
      <c r="D173" s="283" t="n"/>
      <c r="E173" s="283" t="n"/>
      <c r="F173" s="283" t="n"/>
      <c r="G173" s="283" t="n"/>
      <c r="H173" s="283" t="n"/>
      <c r="I173" s="283" t="n"/>
      <c r="J173" s="283" t="n"/>
      <c r="K173" s="283" t="n"/>
      <c r="L173" s="283" t="n"/>
      <c r="M173" s="283" t="n"/>
      <c r="N173" s="380" t="n"/>
      <c r="O173" s="380" t="n"/>
      <c r="P173" s="283" t="n"/>
      <c r="Q173" s="283" t="n"/>
      <c r="R173" s="283" t="n"/>
      <c r="S173" s="283" t="n"/>
      <c r="T173" s="283" t="n"/>
      <c r="U173" s="283" t="n"/>
      <c r="V173" s="283" t="n"/>
      <c r="W173" s="283" t="n"/>
      <c r="X173" s="283" t="n"/>
      <c r="Y173" s="283" t="n"/>
      <c r="Z173" s="283" t="n"/>
    </row>
    <row r="174">
      <c r="A174" s="283" t="n"/>
      <c r="B174" s="283" t="n"/>
      <c r="C174" s="283" t="n"/>
      <c r="D174" s="283" t="n"/>
      <c r="E174" s="283" t="n"/>
      <c r="F174" s="283" t="n"/>
      <c r="G174" s="283" t="n"/>
      <c r="H174" s="283" t="n"/>
      <c r="I174" s="283" t="n"/>
      <c r="J174" s="283" t="n"/>
      <c r="K174" s="283" t="n"/>
      <c r="L174" s="283" t="n"/>
      <c r="M174" s="283" t="n"/>
      <c r="N174" s="380" t="n"/>
      <c r="O174" s="380" t="n"/>
      <c r="P174" s="283" t="n"/>
      <c r="Q174" s="283" t="n"/>
      <c r="R174" s="283" t="n"/>
      <c r="S174" s="283" t="n"/>
      <c r="T174" s="283" t="n"/>
      <c r="U174" s="283" t="n"/>
      <c r="V174" s="283" t="n"/>
      <c r="W174" s="283" t="n"/>
      <c r="X174" s="283" t="n"/>
      <c r="Y174" s="283" t="n"/>
      <c r="Z174" s="283" t="n"/>
    </row>
    <row r="175">
      <c r="A175" s="283" t="n"/>
      <c r="B175" s="283" t="n"/>
      <c r="C175" s="283" t="n"/>
      <c r="D175" s="283" t="n"/>
      <c r="E175" s="283" t="n"/>
      <c r="F175" s="283" t="n"/>
      <c r="G175" s="283" t="n"/>
      <c r="H175" s="283" t="n"/>
      <c r="I175" s="283" t="n"/>
      <c r="J175" s="283" t="n"/>
      <c r="K175" s="283" t="n"/>
      <c r="L175" s="283" t="n"/>
      <c r="M175" s="283" t="n"/>
      <c r="N175" s="380" t="n"/>
      <c r="O175" s="380" t="n"/>
      <c r="P175" s="283" t="n"/>
      <c r="Q175" s="283" t="n"/>
      <c r="R175" s="283" t="n"/>
      <c r="S175" s="283" t="n"/>
      <c r="T175" s="283" t="n"/>
      <c r="U175" s="283" t="n"/>
      <c r="V175" s="283" t="n"/>
      <c r="W175" s="283" t="n"/>
      <c r="X175" s="283" t="n"/>
      <c r="Y175" s="283" t="n"/>
      <c r="Z175" s="283" t="n"/>
    </row>
    <row r="176">
      <c r="A176" s="283" t="n"/>
      <c r="B176" s="283" t="n"/>
      <c r="C176" s="283" t="n"/>
      <c r="D176" s="283" t="n"/>
      <c r="E176" s="283" t="n"/>
      <c r="F176" s="283" t="n"/>
      <c r="G176" s="283" t="n"/>
      <c r="H176" s="283" t="n"/>
      <c r="I176" s="283" t="n"/>
      <c r="J176" s="283" t="n"/>
      <c r="K176" s="283" t="n"/>
      <c r="L176" s="283" t="n"/>
      <c r="M176" s="283" t="n"/>
      <c r="N176" s="380" t="n"/>
      <c r="O176" s="380" t="n"/>
      <c r="P176" s="283" t="n"/>
      <c r="Q176" s="283" t="n"/>
      <c r="R176" s="283" t="n"/>
      <c r="S176" s="283" t="n"/>
      <c r="T176" s="283" t="n"/>
      <c r="U176" s="283" t="n"/>
      <c r="V176" s="283" t="n"/>
      <c r="W176" s="283" t="n"/>
      <c r="X176" s="283" t="n"/>
      <c r="Y176" s="283" t="n"/>
      <c r="Z176" s="283" t="n"/>
    </row>
    <row r="177">
      <c r="A177" s="283" t="n"/>
      <c r="B177" s="283" t="n"/>
      <c r="C177" s="283" t="n"/>
      <c r="D177" s="283" t="n"/>
      <c r="E177" s="283" t="n"/>
      <c r="F177" s="283" t="n"/>
      <c r="G177" s="283" t="n"/>
      <c r="H177" s="283" t="n"/>
      <c r="I177" s="283" t="n"/>
      <c r="J177" s="283" t="n"/>
      <c r="K177" s="283" t="n"/>
      <c r="L177" s="283" t="n"/>
      <c r="M177" s="283" t="n"/>
      <c r="N177" s="380" t="n"/>
      <c r="O177" s="380" t="n"/>
      <c r="P177" s="283" t="n"/>
      <c r="Q177" s="283" t="n"/>
      <c r="R177" s="283" t="n"/>
      <c r="S177" s="283" t="n"/>
      <c r="T177" s="283" t="n"/>
      <c r="U177" s="283" t="n"/>
      <c r="V177" s="283" t="n"/>
      <c r="W177" s="283" t="n"/>
      <c r="X177" s="283" t="n"/>
      <c r="Y177" s="283" t="n"/>
      <c r="Z177" s="283" t="n"/>
    </row>
    <row r="178">
      <c r="A178" s="283" t="n"/>
      <c r="B178" s="283" t="n"/>
      <c r="C178" s="283" t="n"/>
      <c r="D178" s="283" t="n"/>
      <c r="E178" s="283" t="n"/>
      <c r="F178" s="283" t="n"/>
      <c r="G178" s="283" t="n"/>
      <c r="H178" s="283" t="n"/>
      <c r="I178" s="283" t="n"/>
      <c r="J178" s="283" t="n"/>
      <c r="K178" s="283" t="n"/>
      <c r="L178" s="283" t="n"/>
      <c r="M178" s="283" t="n"/>
      <c r="N178" s="380" t="n"/>
      <c r="O178" s="380" t="n"/>
      <c r="P178" s="283" t="n"/>
      <c r="Q178" s="283" t="n"/>
      <c r="R178" s="283" t="n"/>
      <c r="S178" s="283" t="n"/>
      <c r="T178" s="283" t="n"/>
      <c r="U178" s="283" t="n"/>
      <c r="V178" s="283" t="n"/>
      <c r="W178" s="283" t="n"/>
      <c r="X178" s="283" t="n"/>
      <c r="Y178" s="283" t="n"/>
      <c r="Z178" s="283" t="n"/>
    </row>
    <row r="179">
      <c r="A179" s="283" t="n"/>
      <c r="B179" s="283" t="n"/>
      <c r="C179" s="283" t="n"/>
      <c r="D179" s="283" t="n"/>
      <c r="E179" s="283" t="n"/>
      <c r="F179" s="283" t="n"/>
      <c r="G179" s="283" t="n"/>
      <c r="H179" s="283" t="n"/>
      <c r="I179" s="283" t="n"/>
      <c r="J179" s="283" t="n"/>
      <c r="K179" s="283" t="n"/>
      <c r="L179" s="283" t="n"/>
      <c r="M179" s="283" t="n"/>
      <c r="N179" s="380" t="n"/>
      <c r="O179" s="380" t="n"/>
      <c r="P179" s="283" t="n"/>
      <c r="Q179" s="283" t="n"/>
      <c r="R179" s="283" t="n"/>
      <c r="S179" s="283" t="n"/>
      <c r="T179" s="283" t="n"/>
      <c r="U179" s="283" t="n"/>
      <c r="V179" s="283" t="n"/>
      <c r="W179" s="283" t="n"/>
      <c r="X179" s="283" t="n"/>
      <c r="Y179" s="283" t="n"/>
      <c r="Z179" s="283" t="n"/>
    </row>
    <row r="180">
      <c r="A180" s="283" t="n"/>
      <c r="B180" s="283" t="n"/>
      <c r="C180" s="283" t="n"/>
      <c r="D180" s="283" t="n"/>
      <c r="E180" s="283" t="n"/>
      <c r="F180" s="283" t="n"/>
      <c r="G180" s="283" t="n"/>
      <c r="H180" s="283" t="n"/>
      <c r="I180" s="283" t="n"/>
      <c r="J180" s="283" t="n"/>
      <c r="K180" s="283" t="n"/>
      <c r="L180" s="283" t="n"/>
      <c r="M180" s="283" t="n"/>
      <c r="N180" s="380" t="n"/>
      <c r="O180" s="380" t="n"/>
      <c r="P180" s="283" t="n"/>
      <c r="Q180" s="283" t="n"/>
      <c r="R180" s="283" t="n"/>
      <c r="S180" s="283" t="n"/>
      <c r="T180" s="283" t="n"/>
      <c r="U180" s="283" t="n"/>
      <c r="V180" s="283" t="n"/>
      <c r="W180" s="283" t="n"/>
      <c r="X180" s="283" t="n"/>
      <c r="Y180" s="283" t="n"/>
      <c r="Z180" s="283" t="n"/>
    </row>
    <row r="181">
      <c r="A181" s="283" t="n"/>
      <c r="B181" s="283" t="n"/>
      <c r="C181" s="283" t="n"/>
      <c r="D181" s="283" t="n"/>
      <c r="E181" s="283" t="n"/>
      <c r="F181" s="283" t="n"/>
      <c r="G181" s="283" t="n"/>
      <c r="H181" s="283" t="n"/>
      <c r="I181" s="283" t="n"/>
      <c r="J181" s="283" t="n"/>
      <c r="K181" s="283" t="n"/>
      <c r="L181" s="283" t="n"/>
      <c r="M181" s="283" t="n"/>
      <c r="N181" s="380" t="n"/>
      <c r="O181" s="380" t="n"/>
      <c r="P181" s="283" t="n"/>
      <c r="Q181" s="283" t="n"/>
      <c r="R181" s="283" t="n"/>
      <c r="S181" s="283" t="n"/>
      <c r="T181" s="283" t="n"/>
      <c r="U181" s="283" t="n"/>
      <c r="V181" s="283" t="n"/>
      <c r="W181" s="283" t="n"/>
      <c r="X181" s="283" t="n"/>
      <c r="Y181" s="283" t="n"/>
      <c r="Z181" s="283" t="n"/>
    </row>
    <row r="182">
      <c r="A182" s="283" t="n"/>
      <c r="B182" s="283" t="n"/>
      <c r="C182" s="283" t="n"/>
      <c r="D182" s="283" t="n"/>
      <c r="E182" s="283" t="n"/>
      <c r="F182" s="283" t="n"/>
      <c r="G182" s="283" t="n"/>
      <c r="H182" s="283" t="n"/>
      <c r="I182" s="283" t="n"/>
      <c r="J182" s="283" t="n"/>
      <c r="K182" s="283" t="n"/>
      <c r="L182" s="283" t="n"/>
      <c r="M182" s="283" t="n"/>
      <c r="N182" s="380" t="n"/>
      <c r="O182" s="380" t="n"/>
      <c r="P182" s="283" t="n"/>
      <c r="Q182" s="283" t="n"/>
      <c r="R182" s="283" t="n"/>
      <c r="S182" s="283" t="n"/>
      <c r="T182" s="283" t="n"/>
      <c r="U182" s="283" t="n"/>
      <c r="V182" s="283" t="n"/>
      <c r="W182" s="283" t="n"/>
      <c r="X182" s="283" t="n"/>
      <c r="Y182" s="283" t="n"/>
      <c r="Z182" s="283" t="n"/>
    </row>
    <row r="183">
      <c r="A183" s="283" t="n"/>
      <c r="B183" s="283" t="n"/>
      <c r="C183" s="283" t="n"/>
      <c r="D183" s="283" t="n"/>
      <c r="E183" s="283" t="n"/>
      <c r="F183" s="283" t="n"/>
      <c r="G183" s="283" t="n"/>
      <c r="H183" s="283" t="n"/>
      <c r="I183" s="283" t="n"/>
      <c r="J183" s="283" t="n"/>
      <c r="K183" s="283" t="n"/>
      <c r="L183" s="283" t="n"/>
      <c r="M183" s="283" t="n"/>
      <c r="N183" s="380" t="n"/>
      <c r="O183" s="380" t="n"/>
      <c r="P183" s="283" t="n"/>
      <c r="Q183" s="283" t="n"/>
      <c r="R183" s="283" t="n"/>
      <c r="S183" s="283" t="n"/>
      <c r="T183" s="283" t="n"/>
      <c r="U183" s="283" t="n"/>
      <c r="V183" s="283" t="n"/>
      <c r="W183" s="283" t="n"/>
      <c r="X183" s="283" t="n"/>
      <c r="Y183" s="283" t="n"/>
      <c r="Z183" s="283" t="n"/>
    </row>
    <row r="184">
      <c r="A184" s="283" t="n"/>
      <c r="B184" s="283" t="n"/>
      <c r="C184" s="283" t="n"/>
      <c r="D184" s="283" t="n"/>
      <c r="E184" s="283" t="n"/>
      <c r="F184" s="283" t="n"/>
      <c r="G184" s="283" t="n"/>
      <c r="H184" s="283" t="n"/>
      <c r="I184" s="283" t="n"/>
      <c r="J184" s="283" t="n"/>
      <c r="K184" s="283" t="n"/>
      <c r="L184" s="283" t="n"/>
      <c r="M184" s="283" t="n"/>
      <c r="N184" s="380" t="n"/>
      <c r="O184" s="380" t="n"/>
      <c r="P184" s="283" t="n"/>
      <c r="Q184" s="283" t="n"/>
      <c r="R184" s="283" t="n"/>
      <c r="S184" s="283" t="n"/>
      <c r="T184" s="283" t="n"/>
      <c r="U184" s="283" t="n"/>
      <c r="V184" s="283" t="n"/>
      <c r="W184" s="283" t="n"/>
      <c r="X184" s="283" t="n"/>
      <c r="Y184" s="283" t="n"/>
      <c r="Z184" s="283" t="n"/>
    </row>
    <row r="185">
      <c r="A185" s="283" t="n"/>
      <c r="B185" s="283" t="n"/>
      <c r="C185" s="283" t="n"/>
      <c r="D185" s="283" t="n"/>
      <c r="E185" s="283" t="n"/>
      <c r="F185" s="283" t="n"/>
      <c r="G185" s="283" t="n"/>
      <c r="H185" s="283" t="n"/>
      <c r="I185" s="283" t="n"/>
      <c r="J185" s="283" t="n"/>
      <c r="K185" s="283" t="n"/>
      <c r="L185" s="283" t="n"/>
      <c r="M185" s="283" t="n"/>
      <c r="N185" s="380" t="n"/>
      <c r="O185" s="380" t="n"/>
      <c r="P185" s="283" t="n"/>
      <c r="Q185" s="283" t="n"/>
      <c r="R185" s="283" t="n"/>
      <c r="S185" s="283" t="n"/>
      <c r="T185" s="283" t="n"/>
      <c r="U185" s="283" t="n"/>
      <c r="V185" s="283" t="n"/>
      <c r="W185" s="283" t="n"/>
      <c r="X185" s="283" t="n"/>
      <c r="Y185" s="283" t="n"/>
      <c r="Z185" s="283" t="n"/>
    </row>
    <row r="186">
      <c r="A186" s="283" t="n"/>
      <c r="B186" s="283" t="n"/>
      <c r="C186" s="283" t="n"/>
      <c r="D186" s="283" t="n"/>
      <c r="E186" s="283" t="n"/>
      <c r="F186" s="283" t="n"/>
      <c r="G186" s="283" t="n"/>
      <c r="H186" s="283" t="n"/>
      <c r="I186" s="283" t="n"/>
      <c r="J186" s="283" t="n"/>
      <c r="K186" s="283" t="n"/>
      <c r="L186" s="283" t="n"/>
      <c r="M186" s="283" t="n"/>
      <c r="N186" s="380" t="n"/>
      <c r="O186" s="380" t="n"/>
      <c r="P186" s="283" t="n"/>
      <c r="Q186" s="283" t="n"/>
      <c r="R186" s="283" t="n"/>
      <c r="S186" s="283" t="n"/>
      <c r="T186" s="283" t="n"/>
      <c r="U186" s="283" t="n"/>
      <c r="V186" s="283" t="n"/>
      <c r="W186" s="283" t="n"/>
      <c r="X186" s="283" t="n"/>
      <c r="Y186" s="283" t="n"/>
      <c r="Z186" s="283" t="n"/>
    </row>
    <row r="187">
      <c r="A187" s="283" t="n"/>
      <c r="B187" s="283" t="n"/>
      <c r="C187" s="283" t="n"/>
      <c r="D187" s="283" t="n"/>
      <c r="E187" s="283" t="n"/>
      <c r="F187" s="283" t="n"/>
      <c r="G187" s="283" t="n"/>
      <c r="H187" s="283" t="n"/>
      <c r="I187" s="283" t="n"/>
      <c r="J187" s="283" t="n"/>
      <c r="K187" s="283" t="n"/>
      <c r="L187" s="283" t="n"/>
      <c r="M187" s="283" t="n"/>
      <c r="N187" s="380" t="n"/>
      <c r="O187" s="380" t="n"/>
      <c r="P187" s="283" t="n"/>
      <c r="Q187" s="283" t="n"/>
      <c r="R187" s="283" t="n"/>
      <c r="S187" s="283" t="n"/>
      <c r="T187" s="283" t="n"/>
      <c r="U187" s="283" t="n"/>
      <c r="V187" s="283" t="n"/>
      <c r="W187" s="283" t="n"/>
      <c r="X187" s="283" t="n"/>
      <c r="Y187" s="283" t="n"/>
      <c r="Z187" s="283" t="n"/>
    </row>
    <row r="188">
      <c r="A188" s="283" t="n"/>
      <c r="B188" s="283" t="n"/>
      <c r="C188" s="283" t="n"/>
      <c r="D188" s="283" t="n"/>
      <c r="E188" s="283" t="n"/>
      <c r="F188" s="283" t="n"/>
      <c r="G188" s="283" t="n"/>
      <c r="H188" s="283" t="n"/>
      <c r="I188" s="283" t="n"/>
      <c r="J188" s="283" t="n"/>
      <c r="K188" s="283" t="n"/>
      <c r="L188" s="283" t="n"/>
      <c r="M188" s="283" t="n"/>
      <c r="N188" s="380" t="n"/>
      <c r="O188" s="380" t="n"/>
      <c r="P188" s="283" t="n"/>
      <c r="Q188" s="283" t="n"/>
      <c r="R188" s="283" t="n"/>
      <c r="S188" s="283" t="n"/>
      <c r="T188" s="283" t="n"/>
      <c r="U188" s="283" t="n"/>
      <c r="V188" s="283" t="n"/>
      <c r="W188" s="283" t="n"/>
      <c r="X188" s="283" t="n"/>
      <c r="Y188" s="283" t="n"/>
      <c r="Z188" s="283" t="n"/>
    </row>
    <row r="189">
      <c r="A189" s="283" t="n"/>
      <c r="B189" s="283" t="n"/>
      <c r="C189" s="283" t="n"/>
      <c r="D189" s="283" t="n"/>
      <c r="E189" s="283" t="n"/>
      <c r="F189" s="283" t="n"/>
      <c r="G189" s="283" t="n"/>
      <c r="H189" s="283" t="n"/>
      <c r="I189" s="283" t="n"/>
      <c r="J189" s="283" t="n"/>
      <c r="K189" s="283" t="n"/>
      <c r="L189" s="283" t="n"/>
      <c r="M189" s="283" t="n"/>
      <c r="N189" s="380" t="n"/>
      <c r="O189" s="380" t="n"/>
      <c r="P189" s="283" t="n"/>
      <c r="Q189" s="283" t="n"/>
      <c r="R189" s="283" t="n"/>
      <c r="S189" s="283" t="n"/>
      <c r="T189" s="283" t="n"/>
      <c r="U189" s="283" t="n"/>
      <c r="V189" s="283" t="n"/>
      <c r="W189" s="283" t="n"/>
      <c r="X189" s="283" t="n"/>
      <c r="Y189" s="283" t="n"/>
      <c r="Z189" s="283" t="n"/>
    </row>
    <row r="190">
      <c r="A190" s="283" t="n"/>
      <c r="B190" s="283" t="n"/>
      <c r="C190" s="283" t="n"/>
      <c r="D190" s="283" t="n"/>
      <c r="E190" s="283" t="n"/>
      <c r="F190" s="283" t="n"/>
      <c r="G190" s="283" t="n"/>
      <c r="H190" s="283" t="n"/>
      <c r="I190" s="283" t="n"/>
      <c r="J190" s="283" t="n"/>
      <c r="K190" s="283" t="n"/>
      <c r="L190" s="283" t="n"/>
      <c r="M190" s="283" t="n"/>
      <c r="N190" s="380" t="n"/>
      <c r="O190" s="380" t="n"/>
      <c r="P190" s="283" t="n"/>
      <c r="Q190" s="283" t="n"/>
      <c r="R190" s="283" t="n"/>
      <c r="S190" s="283" t="n"/>
      <c r="T190" s="283" t="n"/>
      <c r="U190" s="283" t="n"/>
      <c r="V190" s="283" t="n"/>
      <c r="W190" s="283" t="n"/>
      <c r="X190" s="283" t="n"/>
      <c r="Y190" s="283" t="n"/>
      <c r="Z190" s="283" t="n"/>
    </row>
    <row r="191">
      <c r="A191" s="283" t="n"/>
      <c r="B191" s="283" t="n"/>
      <c r="C191" s="283" t="n"/>
      <c r="D191" s="283" t="n"/>
      <c r="E191" s="283" t="n"/>
      <c r="F191" s="283" t="n"/>
      <c r="G191" s="283" t="n"/>
      <c r="H191" s="283" t="n"/>
      <c r="I191" s="283" t="n"/>
      <c r="J191" s="283" t="n"/>
      <c r="K191" s="283" t="n"/>
      <c r="L191" s="283" t="n"/>
      <c r="M191" s="283" t="n"/>
      <c r="N191" s="380" t="n"/>
      <c r="O191" s="380" t="n"/>
      <c r="P191" s="283" t="n"/>
      <c r="Q191" s="283" t="n"/>
      <c r="R191" s="283" t="n"/>
      <c r="S191" s="283" t="n"/>
      <c r="T191" s="283" t="n"/>
      <c r="U191" s="283" t="n"/>
      <c r="V191" s="283" t="n"/>
      <c r="W191" s="283" t="n"/>
      <c r="X191" s="283" t="n"/>
      <c r="Y191" s="283" t="n"/>
      <c r="Z191" s="283" t="n"/>
    </row>
    <row r="192">
      <c r="A192" s="283" t="n"/>
      <c r="B192" s="283" t="n"/>
      <c r="C192" s="283" t="n"/>
      <c r="D192" s="283" t="n"/>
      <c r="E192" s="283" t="n"/>
      <c r="F192" s="283" t="n"/>
      <c r="G192" s="283" t="n"/>
      <c r="H192" s="283" t="n"/>
      <c r="I192" s="283" t="n"/>
      <c r="J192" s="283" t="n"/>
      <c r="K192" s="283" t="n"/>
      <c r="L192" s="283" t="n"/>
      <c r="M192" s="283" t="n"/>
      <c r="N192" s="380" t="n"/>
      <c r="O192" s="380" t="n"/>
      <c r="P192" s="283" t="n"/>
      <c r="Q192" s="283" t="n"/>
      <c r="R192" s="283" t="n"/>
      <c r="S192" s="283" t="n"/>
      <c r="T192" s="283" t="n"/>
      <c r="U192" s="283" t="n"/>
      <c r="V192" s="283" t="n"/>
      <c r="W192" s="283" t="n"/>
      <c r="X192" s="283" t="n"/>
      <c r="Y192" s="283" t="n"/>
      <c r="Z192" s="283" t="n"/>
    </row>
    <row r="193">
      <c r="A193" s="283" t="n"/>
      <c r="B193" s="283" t="n"/>
      <c r="C193" s="283" t="n"/>
      <c r="D193" s="283" t="n"/>
      <c r="E193" s="283" t="n"/>
      <c r="F193" s="283" t="n"/>
      <c r="G193" s="283" t="n"/>
      <c r="H193" s="283" t="n"/>
      <c r="I193" s="283" t="n"/>
      <c r="J193" s="283" t="n"/>
      <c r="K193" s="283" t="n"/>
      <c r="L193" s="283" t="n"/>
      <c r="M193" s="283" t="n"/>
      <c r="N193" s="380" t="n"/>
      <c r="O193" s="380" t="n"/>
      <c r="P193" s="283" t="n"/>
      <c r="Q193" s="283" t="n"/>
      <c r="R193" s="283" t="n"/>
      <c r="S193" s="283" t="n"/>
      <c r="T193" s="283" t="n"/>
      <c r="U193" s="283" t="n"/>
      <c r="V193" s="283" t="n"/>
      <c r="W193" s="283" t="n"/>
      <c r="X193" s="283" t="n"/>
      <c r="Y193" s="283" t="n"/>
      <c r="Z193" s="283" t="n"/>
    </row>
    <row r="194">
      <c r="A194" s="283" t="n"/>
      <c r="B194" s="283" t="n"/>
      <c r="C194" s="283" t="n"/>
      <c r="D194" s="283" t="n"/>
      <c r="E194" s="283" t="n"/>
      <c r="F194" s="283" t="n"/>
      <c r="G194" s="283" t="n"/>
      <c r="H194" s="283" t="n"/>
      <c r="I194" s="283" t="n"/>
      <c r="J194" s="283" t="n"/>
      <c r="K194" s="283" t="n"/>
      <c r="L194" s="283" t="n"/>
      <c r="M194" s="283" t="n"/>
      <c r="N194" s="380" t="n"/>
      <c r="O194" s="380" t="n"/>
      <c r="P194" s="283" t="n"/>
      <c r="Q194" s="283" t="n"/>
      <c r="R194" s="283" t="n"/>
      <c r="S194" s="283" t="n"/>
      <c r="T194" s="283" t="n"/>
      <c r="U194" s="283" t="n"/>
      <c r="V194" s="283" t="n"/>
      <c r="W194" s="283" t="n"/>
      <c r="X194" s="283" t="n"/>
      <c r="Y194" s="283" t="n"/>
      <c r="Z194" s="283" t="n"/>
    </row>
    <row r="195">
      <c r="A195" s="283" t="n"/>
      <c r="B195" s="283" t="n"/>
      <c r="C195" s="283" t="n"/>
      <c r="D195" s="283" t="n"/>
      <c r="E195" s="283" t="n"/>
      <c r="F195" s="283" t="n"/>
      <c r="G195" s="283" t="n"/>
      <c r="H195" s="283" t="n"/>
      <c r="I195" s="283" t="n"/>
      <c r="J195" s="283" t="n"/>
      <c r="K195" s="283" t="n"/>
      <c r="L195" s="283" t="n"/>
      <c r="M195" s="283" t="n"/>
      <c r="N195" s="380" t="n"/>
      <c r="O195" s="380" t="n"/>
      <c r="P195" s="283" t="n"/>
      <c r="Q195" s="283" t="n"/>
      <c r="R195" s="283" t="n"/>
      <c r="S195" s="283" t="n"/>
      <c r="T195" s="283" t="n"/>
      <c r="U195" s="283" t="n"/>
      <c r="V195" s="283" t="n"/>
      <c r="W195" s="283" t="n"/>
      <c r="X195" s="283" t="n"/>
      <c r="Y195" s="283" t="n"/>
      <c r="Z195" s="283" t="n"/>
    </row>
    <row r="196">
      <c r="A196" s="283" t="n"/>
      <c r="B196" s="283" t="n"/>
      <c r="C196" s="283" t="n"/>
      <c r="D196" s="283" t="n"/>
      <c r="E196" s="283" t="n"/>
      <c r="F196" s="283" t="n"/>
      <c r="G196" s="283" t="n"/>
      <c r="H196" s="283" t="n"/>
      <c r="I196" s="283" t="n"/>
      <c r="J196" s="283" t="n"/>
      <c r="K196" s="283" t="n"/>
      <c r="L196" s="283" t="n"/>
      <c r="M196" s="283" t="n"/>
      <c r="N196" s="380" t="n"/>
      <c r="O196" s="380" t="n"/>
      <c r="P196" s="283" t="n"/>
      <c r="Q196" s="283" t="n"/>
      <c r="R196" s="283" t="n"/>
      <c r="S196" s="283" t="n"/>
      <c r="T196" s="283" t="n"/>
      <c r="U196" s="283" t="n"/>
      <c r="V196" s="283" t="n"/>
      <c r="W196" s="283" t="n"/>
      <c r="X196" s="283" t="n"/>
      <c r="Y196" s="283" t="n"/>
      <c r="Z196" s="283" t="n"/>
    </row>
    <row r="197">
      <c r="A197" s="283" t="n"/>
      <c r="B197" s="283" t="n"/>
      <c r="C197" s="283" t="n"/>
      <c r="D197" s="283" t="n"/>
      <c r="E197" s="283" t="n"/>
      <c r="F197" s="283" t="n"/>
      <c r="G197" s="283" t="n"/>
      <c r="H197" s="283" t="n"/>
      <c r="I197" s="283" t="n"/>
      <c r="J197" s="283" t="n"/>
      <c r="K197" s="283" t="n"/>
      <c r="L197" s="283" t="n"/>
      <c r="M197" s="283" t="n"/>
      <c r="N197" s="380" t="n"/>
      <c r="O197" s="380" t="n"/>
      <c r="P197" s="283" t="n"/>
      <c r="Q197" s="283" t="n"/>
      <c r="R197" s="283" t="n"/>
      <c r="S197" s="283" t="n"/>
      <c r="T197" s="283" t="n"/>
      <c r="U197" s="283" t="n"/>
      <c r="V197" s="283" t="n"/>
      <c r="W197" s="283" t="n"/>
      <c r="X197" s="283" t="n"/>
      <c r="Y197" s="283" t="n"/>
      <c r="Z197" s="283" t="n"/>
    </row>
    <row r="198">
      <c r="A198" s="283" t="n"/>
      <c r="B198" s="283" t="n"/>
      <c r="C198" s="283" t="n"/>
      <c r="D198" s="283" t="n"/>
      <c r="E198" s="283" t="n"/>
      <c r="F198" s="283" t="n"/>
      <c r="G198" s="283" t="n"/>
      <c r="H198" s="283" t="n"/>
      <c r="I198" s="283" t="n"/>
      <c r="J198" s="283" t="n"/>
      <c r="K198" s="283" t="n"/>
      <c r="L198" s="283" t="n"/>
      <c r="M198" s="283" t="n"/>
      <c r="N198" s="380" t="n"/>
      <c r="O198" s="380" t="n"/>
      <c r="P198" s="283" t="n"/>
      <c r="Q198" s="283" t="n"/>
      <c r="R198" s="283" t="n"/>
      <c r="S198" s="283" t="n"/>
      <c r="T198" s="283" t="n"/>
      <c r="U198" s="283" t="n"/>
      <c r="V198" s="283" t="n"/>
      <c r="W198" s="283" t="n"/>
      <c r="X198" s="283" t="n"/>
      <c r="Y198" s="283" t="n"/>
      <c r="Z198" s="283" t="n"/>
    </row>
    <row r="199">
      <c r="A199" s="283" t="n"/>
      <c r="B199" s="283" t="n"/>
      <c r="C199" s="283" t="n"/>
      <c r="D199" s="283" t="n"/>
      <c r="E199" s="283" t="n"/>
      <c r="F199" s="283" t="n"/>
      <c r="G199" s="283" t="n"/>
      <c r="H199" s="283" t="n"/>
      <c r="I199" s="283" t="n"/>
      <c r="J199" s="283" t="n"/>
      <c r="K199" s="283" t="n"/>
      <c r="L199" s="283" t="n"/>
      <c r="M199" s="283" t="n"/>
      <c r="N199" s="380" t="n"/>
      <c r="O199" s="380" t="n"/>
      <c r="P199" s="283" t="n"/>
      <c r="Q199" s="283" t="n"/>
      <c r="R199" s="283" t="n"/>
      <c r="S199" s="283" t="n"/>
      <c r="T199" s="283" t="n"/>
      <c r="U199" s="283" t="n"/>
      <c r="V199" s="283" t="n"/>
      <c r="W199" s="283" t="n"/>
      <c r="X199" s="283" t="n"/>
      <c r="Y199" s="283" t="n"/>
      <c r="Z199" s="283" t="n"/>
    </row>
    <row r="200">
      <c r="A200" s="283" t="n"/>
      <c r="B200" s="283" t="n"/>
      <c r="C200" s="283" t="n"/>
      <c r="D200" s="283" t="n"/>
      <c r="E200" s="283" t="n"/>
      <c r="F200" s="283" t="n"/>
      <c r="G200" s="283" t="n"/>
      <c r="H200" s="283" t="n"/>
      <c r="I200" s="283" t="n"/>
      <c r="J200" s="283" t="n"/>
      <c r="K200" s="283" t="n"/>
      <c r="L200" s="283" t="n"/>
      <c r="M200" s="283" t="n"/>
      <c r="N200" s="380" t="n"/>
      <c r="O200" s="380" t="n"/>
      <c r="P200" s="283" t="n"/>
      <c r="Q200" s="283" t="n"/>
      <c r="R200" s="283" t="n"/>
      <c r="S200" s="283" t="n"/>
      <c r="T200" s="283" t="n"/>
      <c r="U200" s="283" t="n"/>
      <c r="V200" s="283" t="n"/>
      <c r="W200" s="283" t="n"/>
      <c r="X200" s="283" t="n"/>
      <c r="Y200" s="283" t="n"/>
      <c r="Z200" s="283" t="n"/>
    </row>
    <row r="201">
      <c r="A201" s="283" t="n"/>
      <c r="B201" s="283" t="n"/>
      <c r="C201" s="283" t="n"/>
      <c r="D201" s="283" t="n"/>
      <c r="E201" s="283" t="n"/>
      <c r="F201" s="283" t="n"/>
      <c r="G201" s="283" t="n"/>
      <c r="H201" s="283" t="n"/>
      <c r="I201" s="283" t="n"/>
      <c r="J201" s="283" t="n"/>
      <c r="K201" s="283" t="n"/>
      <c r="L201" s="283" t="n"/>
      <c r="M201" s="283" t="n"/>
      <c r="N201" s="380" t="n"/>
      <c r="O201" s="380" t="n"/>
      <c r="P201" s="283" t="n"/>
      <c r="Q201" s="283" t="n"/>
      <c r="R201" s="283" t="n"/>
      <c r="S201" s="283" t="n"/>
      <c r="T201" s="283" t="n"/>
      <c r="U201" s="283" t="n"/>
      <c r="V201" s="283" t="n"/>
      <c r="W201" s="283" t="n"/>
      <c r="X201" s="283" t="n"/>
      <c r="Y201" s="283" t="n"/>
      <c r="Z201" s="283" t="n"/>
    </row>
    <row r="202">
      <c r="A202" s="283" t="n"/>
      <c r="B202" s="283" t="n"/>
      <c r="C202" s="283" t="n"/>
      <c r="D202" s="283" t="n"/>
      <c r="E202" s="283" t="n"/>
      <c r="F202" s="283" t="n"/>
      <c r="G202" s="283" t="n"/>
      <c r="H202" s="283" t="n"/>
      <c r="I202" s="283" t="n"/>
      <c r="J202" s="283" t="n"/>
      <c r="K202" s="283" t="n"/>
      <c r="L202" s="283" t="n"/>
      <c r="M202" s="283" t="n"/>
      <c r="N202" s="380" t="n"/>
      <c r="O202" s="380" t="n"/>
      <c r="P202" s="283" t="n"/>
      <c r="Q202" s="283" t="n"/>
      <c r="R202" s="283" t="n"/>
      <c r="S202" s="283" t="n"/>
      <c r="T202" s="283" t="n"/>
      <c r="U202" s="283" t="n"/>
      <c r="V202" s="283" t="n"/>
      <c r="W202" s="283" t="n"/>
      <c r="X202" s="283" t="n"/>
      <c r="Y202" s="283" t="n"/>
      <c r="Z202" s="283" t="n"/>
    </row>
    <row r="203">
      <c r="A203" s="283" t="n"/>
      <c r="B203" s="283" t="n"/>
      <c r="C203" s="283" t="n"/>
      <c r="D203" s="283" t="n"/>
      <c r="E203" s="283" t="n"/>
      <c r="F203" s="283" t="n"/>
      <c r="G203" s="283" t="n"/>
      <c r="H203" s="283" t="n"/>
      <c r="I203" s="283" t="n"/>
      <c r="J203" s="283" t="n"/>
      <c r="K203" s="283" t="n"/>
      <c r="L203" s="283" t="n"/>
      <c r="M203" s="283" t="n"/>
      <c r="N203" s="380" t="n"/>
      <c r="O203" s="380" t="n"/>
      <c r="P203" s="283" t="n"/>
      <c r="Q203" s="283" t="n"/>
      <c r="R203" s="283" t="n"/>
      <c r="S203" s="283" t="n"/>
      <c r="T203" s="283" t="n"/>
      <c r="U203" s="283" t="n"/>
      <c r="V203" s="283" t="n"/>
      <c r="W203" s="283" t="n"/>
      <c r="X203" s="283" t="n"/>
      <c r="Y203" s="283" t="n"/>
      <c r="Z203" s="283" t="n"/>
    </row>
    <row r="204">
      <c r="A204" s="283" t="n"/>
      <c r="B204" s="283" t="n"/>
      <c r="C204" s="283" t="n"/>
      <c r="D204" s="283" t="n"/>
      <c r="E204" s="283" t="n"/>
      <c r="F204" s="283" t="n"/>
      <c r="G204" s="283" t="n"/>
      <c r="H204" s="283" t="n"/>
      <c r="I204" s="283" t="n"/>
      <c r="J204" s="283" t="n"/>
      <c r="K204" s="283" t="n"/>
      <c r="L204" s="283" t="n"/>
      <c r="M204" s="283" t="n"/>
      <c r="N204" s="380" t="n"/>
      <c r="O204" s="380" t="n"/>
      <c r="P204" s="283" t="n"/>
      <c r="Q204" s="283" t="n"/>
      <c r="R204" s="283" t="n"/>
      <c r="S204" s="283" t="n"/>
      <c r="T204" s="283" t="n"/>
      <c r="U204" s="283" t="n"/>
      <c r="V204" s="283" t="n"/>
      <c r="W204" s="283" t="n"/>
      <c r="X204" s="283" t="n"/>
      <c r="Y204" s="283" t="n"/>
      <c r="Z204" s="283" t="n"/>
    </row>
    <row r="205">
      <c r="A205" s="283" t="n"/>
      <c r="B205" s="283" t="n"/>
      <c r="C205" s="283" t="n"/>
      <c r="D205" s="283" t="n"/>
      <c r="E205" s="283" t="n"/>
      <c r="F205" s="283" t="n"/>
      <c r="G205" s="283" t="n"/>
      <c r="H205" s="283" t="n"/>
      <c r="I205" s="283" t="n"/>
      <c r="J205" s="283" t="n"/>
      <c r="K205" s="283" t="n"/>
      <c r="L205" s="283" t="n"/>
      <c r="M205" s="283" t="n"/>
      <c r="N205" s="380" t="n"/>
      <c r="O205" s="380" t="n"/>
      <c r="P205" s="283" t="n"/>
      <c r="Q205" s="283" t="n"/>
      <c r="R205" s="283" t="n"/>
      <c r="S205" s="283" t="n"/>
      <c r="T205" s="283" t="n"/>
      <c r="U205" s="283" t="n"/>
      <c r="V205" s="283" t="n"/>
      <c r="W205" s="283" t="n"/>
      <c r="X205" s="283" t="n"/>
      <c r="Y205" s="283" t="n"/>
      <c r="Z205" s="283" t="n"/>
    </row>
    <row r="206">
      <c r="A206" s="283" t="n"/>
      <c r="B206" s="283" t="n"/>
      <c r="C206" s="283" t="n"/>
      <c r="D206" s="283" t="n"/>
      <c r="E206" s="283" t="n"/>
      <c r="F206" s="283" t="n"/>
      <c r="G206" s="283" t="n"/>
      <c r="H206" s="283" t="n"/>
      <c r="I206" s="283" t="n"/>
      <c r="J206" s="283" t="n"/>
      <c r="K206" s="283" t="n"/>
      <c r="L206" s="283" t="n"/>
      <c r="M206" s="283" t="n"/>
      <c r="N206" s="380" t="n"/>
      <c r="O206" s="380" t="n"/>
      <c r="P206" s="283" t="n"/>
      <c r="Q206" s="283" t="n"/>
      <c r="R206" s="283" t="n"/>
      <c r="S206" s="283" t="n"/>
      <c r="T206" s="283" t="n"/>
      <c r="U206" s="283" t="n"/>
      <c r="V206" s="283" t="n"/>
      <c r="W206" s="283" t="n"/>
      <c r="X206" s="283" t="n"/>
      <c r="Y206" s="283" t="n"/>
      <c r="Z206" s="283" t="n"/>
    </row>
    <row r="207">
      <c r="A207" s="283" t="n"/>
      <c r="B207" s="283" t="n"/>
      <c r="C207" s="283" t="n"/>
      <c r="D207" s="283" t="n"/>
      <c r="E207" s="283" t="n"/>
      <c r="F207" s="283" t="n"/>
      <c r="G207" s="283" t="n"/>
      <c r="H207" s="283" t="n"/>
      <c r="I207" s="283" t="n"/>
      <c r="J207" s="283" t="n"/>
      <c r="K207" s="283" t="n"/>
      <c r="L207" s="283" t="n"/>
      <c r="M207" s="283" t="n"/>
      <c r="N207" s="380" t="n"/>
      <c r="O207" s="380" t="n"/>
      <c r="P207" s="283" t="n"/>
      <c r="Q207" s="283" t="n"/>
      <c r="R207" s="283" t="n"/>
      <c r="S207" s="283" t="n"/>
      <c r="T207" s="283" t="n"/>
      <c r="U207" s="283" t="n"/>
      <c r="V207" s="283" t="n"/>
      <c r="W207" s="283" t="n"/>
      <c r="X207" s="283" t="n"/>
      <c r="Y207" s="283" t="n"/>
      <c r="Z207" s="283" t="n"/>
    </row>
    <row r="208">
      <c r="A208" s="283" t="n"/>
      <c r="B208" s="283" t="n"/>
      <c r="C208" s="283" t="n"/>
      <c r="D208" s="283" t="n"/>
      <c r="E208" s="283" t="n"/>
      <c r="F208" s="283" t="n"/>
      <c r="G208" s="283" t="n"/>
      <c r="H208" s="283" t="n"/>
      <c r="I208" s="283" t="n"/>
      <c r="J208" s="283" t="n"/>
      <c r="K208" s="283" t="n"/>
      <c r="L208" s="283" t="n"/>
      <c r="M208" s="283" t="n"/>
      <c r="N208" s="380" t="n"/>
      <c r="O208" s="380" t="n"/>
      <c r="P208" s="283" t="n"/>
      <c r="Q208" s="283" t="n"/>
      <c r="R208" s="283" t="n"/>
      <c r="S208" s="283" t="n"/>
      <c r="T208" s="283" t="n"/>
      <c r="U208" s="283" t="n"/>
      <c r="V208" s="283" t="n"/>
      <c r="W208" s="283" t="n"/>
      <c r="X208" s="283" t="n"/>
      <c r="Y208" s="283" t="n"/>
      <c r="Z208" s="283" t="n"/>
    </row>
    <row r="209">
      <c r="A209" s="283" t="n"/>
      <c r="B209" s="283" t="n"/>
      <c r="C209" s="283" t="n"/>
      <c r="D209" s="283" t="n"/>
      <c r="E209" s="283" t="n"/>
      <c r="F209" s="283" t="n"/>
      <c r="G209" s="283" t="n"/>
      <c r="H209" s="283" t="n"/>
      <c r="I209" s="283" t="n"/>
      <c r="J209" s="283" t="n"/>
      <c r="K209" s="283" t="n"/>
      <c r="L209" s="283" t="n"/>
      <c r="M209" s="283" t="n"/>
      <c r="N209" s="380" t="n"/>
      <c r="O209" s="380" t="n"/>
      <c r="P209" s="283" t="n"/>
      <c r="Q209" s="283" t="n"/>
      <c r="R209" s="283" t="n"/>
      <c r="S209" s="283" t="n"/>
      <c r="T209" s="283" t="n"/>
      <c r="U209" s="283" t="n"/>
      <c r="V209" s="283" t="n"/>
      <c r="W209" s="283" t="n"/>
      <c r="X209" s="283" t="n"/>
      <c r="Y209" s="283" t="n"/>
      <c r="Z209" s="283" t="n"/>
    </row>
    <row r="210">
      <c r="A210" s="283" t="n"/>
      <c r="B210" s="283" t="n"/>
      <c r="C210" s="283" t="n"/>
      <c r="D210" s="283" t="n"/>
      <c r="E210" s="283" t="n"/>
      <c r="F210" s="283" t="n"/>
      <c r="G210" s="283" t="n"/>
      <c r="H210" s="283" t="n"/>
      <c r="I210" s="283" t="n"/>
      <c r="J210" s="283" t="n"/>
      <c r="K210" s="283" t="n"/>
      <c r="L210" s="283" t="n"/>
      <c r="M210" s="283" t="n"/>
      <c r="N210" s="380" t="n"/>
      <c r="O210" s="380" t="n"/>
      <c r="P210" s="283" t="n"/>
      <c r="Q210" s="283" t="n"/>
      <c r="R210" s="283" t="n"/>
      <c r="S210" s="283" t="n"/>
      <c r="T210" s="283" t="n"/>
      <c r="U210" s="283" t="n"/>
      <c r="V210" s="283" t="n"/>
      <c r="W210" s="283" t="n"/>
      <c r="X210" s="283" t="n"/>
      <c r="Y210" s="283" t="n"/>
      <c r="Z210" s="283" t="n"/>
    </row>
    <row r="211">
      <c r="A211" s="283" t="n"/>
      <c r="B211" s="283" t="n"/>
      <c r="C211" s="283" t="n"/>
      <c r="D211" s="283" t="n"/>
      <c r="E211" s="283" t="n"/>
      <c r="F211" s="283" t="n"/>
      <c r="G211" s="283" t="n"/>
      <c r="H211" s="283" t="n"/>
      <c r="I211" s="283" t="n"/>
      <c r="J211" s="283" t="n"/>
      <c r="K211" s="283" t="n"/>
      <c r="L211" s="283" t="n"/>
      <c r="M211" s="283" t="n"/>
      <c r="N211" s="380" t="n"/>
      <c r="O211" s="380" t="n"/>
      <c r="P211" s="283" t="n"/>
      <c r="Q211" s="283" t="n"/>
      <c r="R211" s="283" t="n"/>
      <c r="S211" s="283" t="n"/>
      <c r="T211" s="283" t="n"/>
      <c r="U211" s="283" t="n"/>
      <c r="V211" s="283" t="n"/>
      <c r="W211" s="283" t="n"/>
      <c r="X211" s="283" t="n"/>
      <c r="Y211" s="283" t="n"/>
      <c r="Z211" s="283" t="n"/>
    </row>
    <row r="212">
      <c r="A212" s="283" t="n"/>
      <c r="B212" s="283" t="n"/>
      <c r="C212" s="283" t="n"/>
      <c r="D212" s="283" t="n"/>
      <c r="E212" s="283" t="n"/>
      <c r="F212" s="283" t="n"/>
      <c r="G212" s="283" t="n"/>
      <c r="H212" s="283" t="n"/>
      <c r="I212" s="283" t="n"/>
      <c r="J212" s="283" t="n"/>
      <c r="K212" s="283" t="n"/>
      <c r="L212" s="283" t="n"/>
      <c r="M212" s="283" t="n"/>
      <c r="N212" s="380" t="n"/>
      <c r="O212" s="380" t="n"/>
      <c r="P212" s="283" t="n"/>
      <c r="Q212" s="283" t="n"/>
      <c r="R212" s="283" t="n"/>
      <c r="S212" s="283" t="n"/>
      <c r="T212" s="283" t="n"/>
      <c r="U212" s="283" t="n"/>
      <c r="V212" s="283" t="n"/>
      <c r="W212" s="283" t="n"/>
      <c r="X212" s="283" t="n"/>
      <c r="Y212" s="283" t="n"/>
      <c r="Z212" s="283" t="n"/>
    </row>
    <row r="213">
      <c r="A213" s="283" t="n"/>
      <c r="B213" s="283" t="n"/>
      <c r="C213" s="283" t="n"/>
      <c r="D213" s="283" t="n"/>
      <c r="E213" s="283" t="n"/>
      <c r="F213" s="283" t="n"/>
      <c r="G213" s="283" t="n"/>
      <c r="H213" s="283" t="n"/>
      <c r="I213" s="283" t="n"/>
      <c r="J213" s="283" t="n"/>
      <c r="K213" s="283" t="n"/>
      <c r="L213" s="283" t="n"/>
      <c r="M213" s="283" t="n"/>
      <c r="N213" s="380" t="n"/>
      <c r="O213" s="380" t="n"/>
      <c r="P213" s="283" t="n"/>
      <c r="Q213" s="283" t="n"/>
      <c r="R213" s="283" t="n"/>
      <c r="S213" s="283" t="n"/>
      <c r="T213" s="283" t="n"/>
      <c r="U213" s="283" t="n"/>
      <c r="V213" s="283" t="n"/>
      <c r="W213" s="283" t="n"/>
      <c r="X213" s="283" t="n"/>
      <c r="Y213" s="283" t="n"/>
      <c r="Z213" s="283" t="n"/>
    </row>
    <row r="214">
      <c r="A214" s="283" t="n"/>
      <c r="B214" s="283" t="n"/>
      <c r="C214" s="283" t="n"/>
      <c r="D214" s="283" t="n"/>
      <c r="E214" s="283" t="n"/>
      <c r="F214" s="283" t="n"/>
      <c r="G214" s="283" t="n"/>
      <c r="H214" s="283" t="n"/>
      <c r="I214" s="283" t="n"/>
      <c r="J214" s="283" t="n"/>
      <c r="K214" s="283" t="n"/>
      <c r="L214" s="283" t="n"/>
      <c r="M214" s="283" t="n"/>
      <c r="N214" s="380" t="n"/>
      <c r="O214" s="380" t="n"/>
      <c r="P214" s="283" t="n"/>
      <c r="Q214" s="283" t="n"/>
      <c r="R214" s="283" t="n"/>
      <c r="S214" s="283" t="n"/>
      <c r="T214" s="283" t="n"/>
      <c r="U214" s="283" t="n"/>
      <c r="V214" s="283" t="n"/>
      <c r="W214" s="283" t="n"/>
      <c r="X214" s="283" t="n"/>
      <c r="Y214" s="283" t="n"/>
      <c r="Z214" s="283" t="n"/>
    </row>
    <row r="215">
      <c r="A215" s="283" t="n"/>
      <c r="B215" s="283" t="n"/>
      <c r="C215" s="283" t="n"/>
      <c r="D215" s="283" t="n"/>
      <c r="E215" s="283" t="n"/>
      <c r="F215" s="283" t="n"/>
      <c r="G215" s="283" t="n"/>
      <c r="H215" s="283" t="n"/>
      <c r="I215" s="283" t="n"/>
      <c r="J215" s="283" t="n"/>
      <c r="K215" s="283" t="n"/>
      <c r="L215" s="283" t="n"/>
      <c r="M215" s="283" t="n"/>
      <c r="N215" s="380" t="n"/>
      <c r="O215" s="380" t="n"/>
      <c r="P215" s="283" t="n"/>
      <c r="Q215" s="283" t="n"/>
      <c r="R215" s="283" t="n"/>
      <c r="S215" s="283" t="n"/>
      <c r="T215" s="283" t="n"/>
      <c r="U215" s="283" t="n"/>
      <c r="V215" s="283" t="n"/>
      <c r="W215" s="283" t="n"/>
      <c r="X215" s="283" t="n"/>
      <c r="Y215" s="283" t="n"/>
      <c r="Z215" s="283" t="n"/>
    </row>
    <row r="216">
      <c r="A216" s="283" t="n"/>
      <c r="B216" s="283" t="n"/>
      <c r="C216" s="283" t="n"/>
      <c r="D216" s="283" t="n"/>
      <c r="E216" s="283" t="n"/>
      <c r="F216" s="283" t="n"/>
      <c r="G216" s="283" t="n"/>
      <c r="H216" s="283" t="n"/>
      <c r="I216" s="283" t="n"/>
      <c r="J216" s="283" t="n"/>
      <c r="K216" s="283" t="n"/>
      <c r="L216" s="283" t="n"/>
      <c r="M216" s="283" t="n"/>
      <c r="N216" s="380" t="n"/>
      <c r="O216" s="380" t="n"/>
      <c r="P216" s="283" t="n"/>
      <c r="Q216" s="283" t="n"/>
      <c r="R216" s="283" t="n"/>
      <c r="S216" s="283" t="n"/>
      <c r="T216" s="283" t="n"/>
      <c r="U216" s="283" t="n"/>
      <c r="V216" s="283" t="n"/>
      <c r="W216" s="283" t="n"/>
      <c r="X216" s="283" t="n"/>
      <c r="Y216" s="283" t="n"/>
      <c r="Z216" s="283" t="n"/>
    </row>
    <row r="217">
      <c r="A217" s="283" t="n"/>
      <c r="B217" s="283" t="n"/>
      <c r="C217" s="283" t="n"/>
      <c r="D217" s="283" t="n"/>
      <c r="E217" s="283" t="n"/>
      <c r="F217" s="283" t="n"/>
      <c r="G217" s="283" t="n"/>
      <c r="H217" s="283" t="n"/>
      <c r="I217" s="283" t="n"/>
      <c r="J217" s="283" t="n"/>
      <c r="K217" s="283" t="n"/>
      <c r="L217" s="283" t="n"/>
      <c r="M217" s="283" t="n"/>
      <c r="N217" s="380" t="n"/>
      <c r="O217" s="380" t="n"/>
      <c r="P217" s="283" t="n"/>
      <c r="Q217" s="283" t="n"/>
      <c r="R217" s="283" t="n"/>
      <c r="S217" s="283" t="n"/>
      <c r="T217" s="283" t="n"/>
      <c r="U217" s="283" t="n"/>
      <c r="V217" s="283" t="n"/>
      <c r="W217" s="283" t="n"/>
      <c r="X217" s="283" t="n"/>
      <c r="Y217" s="283" t="n"/>
      <c r="Z217" s="283" t="n"/>
    </row>
    <row r="218">
      <c r="A218" s="283" t="n"/>
      <c r="B218" s="283" t="n"/>
      <c r="C218" s="283" t="n"/>
      <c r="D218" s="283" t="n"/>
      <c r="E218" s="283" t="n"/>
      <c r="F218" s="283" t="n"/>
      <c r="G218" s="283" t="n"/>
      <c r="H218" s="283" t="n"/>
      <c r="I218" s="283" t="n"/>
      <c r="J218" s="283" t="n"/>
      <c r="K218" s="283" t="n"/>
      <c r="L218" s="283" t="n"/>
      <c r="M218" s="283" t="n"/>
      <c r="N218" s="380" t="n"/>
      <c r="O218" s="380" t="n"/>
      <c r="P218" s="283" t="n"/>
      <c r="Q218" s="283" t="n"/>
      <c r="R218" s="283" t="n"/>
      <c r="S218" s="283" t="n"/>
      <c r="T218" s="283" t="n"/>
      <c r="U218" s="283" t="n"/>
      <c r="V218" s="283" t="n"/>
      <c r="W218" s="283" t="n"/>
      <c r="X218" s="283" t="n"/>
      <c r="Y218" s="283" t="n"/>
      <c r="Z218" s="283" t="n"/>
    </row>
    <row r="219">
      <c r="A219" s="283" t="n"/>
      <c r="B219" s="283" t="n"/>
      <c r="C219" s="283" t="n"/>
      <c r="D219" s="283" t="n"/>
      <c r="E219" s="283" t="n"/>
      <c r="F219" s="283" t="n"/>
      <c r="G219" s="283" t="n"/>
      <c r="H219" s="283" t="n"/>
      <c r="I219" s="283" t="n"/>
      <c r="J219" s="283" t="n"/>
      <c r="K219" s="283" t="n"/>
      <c r="L219" s="283" t="n"/>
      <c r="M219" s="283" t="n"/>
      <c r="N219" s="380" t="n"/>
      <c r="O219" s="380" t="n"/>
      <c r="P219" s="283" t="n"/>
      <c r="Q219" s="283" t="n"/>
      <c r="R219" s="283" t="n"/>
      <c r="S219" s="283" t="n"/>
      <c r="T219" s="283" t="n"/>
      <c r="U219" s="283" t="n"/>
      <c r="V219" s="283" t="n"/>
      <c r="W219" s="283" t="n"/>
      <c r="X219" s="283" t="n"/>
      <c r="Y219" s="283" t="n"/>
      <c r="Z219" s="283" t="n"/>
    </row>
    <row r="220">
      <c r="A220" s="283" t="n"/>
      <c r="B220" s="283" t="n"/>
      <c r="C220" s="283" t="n"/>
      <c r="D220" s="283" t="n"/>
      <c r="E220" s="283" t="n"/>
      <c r="F220" s="283" t="n"/>
      <c r="G220" s="283" t="n"/>
      <c r="H220" s="283" t="n"/>
      <c r="I220" s="283" t="n"/>
      <c r="J220" s="283" t="n"/>
      <c r="K220" s="283" t="n"/>
      <c r="L220" s="283" t="n"/>
      <c r="M220" s="283" t="n"/>
      <c r="N220" s="380" t="n"/>
      <c r="O220" s="380" t="n"/>
      <c r="P220" s="283" t="n"/>
      <c r="Q220" s="283" t="n"/>
      <c r="R220" s="283" t="n"/>
      <c r="S220" s="283" t="n"/>
      <c r="T220" s="283" t="n"/>
      <c r="U220" s="283" t="n"/>
      <c r="V220" s="283" t="n"/>
      <c r="W220" s="283" t="n"/>
      <c r="X220" s="283" t="n"/>
      <c r="Y220" s="283" t="n"/>
      <c r="Z220" s="283" t="n"/>
    </row>
    <row r="221">
      <c r="A221" s="283" t="n"/>
      <c r="B221" s="283" t="n"/>
      <c r="C221" s="283" t="n"/>
      <c r="D221" s="283" t="n"/>
      <c r="E221" s="283" t="n"/>
      <c r="F221" s="283" t="n"/>
      <c r="G221" s="283" t="n"/>
      <c r="H221" s="283" t="n"/>
      <c r="I221" s="283" t="n"/>
      <c r="J221" s="283" t="n"/>
      <c r="K221" s="283" t="n"/>
      <c r="L221" s="283" t="n"/>
      <c r="M221" s="283" t="n"/>
      <c r="N221" s="380" t="n"/>
      <c r="O221" s="380" t="n"/>
      <c r="P221" s="283" t="n"/>
      <c r="Q221" s="283" t="n"/>
      <c r="R221" s="283" t="n"/>
      <c r="S221" s="283" t="n"/>
      <c r="T221" s="283" t="n"/>
      <c r="U221" s="283" t="n"/>
      <c r="V221" s="283" t="n"/>
      <c r="W221" s="283" t="n"/>
      <c r="X221" s="283" t="n"/>
      <c r="Y221" s="283" t="n"/>
      <c r="Z221" s="283" t="n"/>
    </row>
    <row r="222">
      <c r="A222" s="283" t="n"/>
      <c r="B222" s="283" t="n"/>
      <c r="C222" s="283" t="n"/>
      <c r="D222" s="283" t="n"/>
      <c r="E222" s="283" t="n"/>
      <c r="F222" s="283" t="n"/>
      <c r="G222" s="283" t="n"/>
      <c r="H222" s="283" t="n"/>
      <c r="I222" s="283" t="n"/>
      <c r="J222" s="283" t="n"/>
      <c r="K222" s="283" t="n"/>
      <c r="L222" s="283" t="n"/>
      <c r="M222" s="283" t="n"/>
      <c r="N222" s="380" t="n"/>
      <c r="O222" s="380" t="n"/>
      <c r="P222" s="283" t="n"/>
      <c r="Q222" s="283" t="n"/>
      <c r="R222" s="283" t="n"/>
      <c r="S222" s="283" t="n"/>
      <c r="T222" s="283" t="n"/>
      <c r="U222" s="283" t="n"/>
      <c r="V222" s="283" t="n"/>
      <c r="W222" s="283" t="n"/>
      <c r="X222" s="283" t="n"/>
      <c r="Y222" s="283" t="n"/>
      <c r="Z222" s="283" t="n"/>
    </row>
    <row r="223">
      <c r="A223" s="283" t="n"/>
      <c r="B223" s="283" t="n"/>
      <c r="C223" s="283" t="n"/>
      <c r="D223" s="283" t="n"/>
      <c r="E223" s="283" t="n"/>
      <c r="F223" s="283" t="n"/>
      <c r="G223" s="283" t="n"/>
      <c r="H223" s="283" t="n"/>
      <c r="I223" s="283" t="n"/>
      <c r="J223" s="283" t="n"/>
      <c r="K223" s="283" t="n"/>
      <c r="L223" s="283" t="n"/>
      <c r="M223" s="283" t="n"/>
      <c r="N223" s="380" t="n"/>
      <c r="O223" s="380" t="n"/>
      <c r="P223" s="283" t="n"/>
      <c r="Q223" s="283" t="n"/>
      <c r="R223" s="283" t="n"/>
      <c r="S223" s="283" t="n"/>
      <c r="T223" s="283" t="n"/>
      <c r="U223" s="283" t="n"/>
      <c r="V223" s="283" t="n"/>
      <c r="W223" s="283" t="n"/>
      <c r="X223" s="283" t="n"/>
      <c r="Y223" s="283" t="n"/>
      <c r="Z223" s="283" t="n"/>
    </row>
    <row r="224">
      <c r="A224" s="283" t="n"/>
      <c r="B224" s="283" t="n"/>
      <c r="C224" s="283" t="n"/>
      <c r="D224" s="283" t="n"/>
      <c r="E224" s="283" t="n"/>
      <c r="F224" s="283" t="n"/>
      <c r="G224" s="283" t="n"/>
      <c r="H224" s="283" t="n"/>
      <c r="I224" s="283" t="n"/>
      <c r="J224" s="283" t="n"/>
      <c r="K224" s="283" t="n"/>
      <c r="L224" s="283" t="n"/>
      <c r="M224" s="283" t="n"/>
      <c r="N224" s="380" t="n"/>
      <c r="O224" s="380" t="n"/>
      <c r="P224" s="283" t="n"/>
      <c r="Q224" s="283" t="n"/>
      <c r="R224" s="283" t="n"/>
      <c r="S224" s="283" t="n"/>
      <c r="T224" s="283" t="n"/>
      <c r="U224" s="283" t="n"/>
      <c r="V224" s="283" t="n"/>
      <c r="W224" s="283" t="n"/>
      <c r="X224" s="283" t="n"/>
      <c r="Y224" s="283" t="n"/>
      <c r="Z224" s="283" t="n"/>
    </row>
    <row r="225">
      <c r="A225" s="283" t="n"/>
      <c r="B225" s="283" t="n"/>
      <c r="C225" s="283" t="n"/>
      <c r="D225" s="283" t="n"/>
      <c r="E225" s="283" t="n"/>
      <c r="F225" s="283" t="n"/>
      <c r="G225" s="283" t="n"/>
      <c r="H225" s="283" t="n"/>
      <c r="I225" s="283" t="n"/>
      <c r="J225" s="283" t="n"/>
      <c r="K225" s="283" t="n"/>
      <c r="L225" s="283" t="n"/>
      <c r="M225" s="283" t="n"/>
      <c r="N225" s="380" t="n"/>
      <c r="O225" s="380" t="n"/>
      <c r="P225" s="283" t="n"/>
      <c r="Q225" s="283" t="n"/>
      <c r="R225" s="283" t="n"/>
      <c r="S225" s="283" t="n"/>
      <c r="T225" s="283" t="n"/>
      <c r="U225" s="283" t="n"/>
      <c r="V225" s="283" t="n"/>
      <c r="W225" s="283" t="n"/>
      <c r="X225" s="283" t="n"/>
      <c r="Y225" s="283" t="n"/>
      <c r="Z225" s="283" t="n"/>
    </row>
    <row r="226">
      <c r="A226" s="283" t="n"/>
      <c r="B226" s="283" t="n"/>
      <c r="C226" s="283" t="n"/>
      <c r="D226" s="283" t="n"/>
      <c r="E226" s="283" t="n"/>
      <c r="F226" s="283" t="n"/>
      <c r="G226" s="283" t="n"/>
      <c r="H226" s="283" t="n"/>
      <c r="I226" s="283" t="n"/>
      <c r="J226" s="283" t="n"/>
      <c r="K226" s="283" t="n"/>
      <c r="L226" s="283" t="n"/>
      <c r="M226" s="283" t="n"/>
      <c r="N226" s="380" t="n"/>
      <c r="O226" s="380" t="n"/>
      <c r="P226" s="283" t="n"/>
      <c r="Q226" s="283" t="n"/>
      <c r="R226" s="283" t="n"/>
      <c r="S226" s="283" t="n"/>
      <c r="T226" s="283" t="n"/>
      <c r="U226" s="283" t="n"/>
      <c r="V226" s="283" t="n"/>
      <c r="W226" s="283" t="n"/>
      <c r="X226" s="283" t="n"/>
      <c r="Y226" s="283" t="n"/>
      <c r="Z226" s="283" t="n"/>
    </row>
    <row r="227">
      <c r="A227" s="283" t="n"/>
      <c r="B227" s="283" t="n"/>
      <c r="C227" s="283" t="n"/>
      <c r="D227" s="283" t="n"/>
      <c r="E227" s="283" t="n"/>
      <c r="F227" s="283" t="n"/>
      <c r="G227" s="283" t="n"/>
      <c r="H227" s="283" t="n"/>
      <c r="I227" s="283" t="n"/>
      <c r="J227" s="283" t="n"/>
      <c r="K227" s="283" t="n"/>
      <c r="L227" s="283" t="n"/>
      <c r="M227" s="283" t="n"/>
      <c r="N227" s="380" t="n"/>
      <c r="O227" s="380" t="n"/>
      <c r="P227" s="283" t="n"/>
      <c r="Q227" s="283" t="n"/>
      <c r="R227" s="283" t="n"/>
      <c r="S227" s="283" t="n"/>
      <c r="T227" s="283" t="n"/>
      <c r="U227" s="283" t="n"/>
      <c r="V227" s="283" t="n"/>
      <c r="W227" s="283" t="n"/>
      <c r="X227" s="283" t="n"/>
      <c r="Y227" s="283" t="n"/>
      <c r="Z227" s="283" t="n"/>
    </row>
    <row r="228">
      <c r="A228" s="283" t="n"/>
      <c r="B228" s="283" t="n"/>
      <c r="C228" s="283" t="n"/>
      <c r="D228" s="283" t="n"/>
      <c r="E228" s="283" t="n"/>
      <c r="F228" s="283" t="n"/>
      <c r="G228" s="283" t="n"/>
      <c r="H228" s="283" t="n"/>
      <c r="I228" s="283" t="n"/>
      <c r="J228" s="283" t="n"/>
      <c r="K228" s="283" t="n"/>
      <c r="L228" s="283" t="n"/>
      <c r="M228" s="283" t="n"/>
      <c r="N228" s="380" t="n"/>
      <c r="O228" s="380" t="n"/>
      <c r="P228" s="283" t="n"/>
      <c r="Q228" s="283" t="n"/>
      <c r="R228" s="283" t="n"/>
      <c r="S228" s="283" t="n"/>
      <c r="T228" s="283" t="n"/>
      <c r="U228" s="283" t="n"/>
      <c r="V228" s="283" t="n"/>
      <c r="W228" s="283" t="n"/>
      <c r="X228" s="283" t="n"/>
      <c r="Y228" s="283" t="n"/>
      <c r="Z228" s="283" t="n"/>
    </row>
    <row r="229">
      <c r="A229" s="283" t="n"/>
      <c r="B229" s="283" t="n"/>
      <c r="C229" s="283" t="n"/>
      <c r="D229" s="283" t="n"/>
      <c r="E229" s="283" t="n"/>
      <c r="F229" s="283" t="n"/>
      <c r="G229" s="283" t="n"/>
      <c r="H229" s="283" t="n"/>
      <c r="I229" s="283" t="n"/>
      <c r="J229" s="283" t="n"/>
      <c r="K229" s="283" t="n"/>
      <c r="L229" s="283" t="n"/>
      <c r="M229" s="283" t="n"/>
      <c r="N229" s="380" t="n"/>
      <c r="O229" s="380" t="n"/>
      <c r="P229" s="283" t="n"/>
      <c r="Q229" s="283" t="n"/>
      <c r="R229" s="283" t="n"/>
      <c r="S229" s="283" t="n"/>
      <c r="T229" s="283" t="n"/>
      <c r="U229" s="283" t="n"/>
      <c r="V229" s="283" t="n"/>
      <c r="W229" s="283" t="n"/>
      <c r="X229" s="283" t="n"/>
      <c r="Y229" s="283" t="n"/>
      <c r="Z229" s="283" t="n"/>
    </row>
    <row r="230">
      <c r="A230" s="283" t="n"/>
      <c r="B230" s="283" t="n"/>
      <c r="C230" s="283" t="n"/>
      <c r="D230" s="283" t="n"/>
      <c r="E230" s="283" t="n"/>
      <c r="F230" s="283" t="n"/>
      <c r="G230" s="283" t="n"/>
      <c r="H230" s="283" t="n"/>
      <c r="I230" s="283" t="n"/>
      <c r="J230" s="283" t="n"/>
      <c r="K230" s="283" t="n"/>
      <c r="L230" s="283" t="n"/>
      <c r="M230" s="283" t="n"/>
      <c r="N230" s="380" t="n"/>
      <c r="O230" s="380" t="n"/>
      <c r="P230" s="283" t="n"/>
      <c r="Q230" s="283" t="n"/>
      <c r="R230" s="283" t="n"/>
      <c r="S230" s="283" t="n"/>
      <c r="T230" s="283" t="n"/>
      <c r="U230" s="283" t="n"/>
      <c r="V230" s="283" t="n"/>
      <c r="W230" s="283" t="n"/>
      <c r="X230" s="283" t="n"/>
      <c r="Y230" s="283" t="n"/>
      <c r="Z230" s="283" t="n"/>
    </row>
    <row r="231">
      <c r="A231" s="283" t="n"/>
      <c r="B231" s="283" t="n"/>
      <c r="C231" s="283" t="n"/>
      <c r="D231" s="283" t="n"/>
      <c r="E231" s="283" t="n"/>
      <c r="F231" s="283" t="n"/>
      <c r="G231" s="283" t="n"/>
      <c r="H231" s="283" t="n"/>
      <c r="I231" s="283" t="n"/>
      <c r="J231" s="283" t="n"/>
      <c r="K231" s="283" t="n"/>
      <c r="L231" s="283" t="n"/>
      <c r="M231" s="283" t="n"/>
      <c r="N231" s="380" t="n"/>
      <c r="O231" s="380" t="n"/>
      <c r="P231" s="283" t="n"/>
      <c r="Q231" s="283" t="n"/>
      <c r="R231" s="283" t="n"/>
      <c r="S231" s="283" t="n"/>
      <c r="T231" s="283" t="n"/>
      <c r="U231" s="283" t="n"/>
      <c r="V231" s="283" t="n"/>
      <c r="W231" s="283" t="n"/>
      <c r="X231" s="283" t="n"/>
      <c r="Y231" s="283" t="n"/>
      <c r="Z231" s="283" t="n"/>
    </row>
    <row r="232">
      <c r="A232" s="283" t="n"/>
      <c r="B232" s="283" t="n"/>
      <c r="C232" s="283" t="n"/>
      <c r="D232" s="283" t="n"/>
      <c r="E232" s="283" t="n"/>
      <c r="F232" s="283" t="n"/>
      <c r="G232" s="283" t="n"/>
      <c r="H232" s="283" t="n"/>
      <c r="I232" s="283" t="n"/>
      <c r="J232" s="283" t="n"/>
      <c r="K232" s="283" t="n"/>
      <c r="L232" s="283" t="n"/>
      <c r="M232" s="283" t="n"/>
      <c r="N232" s="380" t="n"/>
      <c r="O232" s="380" t="n"/>
      <c r="P232" s="283" t="n"/>
      <c r="Q232" s="283" t="n"/>
      <c r="R232" s="283" t="n"/>
      <c r="S232" s="283" t="n"/>
      <c r="T232" s="283" t="n"/>
      <c r="U232" s="283" t="n"/>
      <c r="V232" s="283" t="n"/>
      <c r="W232" s="283" t="n"/>
      <c r="X232" s="283" t="n"/>
      <c r="Y232" s="283" t="n"/>
      <c r="Z232" s="283" t="n"/>
    </row>
  </sheetData>
  <sheetProtection selectLockedCells="0" selectUnlockedCells="0" sheet="1" objects="1" insertRows="1" insertHyperlinks="1" autoFilter="1" scenarios="1" formatColumns="1" deleteColumns="1" insertColumns="1" pivotTables="1" deleteRows="1" formatCells="1" formatRows="1" sort="1"/>
  <mergeCells count="14">
    <mergeCell ref="A4:B4"/>
    <mergeCell ref="A2:F2"/>
    <mergeCell ref="A69:E69"/>
    <mergeCell ref="G1:H1"/>
    <mergeCell ref="G2:H3"/>
    <mergeCell ref="J2:J3"/>
    <mergeCell ref="A1:F1"/>
    <mergeCell ref="G4:M4"/>
    <mergeCell ref="M2:M3"/>
    <mergeCell ref="D4:E4"/>
    <mergeCell ref="I10:K12"/>
    <mergeCell ref="K2:K3"/>
    <mergeCell ref="I2:I3"/>
    <mergeCell ref="L2:L3"/>
  </mergeCells>
  <conditionalFormatting sqref="C71:C82">
    <cfRule type="expression" priority="1" dxfId="7">
      <formula>C71="Below Baseline"</formula>
    </cfRule>
  </conditionalFormatting>
  <conditionalFormatting sqref="D15:D19">
    <cfRule type="cellIs" priority="2" operator="equal" dxfId="9" stopIfTrue="1">
      <formula>0</formula>
    </cfRule>
    <cfRule type="dataBar" priority="3">
      <dataBar>
        <cfvo type="num" val="0"/>
        <cfvo type="formula" val="$B29"/>
        <color rgb="FFC8D8C4"/>
      </dataBar>
    </cfRule>
    <cfRule type="cellIs" priority="4" operator="lessThan" dxfId="8">
      <formula>0</formula>
    </cfRule>
  </conditionalFormatting>
  <conditionalFormatting sqref="D24:D31">
    <cfRule type="cellIs" priority="5" operator="equal" dxfId="9" stopIfTrue="1">
      <formula>0</formula>
    </cfRule>
    <cfRule type="dataBar" priority="6">
      <dataBar>
        <cfvo type="num" val="0"/>
        <cfvo type="formula" val="$B47"/>
        <color rgb="FFC8D8C4"/>
      </dataBar>
    </cfRule>
    <cfRule type="cellIs" priority="7" operator="lessThan" dxfId="8">
      <formula>0</formula>
    </cfRule>
  </conditionalFormatting>
  <conditionalFormatting sqref="D36:D43">
    <cfRule type="cellIs" priority="8" operator="equal" dxfId="9" stopIfTrue="1">
      <formula>0</formula>
    </cfRule>
    <cfRule type="dataBar" priority="9">
      <dataBar>
        <cfvo type="num" val="0"/>
        <cfvo type="formula" val="$B71"/>
        <color rgb="FFC8D8C4"/>
      </dataBar>
    </cfRule>
    <cfRule type="cellIs" priority="10" operator="lessThan" dxfId="8">
      <formula>0</formula>
    </cfRule>
  </conditionalFormatting>
  <conditionalFormatting sqref="D48:D52">
    <cfRule type="cellIs" priority="11" operator="equal" dxfId="9" stopIfTrue="1">
      <formula>0</formula>
    </cfRule>
    <cfRule type="dataBar" priority="12">
      <dataBar>
        <cfvo type="num" val="0"/>
        <cfvo type="formula" val="$B95"/>
        <color rgb="FFC8D8C4"/>
      </dataBar>
    </cfRule>
    <cfRule type="cellIs" priority="13" operator="lessThan" dxfId="8">
      <formula>0</formula>
    </cfRule>
  </conditionalFormatting>
  <conditionalFormatting sqref="D57:D60">
    <cfRule type="cellIs" priority="14" operator="equal" dxfId="9" stopIfTrue="1">
      <formula>0</formula>
    </cfRule>
    <cfRule type="dataBar" priority="15">
      <dataBar>
        <cfvo type="num" val="0"/>
        <cfvo type="formula" val="$B113"/>
        <color rgb="FFC8D8C4"/>
      </dataBar>
    </cfRule>
    <cfRule type="cellIs" priority="16" operator="lessThan" dxfId="8">
      <formula>0</formula>
    </cfRule>
  </conditionalFormatting>
  <dataValidations count="4">
    <dataValidation sqref="B8" showDropDown="0" showInputMessage="1" showErrorMessage="1" allowBlank="1" type="list">
      <formula1>CurrencyList</formula1>
    </dataValidation>
    <dataValidation sqref="B6" showDropDown="0" showInputMessage="1" showErrorMessage="1" allowBlank="1" type="list">
      <formula1>PayFrequencyList</formula1>
    </dataValidation>
    <dataValidation sqref="E15:E19 E24:E31 E36:E43 E48:E52 E57:E60" showDropDown="0" showInputMessage="1" showErrorMessage="1" allowBlank="1" type="list">
      <formula1>"✓,​"</formula1>
    </dataValidation>
    <dataValidation sqref="B5 B7" showDropDown="0" showInputMessage="1" showErrorMessage="1" allowBlank="1" errorTitle="That's not a valid date" error="Please type a real date using your Excel's normal date format (any date through 2030)." promptTitle="Type a date" prompt="Use your Excel's normal date format. Any date through 2030 works."/>
  </dataValidations>
  <pageMargins left="0.7" right="0.7" top="0.75" bottom="0.75" header="0.3" footer="0.3"/>
  <pageSetup orientation="landscape" scale="45"/>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00F5E3B3"/>
    <outlinePr summaryBelow="1" summaryRight="1"/>
    <pageSetUpPr/>
  </sheetPr>
  <dimension ref="A1:E304"/>
  <sheetViews>
    <sheetView showGridLines="0" workbookViewId="0">
      <pane ySplit="4" topLeftCell="A5" activePane="bottomLeft" state="frozen"/>
      <selection pane="bottomLeft" activeCell="A5" sqref="A5"/>
    </sheetView>
  </sheetViews>
  <sheetFormatPr baseColWidth="8" defaultRowHeight="15"/>
  <cols>
    <col width="14" customWidth="1" style="4" min="1" max="1"/>
    <col width="24" customWidth="1" style="4" min="2" max="2"/>
    <col width="14" customWidth="1" style="4" min="3" max="3"/>
    <col width="14" customWidth="1" style="4" min="4" max="4"/>
    <col width="40" customWidth="1" style="4" min="5" max="5"/>
  </cols>
  <sheetData>
    <row r="1" ht="46" customHeight="1" s="232">
      <c r="A1" s="274" t="inlineStr">
        <is>
          <t>Transactions Log</t>
        </is>
      </c>
      <c r="B1" s="250" t="n"/>
      <c r="C1" s="250" t="n"/>
      <c r="D1" s="250" t="n"/>
      <c r="E1" s="250" t="n"/>
    </row>
    <row r="2" ht="42" customHeight="1" s="232">
      <c r="A2" s="251" t="inlineStr">
        <is>
          <t>Add one line every time money comes in or goes out. Type fills in automatically once you choose a Category. Every other tab reads from this list, so you only ever type a number once.</t>
        </is>
      </c>
    </row>
    <row r="3">
      <c r="A3" s="285" t="n"/>
      <c r="B3" s="285" t="n"/>
      <c r="C3" s="285" t="n"/>
      <c r="D3" s="285" t="n"/>
      <c r="E3" s="285" t="n"/>
    </row>
    <row r="4">
      <c r="A4" s="395" t="inlineStr">
        <is>
          <t>Date</t>
        </is>
      </c>
      <c r="B4" s="395" t="inlineStr">
        <is>
          <t>Category</t>
        </is>
      </c>
      <c r="C4" s="395" t="inlineStr">
        <is>
          <t>Type</t>
        </is>
      </c>
      <c r="D4" s="395" t="inlineStr">
        <is>
          <t>Amount</t>
        </is>
      </c>
      <c r="E4" s="395" t="inlineStr">
        <is>
          <t>Notes</t>
        </is>
      </c>
    </row>
    <row r="5">
      <c r="A5" s="385" t="n"/>
      <c r="B5" s="396" t="n"/>
      <c r="C5" s="397" t="n"/>
      <c r="D5" s="330" t="n"/>
      <c r="E5" s="396" t="n"/>
    </row>
    <row r="6">
      <c r="A6" s="385" t="n"/>
      <c r="B6" s="396" t="n"/>
      <c r="C6" s="397">
        <f>IFERROR(INDEX(CategoryTypeList,MATCH(TransactionsLog[[#This Row],[Category]],CategoryList,0)),"")</f>
        <v/>
      </c>
      <c r="D6" s="330" t="n"/>
      <c r="E6" s="396" t="n"/>
    </row>
    <row r="7">
      <c r="A7" s="385" t="n"/>
      <c r="B7" s="396" t="n"/>
      <c r="C7" s="397">
        <f>IFERROR(INDEX(CategoryTypeList,MATCH(TransactionsLog[[#This Row],[Category]],CategoryList,0)),"")</f>
        <v/>
      </c>
      <c r="D7" s="330" t="n"/>
      <c r="E7" s="396" t="n"/>
    </row>
    <row r="8">
      <c r="A8" s="385" t="n"/>
      <c r="B8" s="396" t="n"/>
      <c r="C8" s="397">
        <f>IFERROR(INDEX(CategoryTypeList,MATCH(TransactionsLog[[#This Row],[Category]],CategoryList,0)),"")</f>
        <v/>
      </c>
      <c r="D8" s="330" t="n"/>
      <c r="E8" s="396" t="n"/>
    </row>
    <row r="9">
      <c r="A9" s="385" t="n"/>
      <c r="B9" s="396" t="n"/>
      <c r="C9" s="397">
        <f>IFERROR(INDEX(CategoryTypeList,MATCH(TransactionsLog[[#This Row],[Category]],CategoryList,0)),"")</f>
        <v/>
      </c>
      <c r="D9" s="330" t="n"/>
      <c r="E9" s="396" t="n"/>
    </row>
    <row r="10">
      <c r="A10" s="385" t="n"/>
      <c r="B10" s="396" t="n"/>
      <c r="C10" s="397">
        <f>IFERROR(INDEX(CategoryTypeList,MATCH(TransactionsLog[[#This Row],[Category]],CategoryList,0)),"")</f>
        <v/>
      </c>
      <c r="D10" s="330" t="n"/>
      <c r="E10" s="396" t="n"/>
    </row>
    <row r="11">
      <c r="A11" s="385" t="n"/>
      <c r="B11" s="396" t="n"/>
      <c r="C11" s="397">
        <f>IFERROR(INDEX(CategoryTypeList,MATCH(TransactionsLog[[#This Row],[Category]],CategoryList,0)),"")</f>
        <v/>
      </c>
      <c r="D11" s="330" t="n"/>
      <c r="E11" s="396" t="n"/>
    </row>
    <row r="12">
      <c r="A12" s="385" t="n"/>
      <c r="B12" s="396" t="n"/>
      <c r="C12" s="397">
        <f>IFERROR(INDEX(CategoryTypeList,MATCH(TransactionsLog[[#This Row],[Category]],CategoryList,0)),"")</f>
        <v/>
      </c>
      <c r="D12" s="330" t="n"/>
      <c r="E12" s="396" t="n"/>
    </row>
    <row r="13">
      <c r="A13" s="385" t="n"/>
      <c r="B13" s="396" t="n"/>
      <c r="C13" s="397">
        <f>IFERROR(INDEX(CategoryTypeList,MATCH(TransactionsLog[[#This Row],[Category]],CategoryList,0)),"")</f>
        <v/>
      </c>
      <c r="D13" s="330" t="n"/>
      <c r="E13" s="396" t="n"/>
    </row>
    <row r="14">
      <c r="A14" s="385" t="n"/>
      <c r="B14" s="396" t="n"/>
      <c r="C14" s="397">
        <f>IFERROR(INDEX(CategoryTypeList,MATCH(TransactionsLog[[#This Row],[Category]],CategoryList,0)),"")</f>
        <v/>
      </c>
      <c r="D14" s="330" t="n"/>
      <c r="E14" s="396" t="n"/>
    </row>
    <row r="15">
      <c r="A15" s="385" t="n"/>
      <c r="B15" s="396" t="n"/>
      <c r="C15" s="397">
        <f>IFERROR(INDEX(CategoryTypeList,MATCH(TransactionsLog[[#This Row],[Category]],CategoryList,0)),"")</f>
        <v/>
      </c>
      <c r="D15" s="330" t="n"/>
      <c r="E15" s="396" t="n"/>
    </row>
    <row r="16">
      <c r="A16" s="385" t="n"/>
      <c r="B16" s="396" t="n"/>
      <c r="C16" s="397">
        <f>IFERROR(INDEX(CategoryTypeList,MATCH(TransactionsLog[[#This Row],[Category]],CategoryList,0)),"")</f>
        <v/>
      </c>
      <c r="D16" s="330" t="n"/>
      <c r="E16" s="396" t="n"/>
    </row>
    <row r="17">
      <c r="A17" s="385" t="n"/>
      <c r="B17" s="396" t="n"/>
      <c r="C17" s="397">
        <f>IFERROR(INDEX(CategoryTypeList,MATCH(TransactionsLog[[#This Row],[Category]],CategoryList,0)),"")</f>
        <v/>
      </c>
      <c r="D17" s="330" t="n"/>
      <c r="E17" s="396" t="n"/>
    </row>
    <row r="18">
      <c r="A18" s="385" t="n"/>
      <c r="B18" s="396" t="n"/>
      <c r="C18" s="397">
        <f>IFERROR(INDEX(CategoryTypeList,MATCH(TransactionsLog[[#This Row],[Category]],CategoryList,0)),"")</f>
        <v/>
      </c>
      <c r="D18" s="330" t="n"/>
      <c r="E18" s="396" t="n"/>
    </row>
    <row r="19">
      <c r="A19" s="385" t="n"/>
      <c r="B19" s="396" t="n"/>
      <c r="C19" s="397">
        <f>IFERROR(INDEX(CategoryTypeList,MATCH(TransactionsLog[[#This Row],[Category]],CategoryList,0)),"")</f>
        <v/>
      </c>
      <c r="D19" s="330" t="n"/>
      <c r="E19" s="396" t="n"/>
    </row>
    <row r="20">
      <c r="A20" s="385" t="n"/>
      <c r="B20" s="396" t="n"/>
      <c r="C20" s="397">
        <f>IFERROR(INDEX(CategoryTypeList,MATCH(TransactionsLog[[#This Row],[Category]],CategoryList,0)),"")</f>
        <v/>
      </c>
      <c r="D20" s="330" t="n"/>
      <c r="E20" s="396" t="n"/>
    </row>
    <row r="21">
      <c r="A21" s="385" t="n"/>
      <c r="B21" s="396" t="n"/>
      <c r="C21" s="397">
        <f>IFERROR(INDEX(CategoryTypeList,MATCH(TransactionsLog[[#This Row],[Category]],CategoryList,0)),"")</f>
        <v/>
      </c>
      <c r="D21" s="330" t="n"/>
      <c r="E21" s="396" t="n"/>
    </row>
    <row r="22">
      <c r="A22" s="385" t="n"/>
      <c r="B22" s="396" t="n"/>
      <c r="C22" s="397">
        <f>IFERROR(INDEX(CategoryTypeList,MATCH(TransactionsLog[[#This Row],[Category]],CategoryList,0)),"")</f>
        <v/>
      </c>
      <c r="D22" s="330" t="n"/>
      <c r="E22" s="396" t="n"/>
    </row>
    <row r="23">
      <c r="A23" s="385" t="n"/>
      <c r="B23" s="396" t="n"/>
      <c r="C23" s="397">
        <f>IFERROR(INDEX(CategoryTypeList,MATCH(TransactionsLog[[#This Row],[Category]],CategoryList,0)),"")</f>
        <v/>
      </c>
      <c r="D23" s="330" t="n"/>
      <c r="E23" s="396" t="n"/>
    </row>
    <row r="24">
      <c r="A24" s="385" t="n"/>
      <c r="B24" s="396" t="n"/>
      <c r="C24" s="397">
        <f>IFERROR(INDEX(CategoryTypeList,MATCH(TransactionsLog[[#This Row],[Category]],CategoryList,0)),"")</f>
        <v/>
      </c>
      <c r="D24" s="330" t="n"/>
      <c r="E24" s="396" t="n"/>
    </row>
    <row r="25">
      <c r="A25" s="385" t="n"/>
      <c r="B25" s="396" t="n"/>
      <c r="C25" s="397">
        <f>IFERROR(INDEX(CategoryTypeList,MATCH(TransactionsLog[[#This Row],[Category]],CategoryList,0)),"")</f>
        <v/>
      </c>
      <c r="D25" s="330" t="n"/>
      <c r="E25" s="396" t="n"/>
    </row>
    <row r="26">
      <c r="A26" s="385" t="n"/>
      <c r="B26" s="396" t="n"/>
      <c r="C26" s="397">
        <f>IFERROR(INDEX(CategoryTypeList,MATCH(TransactionsLog[[#This Row],[Category]],CategoryList,0)),"")</f>
        <v/>
      </c>
      <c r="D26" s="330" t="n"/>
      <c r="E26" s="396" t="n"/>
    </row>
    <row r="27">
      <c r="A27" s="385" t="n"/>
      <c r="B27" s="396" t="n"/>
      <c r="C27" s="397">
        <f>IFERROR(INDEX(CategoryTypeList,MATCH(TransactionsLog[[#This Row],[Category]],CategoryList,0)),"")</f>
        <v/>
      </c>
      <c r="D27" s="330" t="n"/>
      <c r="E27" s="396" t="n"/>
    </row>
    <row r="28">
      <c r="A28" s="385" t="n"/>
      <c r="B28" s="396" t="n"/>
      <c r="C28" s="397">
        <f>IFERROR(INDEX(CategoryTypeList,MATCH(TransactionsLog[[#This Row],[Category]],CategoryList,0)),"")</f>
        <v/>
      </c>
      <c r="D28" s="330" t="n"/>
      <c r="E28" s="396" t="n"/>
    </row>
    <row r="29">
      <c r="A29" s="385" t="n"/>
      <c r="B29" s="396" t="n"/>
      <c r="C29" s="397">
        <f>IFERROR(INDEX(CategoryTypeList,MATCH(TransactionsLog[[#This Row],[Category]],CategoryList,0)),"")</f>
        <v/>
      </c>
      <c r="D29" s="330" t="n"/>
      <c r="E29" s="396" t="n"/>
    </row>
    <row r="30">
      <c r="A30" s="385" t="n"/>
      <c r="B30" s="396" t="n"/>
      <c r="C30" s="397">
        <f>IFERROR(INDEX(CategoryTypeList,MATCH(TransactionsLog[[#This Row],[Category]],CategoryList,0)),"")</f>
        <v/>
      </c>
      <c r="D30" s="330" t="n"/>
      <c r="E30" s="396" t="n"/>
    </row>
    <row r="31">
      <c r="A31" s="385" t="n"/>
      <c r="B31" s="396" t="n"/>
      <c r="C31" s="397">
        <f>IFERROR(INDEX(CategoryTypeList,MATCH(TransactionsLog[[#This Row],[Category]],CategoryList,0)),"")</f>
        <v/>
      </c>
      <c r="D31" s="330" t="n"/>
      <c r="E31" s="396" t="n"/>
    </row>
    <row r="32">
      <c r="A32" s="385" t="n"/>
      <c r="B32" s="396" t="n"/>
      <c r="C32" s="397">
        <f>IFERROR(INDEX(CategoryTypeList,MATCH(TransactionsLog[[#This Row],[Category]],CategoryList,0)),"")</f>
        <v/>
      </c>
      <c r="D32" s="330" t="n"/>
      <c r="E32" s="396" t="n"/>
    </row>
    <row r="33">
      <c r="A33" s="385" t="n"/>
      <c r="B33" s="396" t="n"/>
      <c r="C33" s="397">
        <f>IFERROR(INDEX(CategoryTypeList,MATCH(TransactionsLog[[#This Row],[Category]],CategoryList,0)),"")</f>
        <v/>
      </c>
      <c r="D33" s="330" t="n"/>
      <c r="E33" s="396" t="n"/>
    </row>
    <row r="34">
      <c r="A34" s="385" t="n"/>
      <c r="B34" s="396" t="n"/>
      <c r="C34" s="397">
        <f>IFERROR(INDEX(CategoryTypeList,MATCH(TransactionsLog[[#This Row],[Category]],CategoryList,0)),"")</f>
        <v/>
      </c>
      <c r="D34" s="330" t="n"/>
      <c r="E34" s="396" t="n"/>
    </row>
    <row r="35">
      <c r="A35" s="385" t="n"/>
      <c r="B35" s="396" t="n"/>
      <c r="C35" s="397">
        <f>IFERROR(INDEX(CategoryTypeList,MATCH(TransactionsLog[[#This Row],[Category]],CategoryList,0)),"")</f>
        <v/>
      </c>
      <c r="D35" s="330" t="n"/>
      <c r="E35" s="396" t="n"/>
    </row>
    <row r="36">
      <c r="A36" s="385" t="n"/>
      <c r="B36" s="396" t="n"/>
      <c r="C36" s="397">
        <f>IFERROR(INDEX(CategoryTypeList,MATCH(TransactionsLog[[#This Row],[Category]],CategoryList,0)),"")</f>
        <v/>
      </c>
      <c r="D36" s="330" t="n"/>
      <c r="E36" s="396" t="n"/>
    </row>
    <row r="37">
      <c r="A37" s="385" t="n"/>
      <c r="B37" s="396" t="n"/>
      <c r="C37" s="397">
        <f>IFERROR(INDEX(CategoryTypeList,MATCH(TransactionsLog[[#This Row],[Category]],CategoryList,0)),"")</f>
        <v/>
      </c>
      <c r="D37" s="330" t="n"/>
      <c r="E37" s="396" t="n"/>
    </row>
    <row r="38">
      <c r="A38" s="385" t="n"/>
      <c r="B38" s="396" t="n"/>
      <c r="C38" s="397">
        <f>IFERROR(INDEX(CategoryTypeList,MATCH(TransactionsLog[[#This Row],[Category]],CategoryList,0)),"")</f>
        <v/>
      </c>
      <c r="D38" s="330" t="n"/>
      <c r="E38" s="396" t="n"/>
    </row>
    <row r="39">
      <c r="A39" s="385" t="n"/>
      <c r="B39" s="396" t="n"/>
      <c r="C39" s="397">
        <f>IFERROR(INDEX(CategoryTypeList,MATCH(TransactionsLog[[#This Row],[Category]],CategoryList,0)),"")</f>
        <v/>
      </c>
      <c r="D39" s="330" t="n"/>
      <c r="E39" s="396" t="n"/>
    </row>
    <row r="40">
      <c r="A40" s="385" t="n"/>
      <c r="B40" s="396" t="n"/>
      <c r="C40" s="397">
        <f>IFERROR(INDEX(CategoryTypeList,MATCH(TransactionsLog[[#This Row],[Category]],CategoryList,0)),"")</f>
        <v/>
      </c>
      <c r="D40" s="330" t="n"/>
      <c r="E40" s="396" t="n"/>
    </row>
    <row r="41">
      <c r="A41" s="385" t="n"/>
      <c r="B41" s="396" t="n"/>
      <c r="C41" s="397">
        <f>IFERROR(INDEX(CategoryTypeList,MATCH(TransactionsLog[[#This Row],[Category]],CategoryList,0)),"")</f>
        <v/>
      </c>
      <c r="D41" s="330" t="n"/>
      <c r="E41" s="396" t="n"/>
    </row>
    <row r="42">
      <c r="A42" s="385" t="n"/>
      <c r="B42" s="396" t="n"/>
      <c r="C42" s="397">
        <f>IFERROR(INDEX(CategoryTypeList,MATCH(TransactionsLog[[#This Row],[Category]],CategoryList,0)),"")</f>
        <v/>
      </c>
      <c r="D42" s="330" t="n"/>
      <c r="E42" s="396" t="n"/>
    </row>
    <row r="43">
      <c r="A43" s="385" t="n"/>
      <c r="B43" s="396" t="n"/>
      <c r="C43" s="397">
        <f>IFERROR(INDEX(CategoryTypeList,MATCH(TransactionsLog[[#This Row],[Category]],CategoryList,0)),"")</f>
        <v/>
      </c>
      <c r="D43" s="330" t="n"/>
      <c r="E43" s="396" t="n"/>
    </row>
    <row r="44">
      <c r="A44" s="385" t="n"/>
      <c r="B44" s="396" t="n"/>
      <c r="C44" s="397">
        <f>IFERROR(INDEX(CategoryTypeList,MATCH(TransactionsLog[[#This Row],[Category]],CategoryList,0)),"")</f>
        <v/>
      </c>
      <c r="D44" s="330" t="n"/>
      <c r="E44" s="396" t="n"/>
    </row>
    <row r="45">
      <c r="A45" s="385" t="n"/>
      <c r="B45" s="396" t="n"/>
      <c r="C45" s="397">
        <f>IFERROR(INDEX(CategoryTypeList,MATCH(TransactionsLog[[#This Row],[Category]],CategoryList,0)),"")</f>
        <v/>
      </c>
      <c r="D45" s="330" t="n"/>
      <c r="E45" s="396" t="n"/>
    </row>
    <row r="46">
      <c r="A46" s="385" t="n"/>
      <c r="B46" s="396" t="n"/>
      <c r="C46" s="397">
        <f>IFERROR(INDEX(CategoryTypeList,MATCH(TransactionsLog[[#This Row],[Category]],CategoryList,0)),"")</f>
        <v/>
      </c>
      <c r="D46" s="330" t="n"/>
      <c r="E46" s="396" t="n"/>
    </row>
    <row r="47">
      <c r="A47" s="385" t="n"/>
      <c r="B47" s="396" t="n"/>
      <c r="C47" s="397">
        <f>IFERROR(INDEX(CategoryTypeList,MATCH(TransactionsLog[[#This Row],[Category]],CategoryList,0)),"")</f>
        <v/>
      </c>
      <c r="D47" s="330" t="n"/>
      <c r="E47" s="396" t="n"/>
    </row>
    <row r="48">
      <c r="A48" s="385" t="n"/>
      <c r="B48" s="396" t="n"/>
      <c r="C48" s="397">
        <f>IFERROR(INDEX(CategoryTypeList,MATCH(TransactionsLog[[#This Row],[Category]],CategoryList,0)),"")</f>
        <v/>
      </c>
      <c r="D48" s="330" t="n"/>
      <c r="E48" s="396" t="n"/>
    </row>
    <row r="49">
      <c r="A49" s="385" t="n"/>
      <c r="B49" s="396" t="n"/>
      <c r="C49" s="397">
        <f>IFERROR(INDEX(CategoryTypeList,MATCH(TransactionsLog[[#This Row],[Category]],CategoryList,0)),"")</f>
        <v/>
      </c>
      <c r="D49" s="330" t="n"/>
      <c r="E49" s="396" t="n"/>
    </row>
    <row r="50">
      <c r="A50" s="385" t="n"/>
      <c r="B50" s="396" t="n"/>
      <c r="C50" s="397">
        <f>IFERROR(INDEX(CategoryTypeList,MATCH(TransactionsLog[[#This Row],[Category]],CategoryList,0)),"")</f>
        <v/>
      </c>
      <c r="D50" s="330" t="n"/>
      <c r="E50" s="396" t="n"/>
    </row>
    <row r="51">
      <c r="A51" s="385" t="n"/>
      <c r="B51" s="396" t="n"/>
      <c r="C51" s="397">
        <f>IFERROR(INDEX(CategoryTypeList,MATCH(TransactionsLog[[#This Row],[Category]],CategoryList,0)),"")</f>
        <v/>
      </c>
      <c r="D51" s="330" t="n"/>
      <c r="E51" s="396" t="n"/>
    </row>
    <row r="52">
      <c r="A52" s="385" t="n"/>
      <c r="B52" s="396" t="n"/>
      <c r="C52" s="397">
        <f>IFERROR(INDEX(CategoryTypeList,MATCH(TransactionsLog[[#This Row],[Category]],CategoryList,0)),"")</f>
        <v/>
      </c>
      <c r="D52" s="330" t="n"/>
      <c r="E52" s="396" t="n"/>
    </row>
    <row r="53">
      <c r="A53" s="385" t="n"/>
      <c r="B53" s="396" t="n"/>
      <c r="C53" s="397">
        <f>IFERROR(INDEX(CategoryTypeList,MATCH(TransactionsLog[[#This Row],[Category]],CategoryList,0)),"")</f>
        <v/>
      </c>
      <c r="D53" s="330" t="n"/>
      <c r="E53" s="396" t="n"/>
    </row>
    <row r="54">
      <c r="A54" s="385" t="n"/>
      <c r="B54" s="396" t="n"/>
      <c r="C54" s="397">
        <f>IFERROR(INDEX(CategoryTypeList,MATCH(TransactionsLog[[#This Row],[Category]],CategoryList,0)),"")</f>
        <v/>
      </c>
      <c r="D54" s="330" t="n"/>
      <c r="E54" s="396" t="n"/>
    </row>
    <row r="55">
      <c r="A55" s="385" t="n"/>
      <c r="B55" s="396" t="n"/>
      <c r="C55" s="397">
        <f>IFERROR(INDEX(CategoryTypeList,MATCH(TransactionsLog[[#This Row],[Category]],CategoryList,0)),"")</f>
        <v/>
      </c>
      <c r="D55" s="330" t="n"/>
      <c r="E55" s="396" t="n"/>
    </row>
    <row r="56">
      <c r="A56" s="385" t="n"/>
      <c r="B56" s="396" t="n"/>
      <c r="C56" s="397">
        <f>IFERROR(INDEX(CategoryTypeList,MATCH(TransactionsLog[[#This Row],[Category]],CategoryList,0)),"")</f>
        <v/>
      </c>
      <c r="D56" s="330" t="n"/>
      <c r="E56" s="396" t="n"/>
    </row>
    <row r="57">
      <c r="A57" s="385" t="n"/>
      <c r="B57" s="396" t="n"/>
      <c r="C57" s="397">
        <f>IFERROR(INDEX(CategoryTypeList,MATCH(TransactionsLog[[#This Row],[Category]],CategoryList,0)),"")</f>
        <v/>
      </c>
      <c r="D57" s="330" t="n"/>
      <c r="E57" s="396" t="n"/>
    </row>
    <row r="58">
      <c r="A58" s="385" t="n"/>
      <c r="B58" s="396" t="n"/>
      <c r="C58" s="397">
        <f>IFERROR(INDEX(CategoryTypeList,MATCH(TransactionsLog[[#This Row],[Category]],CategoryList,0)),"")</f>
        <v/>
      </c>
      <c r="D58" s="330" t="n"/>
      <c r="E58" s="396" t="n"/>
    </row>
    <row r="59">
      <c r="A59" s="385" t="n"/>
      <c r="B59" s="396" t="n"/>
      <c r="C59" s="397">
        <f>IFERROR(INDEX(CategoryTypeList,MATCH(TransactionsLog[[#This Row],[Category]],CategoryList,0)),"")</f>
        <v/>
      </c>
      <c r="D59" s="330" t="n"/>
      <c r="E59" s="396" t="n"/>
    </row>
    <row r="60">
      <c r="A60" s="385" t="n"/>
      <c r="B60" s="396" t="n"/>
      <c r="C60" s="397">
        <f>IFERROR(INDEX(CategoryTypeList,MATCH(TransactionsLog[[#This Row],[Category]],CategoryList,0)),"")</f>
        <v/>
      </c>
      <c r="D60" s="330" t="n"/>
      <c r="E60" s="396" t="n"/>
    </row>
    <row r="61">
      <c r="A61" s="385" t="n"/>
      <c r="B61" s="396" t="n"/>
      <c r="C61" s="397">
        <f>IFERROR(INDEX(CategoryTypeList,MATCH(TransactionsLog[[#This Row],[Category]],CategoryList,0)),"")</f>
        <v/>
      </c>
      <c r="D61" s="330" t="n"/>
      <c r="E61" s="396" t="n"/>
    </row>
    <row r="62">
      <c r="A62" s="385" t="n"/>
      <c r="B62" s="396" t="n"/>
      <c r="C62" s="397">
        <f>IFERROR(INDEX(CategoryTypeList,MATCH(TransactionsLog[[#This Row],[Category]],CategoryList,0)),"")</f>
        <v/>
      </c>
      <c r="D62" s="330" t="n"/>
      <c r="E62" s="396" t="n"/>
    </row>
    <row r="63">
      <c r="A63" s="385" t="n"/>
      <c r="B63" s="396" t="n"/>
      <c r="C63" s="397">
        <f>IFERROR(INDEX(CategoryTypeList,MATCH(TransactionsLog[[#This Row],[Category]],CategoryList,0)),"")</f>
        <v/>
      </c>
      <c r="D63" s="330" t="n"/>
      <c r="E63" s="396" t="n"/>
    </row>
    <row r="64">
      <c r="A64" s="385" t="n"/>
      <c r="B64" s="396" t="n"/>
      <c r="C64" s="397">
        <f>IFERROR(INDEX(CategoryTypeList,MATCH(TransactionsLog[[#This Row],[Category]],CategoryList,0)),"")</f>
        <v/>
      </c>
      <c r="D64" s="330" t="n"/>
      <c r="E64" s="396" t="n"/>
    </row>
    <row r="65">
      <c r="A65" s="385" t="n"/>
      <c r="B65" s="396" t="n"/>
      <c r="C65" s="397">
        <f>IFERROR(INDEX(CategoryTypeList,MATCH(TransactionsLog[[#This Row],[Category]],CategoryList,0)),"")</f>
        <v/>
      </c>
      <c r="D65" s="330" t="n"/>
      <c r="E65" s="396" t="n"/>
    </row>
    <row r="66">
      <c r="A66" s="385" t="n"/>
      <c r="B66" s="396" t="n"/>
      <c r="C66" s="397">
        <f>IFERROR(INDEX(CategoryTypeList,MATCH(TransactionsLog[[#This Row],[Category]],CategoryList,0)),"")</f>
        <v/>
      </c>
      <c r="D66" s="330" t="n"/>
      <c r="E66" s="396" t="n"/>
    </row>
    <row r="67">
      <c r="A67" s="385" t="n"/>
      <c r="B67" s="396" t="n"/>
      <c r="C67" s="397">
        <f>IFERROR(INDEX(CategoryTypeList,MATCH(TransactionsLog[[#This Row],[Category]],CategoryList,0)),"")</f>
        <v/>
      </c>
      <c r="D67" s="330" t="n"/>
      <c r="E67" s="396" t="n"/>
    </row>
    <row r="68">
      <c r="A68" s="385" t="n"/>
      <c r="B68" s="396" t="n"/>
      <c r="C68" s="397">
        <f>IFERROR(INDEX(CategoryTypeList,MATCH(TransactionsLog[[#This Row],[Category]],CategoryList,0)),"")</f>
        <v/>
      </c>
      <c r="D68" s="330" t="n"/>
      <c r="E68" s="396" t="n"/>
    </row>
    <row r="69">
      <c r="A69" s="385" t="n"/>
      <c r="B69" s="396" t="n"/>
      <c r="C69" s="397">
        <f>IFERROR(INDEX(CategoryTypeList,MATCH(TransactionsLog[[#This Row],[Category]],CategoryList,0)),"")</f>
        <v/>
      </c>
      <c r="D69" s="330" t="n"/>
      <c r="E69" s="396" t="n"/>
    </row>
    <row r="70">
      <c r="A70" s="385" t="n"/>
      <c r="B70" s="396" t="n"/>
      <c r="C70" s="397">
        <f>IFERROR(INDEX(CategoryTypeList,MATCH(TransactionsLog[[#This Row],[Category]],CategoryList,0)),"")</f>
        <v/>
      </c>
      <c r="D70" s="330" t="n"/>
      <c r="E70" s="396" t="n"/>
    </row>
    <row r="71">
      <c r="A71" s="385" t="n"/>
      <c r="B71" s="396" t="n"/>
      <c r="C71" s="397">
        <f>IFERROR(INDEX(CategoryTypeList,MATCH(TransactionsLog[[#This Row],[Category]],CategoryList,0)),"")</f>
        <v/>
      </c>
      <c r="D71" s="330" t="n"/>
      <c r="E71" s="396" t="n"/>
    </row>
    <row r="72">
      <c r="A72" s="385" t="n"/>
      <c r="B72" s="396" t="n"/>
      <c r="C72" s="397">
        <f>IFERROR(INDEX(CategoryTypeList,MATCH(TransactionsLog[[#This Row],[Category]],CategoryList,0)),"")</f>
        <v/>
      </c>
      <c r="D72" s="330" t="n"/>
      <c r="E72" s="396" t="n"/>
    </row>
    <row r="73">
      <c r="A73" s="385" t="n"/>
      <c r="B73" s="396" t="n"/>
      <c r="C73" s="397">
        <f>IFERROR(INDEX(CategoryTypeList,MATCH(TransactionsLog[[#This Row],[Category]],CategoryList,0)),"")</f>
        <v/>
      </c>
      <c r="D73" s="330" t="n"/>
      <c r="E73" s="396" t="n"/>
    </row>
    <row r="74">
      <c r="A74" s="385" t="n"/>
      <c r="B74" s="396" t="n"/>
      <c r="C74" s="397">
        <f>IFERROR(INDEX(CategoryTypeList,MATCH(TransactionsLog[[#This Row],[Category]],CategoryList,0)),"")</f>
        <v/>
      </c>
      <c r="D74" s="330" t="n"/>
      <c r="E74" s="396" t="n"/>
    </row>
    <row r="75">
      <c r="A75" s="385" t="n"/>
      <c r="B75" s="396" t="n"/>
      <c r="C75" s="397">
        <f>IFERROR(INDEX(CategoryTypeList,MATCH(TransactionsLog[[#This Row],[Category]],CategoryList,0)),"")</f>
        <v/>
      </c>
      <c r="D75" s="330" t="n"/>
      <c r="E75" s="396" t="n"/>
    </row>
    <row r="76">
      <c r="A76" s="385" t="n"/>
      <c r="B76" s="396" t="n"/>
      <c r="C76" s="397">
        <f>IFERROR(INDEX(CategoryTypeList,MATCH(TransactionsLog[[#This Row],[Category]],CategoryList,0)),"")</f>
        <v/>
      </c>
      <c r="D76" s="330" t="n"/>
      <c r="E76" s="396" t="n"/>
    </row>
    <row r="77">
      <c r="A77" s="385" t="n"/>
      <c r="B77" s="396" t="n"/>
      <c r="C77" s="397">
        <f>IFERROR(INDEX(CategoryTypeList,MATCH(TransactionsLog[[#This Row],[Category]],CategoryList,0)),"")</f>
        <v/>
      </c>
      <c r="D77" s="330" t="n"/>
      <c r="E77" s="396" t="n"/>
    </row>
    <row r="78">
      <c r="A78" s="385" t="n"/>
      <c r="B78" s="396" t="n"/>
      <c r="C78" s="397">
        <f>IFERROR(INDEX(CategoryTypeList,MATCH(TransactionsLog[[#This Row],[Category]],CategoryList,0)),"")</f>
        <v/>
      </c>
      <c r="D78" s="330" t="n"/>
      <c r="E78" s="396" t="n"/>
    </row>
    <row r="79">
      <c r="A79" s="385" t="n"/>
      <c r="B79" s="396" t="n"/>
      <c r="C79" s="397">
        <f>IFERROR(INDEX(CategoryTypeList,MATCH(TransactionsLog[[#This Row],[Category]],CategoryList,0)),"")</f>
        <v/>
      </c>
      <c r="D79" s="330" t="n"/>
      <c r="E79" s="396" t="n"/>
    </row>
    <row r="80">
      <c r="A80" s="385" t="n"/>
      <c r="B80" s="396" t="n"/>
      <c r="C80" s="397">
        <f>IFERROR(INDEX(CategoryTypeList,MATCH(TransactionsLog[[#This Row],[Category]],CategoryList,0)),"")</f>
        <v/>
      </c>
      <c r="D80" s="330" t="n"/>
      <c r="E80" s="396" t="n"/>
    </row>
    <row r="81">
      <c r="A81" s="385" t="n"/>
      <c r="B81" s="396" t="n"/>
      <c r="C81" s="397">
        <f>IFERROR(INDEX(CategoryTypeList,MATCH(TransactionsLog[[#This Row],[Category]],CategoryList,0)),"")</f>
        <v/>
      </c>
      <c r="D81" s="330" t="n"/>
      <c r="E81" s="396" t="n"/>
    </row>
    <row r="82">
      <c r="A82" s="385" t="n"/>
      <c r="B82" s="396" t="n"/>
      <c r="C82" s="397">
        <f>IFERROR(INDEX(CategoryTypeList,MATCH(TransactionsLog[[#This Row],[Category]],CategoryList,0)),"")</f>
        <v/>
      </c>
      <c r="D82" s="330" t="n"/>
      <c r="E82" s="396" t="n"/>
    </row>
    <row r="83">
      <c r="A83" s="385" t="n"/>
      <c r="B83" s="396" t="n"/>
      <c r="C83" s="397">
        <f>IFERROR(INDEX(CategoryTypeList,MATCH(TransactionsLog[[#This Row],[Category]],CategoryList,0)),"")</f>
        <v/>
      </c>
      <c r="D83" s="330" t="n"/>
      <c r="E83" s="396" t="n"/>
    </row>
    <row r="84">
      <c r="A84" s="385" t="n"/>
      <c r="B84" s="396" t="n"/>
      <c r="C84" s="397">
        <f>IFERROR(INDEX(CategoryTypeList,MATCH(TransactionsLog[[#This Row],[Category]],CategoryList,0)),"")</f>
        <v/>
      </c>
      <c r="D84" s="330" t="n"/>
      <c r="E84" s="396" t="n"/>
    </row>
    <row r="85">
      <c r="A85" s="385" t="n"/>
      <c r="B85" s="396" t="n"/>
      <c r="C85" s="397">
        <f>IFERROR(INDEX(CategoryTypeList,MATCH(TransactionsLog[[#This Row],[Category]],CategoryList,0)),"")</f>
        <v/>
      </c>
      <c r="D85" s="330" t="n"/>
      <c r="E85" s="396" t="n"/>
    </row>
    <row r="86">
      <c r="A86" s="385" t="n"/>
      <c r="B86" s="396" t="n"/>
      <c r="C86" s="397">
        <f>IFERROR(INDEX(CategoryTypeList,MATCH(TransactionsLog[[#This Row],[Category]],CategoryList,0)),"")</f>
        <v/>
      </c>
      <c r="D86" s="330" t="n"/>
      <c r="E86" s="396" t="n"/>
    </row>
    <row r="87">
      <c r="A87" s="385" t="n"/>
      <c r="B87" s="396" t="n"/>
      <c r="C87" s="397">
        <f>IFERROR(INDEX(CategoryTypeList,MATCH(TransactionsLog[[#This Row],[Category]],CategoryList,0)),"")</f>
        <v/>
      </c>
      <c r="D87" s="330" t="n"/>
      <c r="E87" s="396" t="n"/>
    </row>
    <row r="88">
      <c r="A88" s="385" t="n"/>
      <c r="B88" s="396" t="n"/>
      <c r="C88" s="397">
        <f>IFERROR(INDEX(CategoryTypeList,MATCH(TransactionsLog[[#This Row],[Category]],CategoryList,0)),"")</f>
        <v/>
      </c>
      <c r="D88" s="330" t="n"/>
      <c r="E88" s="396" t="n"/>
    </row>
    <row r="89">
      <c r="A89" s="385" t="n"/>
      <c r="B89" s="396" t="n"/>
      <c r="C89" s="397">
        <f>IFERROR(INDEX(CategoryTypeList,MATCH(TransactionsLog[[#This Row],[Category]],CategoryList,0)),"")</f>
        <v/>
      </c>
      <c r="D89" s="330" t="n"/>
      <c r="E89" s="396" t="n"/>
    </row>
    <row r="90">
      <c r="A90" s="385" t="n"/>
      <c r="B90" s="396" t="n"/>
      <c r="C90" s="397">
        <f>IFERROR(INDEX(CategoryTypeList,MATCH(TransactionsLog[[#This Row],[Category]],CategoryList,0)),"")</f>
        <v/>
      </c>
      <c r="D90" s="330" t="n"/>
      <c r="E90" s="396" t="n"/>
    </row>
    <row r="91">
      <c r="A91" s="385" t="n"/>
      <c r="B91" s="396" t="n"/>
      <c r="C91" s="397">
        <f>IFERROR(INDEX(CategoryTypeList,MATCH(TransactionsLog[[#This Row],[Category]],CategoryList,0)),"")</f>
        <v/>
      </c>
      <c r="D91" s="330" t="n"/>
      <c r="E91" s="396" t="n"/>
    </row>
    <row r="92">
      <c r="A92" s="385" t="n"/>
      <c r="B92" s="396" t="n"/>
      <c r="C92" s="397">
        <f>IFERROR(INDEX(CategoryTypeList,MATCH(TransactionsLog[[#This Row],[Category]],CategoryList,0)),"")</f>
        <v/>
      </c>
      <c r="D92" s="330" t="n"/>
      <c r="E92" s="396" t="n"/>
    </row>
    <row r="93">
      <c r="A93" s="385" t="n"/>
      <c r="B93" s="396" t="n"/>
      <c r="C93" s="397">
        <f>IFERROR(INDEX(CategoryTypeList,MATCH(TransactionsLog[[#This Row],[Category]],CategoryList,0)),"")</f>
        <v/>
      </c>
      <c r="D93" s="330" t="n"/>
      <c r="E93" s="396" t="n"/>
    </row>
    <row r="94">
      <c r="A94" s="385" t="n"/>
      <c r="B94" s="396" t="n"/>
      <c r="C94" s="397">
        <f>IFERROR(INDEX(CategoryTypeList,MATCH(TransactionsLog[[#This Row],[Category]],CategoryList,0)),"")</f>
        <v/>
      </c>
      <c r="D94" s="330" t="n"/>
      <c r="E94" s="396" t="n"/>
    </row>
    <row r="95">
      <c r="A95" s="385" t="n"/>
      <c r="B95" s="396" t="n"/>
      <c r="C95" s="397">
        <f>IFERROR(INDEX(CategoryTypeList,MATCH(TransactionsLog[[#This Row],[Category]],CategoryList,0)),"")</f>
        <v/>
      </c>
      <c r="D95" s="330" t="n"/>
      <c r="E95" s="396" t="n"/>
    </row>
    <row r="96">
      <c r="A96" s="385" t="n"/>
      <c r="B96" s="396" t="n"/>
      <c r="C96" s="397">
        <f>IFERROR(INDEX(CategoryTypeList,MATCH(TransactionsLog[[#This Row],[Category]],CategoryList,0)),"")</f>
        <v/>
      </c>
      <c r="D96" s="330" t="n"/>
      <c r="E96" s="396" t="n"/>
    </row>
    <row r="97">
      <c r="A97" s="385" t="n"/>
      <c r="B97" s="396" t="n"/>
      <c r="C97" s="397">
        <f>IFERROR(INDEX(CategoryTypeList,MATCH(TransactionsLog[[#This Row],[Category]],CategoryList,0)),"")</f>
        <v/>
      </c>
      <c r="D97" s="330" t="n"/>
      <c r="E97" s="396" t="n"/>
    </row>
    <row r="98">
      <c r="A98" s="385" t="n"/>
      <c r="B98" s="396" t="n"/>
      <c r="C98" s="397">
        <f>IFERROR(INDEX(CategoryTypeList,MATCH(TransactionsLog[[#This Row],[Category]],CategoryList,0)),"")</f>
        <v/>
      </c>
      <c r="D98" s="330" t="n"/>
      <c r="E98" s="396" t="n"/>
    </row>
    <row r="99">
      <c r="A99" s="385" t="n"/>
      <c r="B99" s="396" t="n"/>
      <c r="C99" s="397">
        <f>IFERROR(INDEX(CategoryTypeList,MATCH(TransactionsLog[[#This Row],[Category]],CategoryList,0)),"")</f>
        <v/>
      </c>
      <c r="D99" s="330" t="n"/>
      <c r="E99" s="396" t="n"/>
    </row>
    <row r="100">
      <c r="A100" s="385" t="n"/>
      <c r="B100" s="396" t="n"/>
      <c r="C100" s="397">
        <f>IFERROR(INDEX(CategoryTypeList,MATCH(TransactionsLog[[#This Row],[Category]],CategoryList,0)),"")</f>
        <v/>
      </c>
      <c r="D100" s="330" t="n"/>
      <c r="E100" s="396" t="n"/>
    </row>
    <row r="101">
      <c r="A101" s="385" t="n"/>
      <c r="B101" s="396" t="n"/>
      <c r="C101" s="397">
        <f>IFERROR(INDEX(CategoryTypeList,MATCH(TransactionsLog[[#This Row],[Category]],CategoryList,0)),"")</f>
        <v/>
      </c>
      <c r="D101" s="330" t="n"/>
      <c r="E101" s="396" t="n"/>
    </row>
    <row r="102">
      <c r="A102" s="385" t="n"/>
      <c r="B102" s="396" t="n"/>
      <c r="C102" s="397">
        <f>IFERROR(INDEX(CategoryTypeList,MATCH(TransactionsLog[[#This Row],[Category]],CategoryList,0)),"")</f>
        <v/>
      </c>
      <c r="D102" s="330" t="n"/>
      <c r="E102" s="396" t="n"/>
    </row>
    <row r="103">
      <c r="A103" s="385" t="n"/>
      <c r="B103" s="396" t="n"/>
      <c r="C103" s="397">
        <f>IFERROR(INDEX(CategoryTypeList,MATCH(TransactionsLog[[#This Row],[Category]],CategoryList,0)),"")</f>
        <v/>
      </c>
      <c r="D103" s="330" t="n"/>
      <c r="E103" s="396" t="n"/>
    </row>
    <row r="104">
      <c r="A104" s="385" t="n"/>
      <c r="B104" s="396" t="n"/>
      <c r="C104" s="397">
        <f>IFERROR(INDEX(CategoryTypeList,MATCH(TransactionsLog[[#This Row],[Category]],CategoryList,0)),"")</f>
        <v/>
      </c>
      <c r="D104" s="330" t="n"/>
      <c r="E104" s="396" t="n"/>
    </row>
    <row r="105">
      <c r="A105" s="385" t="n"/>
      <c r="B105" s="396" t="n"/>
      <c r="C105" s="397">
        <f>IFERROR(INDEX(CategoryTypeList,MATCH(TransactionsLog[[#This Row],[Category]],CategoryList,0)),"")</f>
        <v/>
      </c>
      <c r="D105" s="330" t="n"/>
      <c r="E105" s="396" t="n"/>
    </row>
    <row r="106">
      <c r="A106" s="385" t="n"/>
      <c r="B106" s="396" t="n"/>
      <c r="C106" s="397">
        <f>IFERROR(INDEX(CategoryTypeList,MATCH(TransactionsLog[[#This Row],[Category]],CategoryList,0)),"")</f>
        <v/>
      </c>
      <c r="D106" s="330" t="n"/>
      <c r="E106" s="396" t="n"/>
    </row>
    <row r="107">
      <c r="A107" s="385" t="n"/>
      <c r="B107" s="396" t="n"/>
      <c r="C107" s="397">
        <f>IFERROR(INDEX(CategoryTypeList,MATCH(TransactionsLog[[#This Row],[Category]],CategoryList,0)),"")</f>
        <v/>
      </c>
      <c r="D107" s="330" t="n"/>
      <c r="E107" s="396" t="n"/>
    </row>
    <row r="108">
      <c r="A108" s="385" t="n"/>
      <c r="B108" s="396" t="n"/>
      <c r="C108" s="397">
        <f>IFERROR(INDEX(CategoryTypeList,MATCH(TransactionsLog[[#This Row],[Category]],CategoryList,0)),"")</f>
        <v/>
      </c>
      <c r="D108" s="330" t="n"/>
      <c r="E108" s="396" t="n"/>
    </row>
    <row r="109">
      <c r="A109" s="385" t="n"/>
      <c r="B109" s="396" t="n"/>
      <c r="C109" s="397">
        <f>IFERROR(INDEX(CategoryTypeList,MATCH(TransactionsLog[[#This Row],[Category]],CategoryList,0)),"")</f>
        <v/>
      </c>
      <c r="D109" s="330" t="n"/>
      <c r="E109" s="396" t="n"/>
    </row>
    <row r="110">
      <c r="A110" s="385" t="n"/>
      <c r="B110" s="396" t="n"/>
      <c r="C110" s="397">
        <f>IFERROR(INDEX(CategoryTypeList,MATCH(TransactionsLog[[#This Row],[Category]],CategoryList,0)),"")</f>
        <v/>
      </c>
      <c r="D110" s="330" t="n"/>
      <c r="E110" s="396" t="n"/>
    </row>
    <row r="111">
      <c r="A111" s="385" t="n"/>
      <c r="B111" s="396" t="n"/>
      <c r="C111" s="397">
        <f>IFERROR(INDEX(CategoryTypeList,MATCH(TransactionsLog[[#This Row],[Category]],CategoryList,0)),"")</f>
        <v/>
      </c>
      <c r="D111" s="330" t="n"/>
      <c r="E111" s="396" t="n"/>
    </row>
    <row r="112">
      <c r="A112" s="385" t="n"/>
      <c r="B112" s="396" t="n"/>
      <c r="C112" s="397">
        <f>IFERROR(INDEX(CategoryTypeList,MATCH(TransactionsLog[[#This Row],[Category]],CategoryList,0)),"")</f>
        <v/>
      </c>
      <c r="D112" s="330" t="n"/>
      <c r="E112" s="396" t="n"/>
    </row>
    <row r="113">
      <c r="A113" s="385" t="n"/>
      <c r="B113" s="396" t="n"/>
      <c r="C113" s="397">
        <f>IFERROR(INDEX(CategoryTypeList,MATCH(TransactionsLog[[#This Row],[Category]],CategoryList,0)),"")</f>
        <v/>
      </c>
      <c r="D113" s="330" t="n"/>
      <c r="E113" s="396" t="n"/>
    </row>
    <row r="114">
      <c r="A114" s="385" t="n"/>
      <c r="B114" s="396" t="n"/>
      <c r="C114" s="397">
        <f>IFERROR(INDEX(CategoryTypeList,MATCH(TransactionsLog[[#This Row],[Category]],CategoryList,0)),"")</f>
        <v/>
      </c>
      <c r="D114" s="330" t="n"/>
      <c r="E114" s="396" t="n"/>
    </row>
    <row r="115">
      <c r="A115" s="385" t="n"/>
      <c r="B115" s="396" t="n"/>
      <c r="C115" s="397">
        <f>IFERROR(INDEX(CategoryTypeList,MATCH(TransactionsLog[[#This Row],[Category]],CategoryList,0)),"")</f>
        <v/>
      </c>
      <c r="D115" s="330" t="n"/>
      <c r="E115" s="396" t="n"/>
    </row>
    <row r="116">
      <c r="A116" s="385" t="n"/>
      <c r="B116" s="396" t="n"/>
      <c r="C116" s="397">
        <f>IFERROR(INDEX(CategoryTypeList,MATCH(TransactionsLog[[#This Row],[Category]],CategoryList,0)),"")</f>
        <v/>
      </c>
      <c r="D116" s="330" t="n"/>
      <c r="E116" s="396" t="n"/>
    </row>
    <row r="117">
      <c r="A117" s="385" t="n"/>
      <c r="B117" s="396" t="n"/>
      <c r="C117" s="397">
        <f>IFERROR(INDEX(CategoryTypeList,MATCH(TransactionsLog[[#This Row],[Category]],CategoryList,0)),"")</f>
        <v/>
      </c>
      <c r="D117" s="330" t="n"/>
      <c r="E117" s="396" t="n"/>
    </row>
    <row r="118">
      <c r="A118" s="385" t="n"/>
      <c r="B118" s="396" t="n"/>
      <c r="C118" s="397">
        <f>IFERROR(INDEX(CategoryTypeList,MATCH(TransactionsLog[[#This Row],[Category]],CategoryList,0)),"")</f>
        <v/>
      </c>
      <c r="D118" s="330" t="n"/>
      <c r="E118" s="396" t="n"/>
    </row>
    <row r="119">
      <c r="A119" s="385" t="n"/>
      <c r="B119" s="396" t="n"/>
      <c r="C119" s="397">
        <f>IFERROR(INDEX(CategoryTypeList,MATCH(TransactionsLog[[#This Row],[Category]],CategoryList,0)),"")</f>
        <v/>
      </c>
      <c r="D119" s="330" t="n"/>
      <c r="E119" s="396" t="n"/>
    </row>
    <row r="120">
      <c r="A120" s="385" t="n"/>
      <c r="B120" s="396" t="n"/>
      <c r="C120" s="397">
        <f>IFERROR(INDEX(CategoryTypeList,MATCH(TransactionsLog[[#This Row],[Category]],CategoryList,0)),"")</f>
        <v/>
      </c>
      <c r="D120" s="330" t="n"/>
      <c r="E120" s="396" t="n"/>
    </row>
    <row r="121">
      <c r="A121" s="385" t="n"/>
      <c r="B121" s="396" t="n"/>
      <c r="C121" s="397">
        <f>IFERROR(INDEX(CategoryTypeList,MATCH(TransactionsLog[[#This Row],[Category]],CategoryList,0)),"")</f>
        <v/>
      </c>
      <c r="D121" s="330" t="n"/>
      <c r="E121" s="396" t="n"/>
    </row>
    <row r="122">
      <c r="A122" s="385" t="n"/>
      <c r="B122" s="396" t="n"/>
      <c r="C122" s="397">
        <f>IFERROR(INDEX(CategoryTypeList,MATCH(TransactionsLog[[#This Row],[Category]],CategoryList,0)),"")</f>
        <v/>
      </c>
      <c r="D122" s="330" t="n"/>
      <c r="E122" s="396" t="n"/>
    </row>
    <row r="123">
      <c r="A123" s="385" t="n"/>
      <c r="B123" s="396" t="n"/>
      <c r="C123" s="397">
        <f>IFERROR(INDEX(CategoryTypeList,MATCH(TransactionsLog[[#This Row],[Category]],CategoryList,0)),"")</f>
        <v/>
      </c>
      <c r="D123" s="330" t="n"/>
      <c r="E123" s="396" t="n"/>
    </row>
    <row r="124">
      <c r="A124" s="385" t="n"/>
      <c r="B124" s="396" t="n"/>
      <c r="C124" s="397">
        <f>IFERROR(INDEX(CategoryTypeList,MATCH(TransactionsLog[[#This Row],[Category]],CategoryList,0)),"")</f>
        <v/>
      </c>
      <c r="D124" s="330" t="n"/>
      <c r="E124" s="396" t="n"/>
    </row>
    <row r="125">
      <c r="A125" s="385" t="n"/>
      <c r="B125" s="396" t="n"/>
      <c r="C125" s="397">
        <f>IFERROR(INDEX(CategoryTypeList,MATCH(TransactionsLog[[#This Row],[Category]],CategoryList,0)),"")</f>
        <v/>
      </c>
      <c r="D125" s="330" t="n"/>
      <c r="E125" s="396" t="n"/>
    </row>
    <row r="126">
      <c r="A126" s="385" t="n"/>
      <c r="B126" s="396" t="n"/>
      <c r="C126" s="397">
        <f>IFERROR(INDEX(CategoryTypeList,MATCH(TransactionsLog[[#This Row],[Category]],CategoryList,0)),"")</f>
        <v/>
      </c>
      <c r="D126" s="330" t="n"/>
      <c r="E126" s="396" t="n"/>
    </row>
    <row r="127">
      <c r="A127" s="385" t="n"/>
      <c r="B127" s="396" t="n"/>
      <c r="C127" s="397">
        <f>IFERROR(INDEX(CategoryTypeList,MATCH(TransactionsLog[[#This Row],[Category]],CategoryList,0)),"")</f>
        <v/>
      </c>
      <c r="D127" s="330" t="n"/>
      <c r="E127" s="396" t="n"/>
    </row>
    <row r="128">
      <c r="A128" s="385" t="n"/>
      <c r="B128" s="396" t="n"/>
      <c r="C128" s="397">
        <f>IFERROR(INDEX(CategoryTypeList,MATCH(TransactionsLog[[#This Row],[Category]],CategoryList,0)),"")</f>
        <v/>
      </c>
      <c r="D128" s="330" t="n"/>
      <c r="E128" s="396" t="n"/>
    </row>
    <row r="129">
      <c r="A129" s="385" t="n"/>
      <c r="B129" s="396" t="n"/>
      <c r="C129" s="397">
        <f>IFERROR(INDEX(CategoryTypeList,MATCH(TransactionsLog[[#This Row],[Category]],CategoryList,0)),"")</f>
        <v/>
      </c>
      <c r="D129" s="330" t="n"/>
      <c r="E129" s="396" t="n"/>
    </row>
    <row r="130">
      <c r="A130" s="385" t="n"/>
      <c r="B130" s="396" t="n"/>
      <c r="C130" s="397">
        <f>IFERROR(INDEX(CategoryTypeList,MATCH(TransactionsLog[[#This Row],[Category]],CategoryList,0)),"")</f>
        <v/>
      </c>
      <c r="D130" s="330" t="n"/>
      <c r="E130" s="396" t="n"/>
    </row>
    <row r="131">
      <c r="A131" s="385" t="n"/>
      <c r="B131" s="396" t="n"/>
      <c r="C131" s="397">
        <f>IFERROR(INDEX(CategoryTypeList,MATCH(TransactionsLog[[#This Row],[Category]],CategoryList,0)),"")</f>
        <v/>
      </c>
      <c r="D131" s="330" t="n"/>
      <c r="E131" s="396" t="n"/>
    </row>
    <row r="132">
      <c r="A132" s="385" t="n"/>
      <c r="B132" s="396" t="n"/>
      <c r="C132" s="397">
        <f>IFERROR(INDEX(CategoryTypeList,MATCH(TransactionsLog[[#This Row],[Category]],CategoryList,0)),"")</f>
        <v/>
      </c>
      <c r="D132" s="330" t="n"/>
      <c r="E132" s="396" t="n"/>
    </row>
    <row r="133">
      <c r="A133" s="385" t="n"/>
      <c r="B133" s="396" t="n"/>
      <c r="C133" s="397">
        <f>IFERROR(INDEX(CategoryTypeList,MATCH(TransactionsLog[[#This Row],[Category]],CategoryList,0)),"")</f>
        <v/>
      </c>
      <c r="D133" s="330" t="n"/>
      <c r="E133" s="396" t="n"/>
    </row>
    <row r="134">
      <c r="A134" s="385" t="n"/>
      <c r="B134" s="396" t="n"/>
      <c r="C134" s="397">
        <f>IFERROR(INDEX(CategoryTypeList,MATCH(TransactionsLog[[#This Row],[Category]],CategoryList,0)),"")</f>
        <v/>
      </c>
      <c r="D134" s="330" t="n"/>
      <c r="E134" s="396" t="n"/>
    </row>
    <row r="135">
      <c r="A135" s="385" t="n"/>
      <c r="B135" s="396" t="n"/>
      <c r="C135" s="397">
        <f>IFERROR(INDEX(CategoryTypeList,MATCH(TransactionsLog[[#This Row],[Category]],CategoryList,0)),"")</f>
        <v/>
      </c>
      <c r="D135" s="330" t="n"/>
      <c r="E135" s="396" t="n"/>
    </row>
    <row r="136">
      <c r="A136" s="385" t="n"/>
      <c r="B136" s="396" t="n"/>
      <c r="C136" s="397">
        <f>IFERROR(INDEX(CategoryTypeList,MATCH(TransactionsLog[[#This Row],[Category]],CategoryList,0)),"")</f>
        <v/>
      </c>
      <c r="D136" s="330" t="n"/>
      <c r="E136" s="396" t="n"/>
    </row>
    <row r="137">
      <c r="A137" s="385" t="n"/>
      <c r="B137" s="396" t="n"/>
      <c r="C137" s="397">
        <f>IFERROR(INDEX(CategoryTypeList,MATCH(TransactionsLog[[#This Row],[Category]],CategoryList,0)),"")</f>
        <v/>
      </c>
      <c r="D137" s="330" t="n"/>
      <c r="E137" s="396" t="n"/>
    </row>
    <row r="138">
      <c r="A138" s="385" t="n"/>
      <c r="B138" s="396" t="n"/>
      <c r="C138" s="397">
        <f>IFERROR(INDEX(CategoryTypeList,MATCH(TransactionsLog[[#This Row],[Category]],CategoryList,0)),"")</f>
        <v/>
      </c>
      <c r="D138" s="330" t="n"/>
      <c r="E138" s="396" t="n"/>
    </row>
    <row r="139">
      <c r="A139" s="385" t="n"/>
      <c r="B139" s="396" t="n"/>
      <c r="C139" s="397">
        <f>IFERROR(INDEX(CategoryTypeList,MATCH(TransactionsLog[[#This Row],[Category]],CategoryList,0)),"")</f>
        <v/>
      </c>
      <c r="D139" s="330" t="n"/>
      <c r="E139" s="396" t="n"/>
    </row>
    <row r="140">
      <c r="A140" s="385" t="n"/>
      <c r="B140" s="396" t="n"/>
      <c r="C140" s="397">
        <f>IFERROR(INDEX(CategoryTypeList,MATCH(TransactionsLog[[#This Row],[Category]],CategoryList,0)),"")</f>
        <v/>
      </c>
      <c r="D140" s="330" t="n"/>
      <c r="E140" s="396" t="n"/>
    </row>
    <row r="141">
      <c r="A141" s="385" t="n"/>
      <c r="B141" s="396" t="n"/>
      <c r="C141" s="397">
        <f>IFERROR(INDEX(CategoryTypeList,MATCH(TransactionsLog[[#This Row],[Category]],CategoryList,0)),"")</f>
        <v/>
      </c>
      <c r="D141" s="330" t="n"/>
      <c r="E141" s="396" t="n"/>
    </row>
    <row r="142">
      <c r="A142" s="385" t="n"/>
      <c r="B142" s="396" t="n"/>
      <c r="C142" s="397">
        <f>IFERROR(INDEX(CategoryTypeList,MATCH(TransactionsLog[[#This Row],[Category]],CategoryList,0)),"")</f>
        <v/>
      </c>
      <c r="D142" s="330" t="n"/>
      <c r="E142" s="396" t="n"/>
    </row>
    <row r="143">
      <c r="A143" s="385" t="n"/>
      <c r="B143" s="396" t="n"/>
      <c r="C143" s="397">
        <f>IFERROR(INDEX(CategoryTypeList,MATCH(TransactionsLog[[#This Row],[Category]],CategoryList,0)),"")</f>
        <v/>
      </c>
      <c r="D143" s="330" t="n"/>
      <c r="E143" s="396" t="n"/>
    </row>
    <row r="144">
      <c r="A144" s="385" t="n"/>
      <c r="B144" s="396" t="n"/>
      <c r="C144" s="397">
        <f>IFERROR(INDEX(CategoryTypeList,MATCH(TransactionsLog[[#This Row],[Category]],CategoryList,0)),"")</f>
        <v/>
      </c>
      <c r="D144" s="330" t="n"/>
      <c r="E144" s="396" t="n"/>
    </row>
    <row r="145">
      <c r="A145" s="385" t="n"/>
      <c r="B145" s="396" t="n"/>
      <c r="C145" s="397">
        <f>IFERROR(INDEX(CategoryTypeList,MATCH(TransactionsLog[[#This Row],[Category]],CategoryList,0)),"")</f>
        <v/>
      </c>
      <c r="D145" s="330" t="n"/>
      <c r="E145" s="396" t="n"/>
    </row>
    <row r="146">
      <c r="A146" s="385" t="n"/>
      <c r="B146" s="396" t="n"/>
      <c r="C146" s="397">
        <f>IFERROR(INDEX(CategoryTypeList,MATCH(TransactionsLog[[#This Row],[Category]],CategoryList,0)),"")</f>
        <v/>
      </c>
      <c r="D146" s="330" t="n"/>
      <c r="E146" s="396" t="n"/>
    </row>
    <row r="147">
      <c r="A147" s="385" t="n"/>
      <c r="B147" s="396" t="n"/>
      <c r="C147" s="397">
        <f>IFERROR(INDEX(CategoryTypeList,MATCH(TransactionsLog[[#This Row],[Category]],CategoryList,0)),"")</f>
        <v/>
      </c>
      <c r="D147" s="330" t="n"/>
      <c r="E147" s="396" t="n"/>
    </row>
    <row r="148">
      <c r="A148" s="385" t="n"/>
      <c r="B148" s="396" t="n"/>
      <c r="C148" s="397">
        <f>IFERROR(INDEX(CategoryTypeList,MATCH(TransactionsLog[[#This Row],[Category]],CategoryList,0)),"")</f>
        <v/>
      </c>
      <c r="D148" s="330" t="n"/>
      <c r="E148" s="396" t="n"/>
    </row>
    <row r="149">
      <c r="A149" s="385" t="n"/>
      <c r="B149" s="396" t="n"/>
      <c r="C149" s="397">
        <f>IFERROR(INDEX(CategoryTypeList,MATCH(TransactionsLog[[#This Row],[Category]],CategoryList,0)),"")</f>
        <v/>
      </c>
      <c r="D149" s="330" t="n"/>
      <c r="E149" s="396" t="n"/>
    </row>
    <row r="150">
      <c r="A150" s="385" t="n"/>
      <c r="B150" s="396" t="n"/>
      <c r="C150" s="397">
        <f>IFERROR(INDEX(CategoryTypeList,MATCH(TransactionsLog[[#This Row],[Category]],CategoryList,0)),"")</f>
        <v/>
      </c>
      <c r="D150" s="330" t="n"/>
      <c r="E150" s="396" t="n"/>
    </row>
    <row r="151">
      <c r="A151" s="385" t="n"/>
      <c r="B151" s="396" t="n"/>
      <c r="C151" s="397">
        <f>IFERROR(INDEX(CategoryTypeList,MATCH(TransactionsLog[[#This Row],[Category]],CategoryList,0)),"")</f>
        <v/>
      </c>
      <c r="D151" s="330" t="n"/>
      <c r="E151" s="396" t="n"/>
    </row>
    <row r="152">
      <c r="A152" s="385" t="n"/>
      <c r="B152" s="396" t="n"/>
      <c r="C152" s="397">
        <f>IFERROR(INDEX(CategoryTypeList,MATCH(TransactionsLog[[#This Row],[Category]],CategoryList,0)),"")</f>
        <v/>
      </c>
      <c r="D152" s="330" t="n"/>
      <c r="E152" s="396" t="n"/>
    </row>
    <row r="153">
      <c r="A153" s="385" t="n"/>
      <c r="B153" s="396" t="n"/>
      <c r="C153" s="397">
        <f>IFERROR(INDEX(CategoryTypeList,MATCH(TransactionsLog[[#This Row],[Category]],CategoryList,0)),"")</f>
        <v/>
      </c>
      <c r="D153" s="330" t="n"/>
      <c r="E153" s="396" t="n"/>
    </row>
    <row r="154">
      <c r="A154" s="385" t="n"/>
      <c r="B154" s="396" t="n"/>
      <c r="C154" s="397">
        <f>IFERROR(INDEX(CategoryTypeList,MATCH(TransactionsLog[[#This Row],[Category]],CategoryList,0)),"")</f>
        <v/>
      </c>
      <c r="D154" s="330" t="n"/>
      <c r="E154" s="396" t="n"/>
    </row>
    <row r="155">
      <c r="A155" s="385" t="n"/>
      <c r="B155" s="396" t="n"/>
      <c r="C155" s="397">
        <f>IFERROR(INDEX(CategoryTypeList,MATCH(TransactionsLog[[#This Row],[Category]],CategoryList,0)),"")</f>
        <v/>
      </c>
      <c r="D155" s="330" t="n"/>
      <c r="E155" s="396" t="n"/>
    </row>
    <row r="156">
      <c r="A156" s="385" t="n"/>
      <c r="B156" s="396" t="n"/>
      <c r="C156" s="397">
        <f>IFERROR(INDEX(CategoryTypeList,MATCH(TransactionsLog[[#This Row],[Category]],CategoryList,0)),"")</f>
        <v/>
      </c>
      <c r="D156" s="330" t="n"/>
      <c r="E156" s="396" t="n"/>
    </row>
    <row r="157">
      <c r="A157" s="385" t="n"/>
      <c r="B157" s="396" t="n"/>
      <c r="C157" s="397">
        <f>IFERROR(INDEX(CategoryTypeList,MATCH(TransactionsLog[[#This Row],[Category]],CategoryList,0)),"")</f>
        <v/>
      </c>
      <c r="D157" s="330" t="n"/>
      <c r="E157" s="396" t="n"/>
    </row>
    <row r="158">
      <c r="A158" s="385" t="n"/>
      <c r="B158" s="396" t="n"/>
      <c r="C158" s="397">
        <f>IFERROR(INDEX(CategoryTypeList,MATCH(TransactionsLog[[#This Row],[Category]],CategoryList,0)),"")</f>
        <v/>
      </c>
      <c r="D158" s="330" t="n"/>
      <c r="E158" s="396" t="n"/>
    </row>
    <row r="159">
      <c r="A159" s="385" t="n"/>
      <c r="B159" s="396" t="n"/>
      <c r="C159" s="397">
        <f>IFERROR(INDEX(CategoryTypeList,MATCH(TransactionsLog[[#This Row],[Category]],CategoryList,0)),"")</f>
        <v/>
      </c>
      <c r="D159" s="330" t="n"/>
      <c r="E159" s="396" t="n"/>
    </row>
    <row r="160">
      <c r="A160" s="385" t="n"/>
      <c r="B160" s="396" t="n"/>
      <c r="C160" s="397">
        <f>IFERROR(INDEX(CategoryTypeList,MATCH(TransactionsLog[[#This Row],[Category]],CategoryList,0)),"")</f>
        <v/>
      </c>
      <c r="D160" s="330" t="n"/>
      <c r="E160" s="396" t="n"/>
    </row>
    <row r="161">
      <c r="A161" s="385" t="n"/>
      <c r="B161" s="396" t="n"/>
      <c r="C161" s="397">
        <f>IFERROR(INDEX(CategoryTypeList,MATCH(TransactionsLog[[#This Row],[Category]],CategoryList,0)),"")</f>
        <v/>
      </c>
      <c r="D161" s="330" t="n"/>
      <c r="E161" s="396" t="n"/>
    </row>
    <row r="162">
      <c r="A162" s="385" t="n"/>
      <c r="B162" s="396" t="n"/>
      <c r="C162" s="397">
        <f>IFERROR(INDEX(CategoryTypeList,MATCH(TransactionsLog[[#This Row],[Category]],CategoryList,0)),"")</f>
        <v/>
      </c>
      <c r="D162" s="330" t="n"/>
      <c r="E162" s="396" t="n"/>
    </row>
    <row r="163">
      <c r="A163" s="385" t="n"/>
      <c r="B163" s="396" t="n"/>
      <c r="C163" s="397">
        <f>IFERROR(INDEX(CategoryTypeList,MATCH(TransactionsLog[[#This Row],[Category]],CategoryList,0)),"")</f>
        <v/>
      </c>
      <c r="D163" s="330" t="n"/>
      <c r="E163" s="396" t="n"/>
    </row>
    <row r="164">
      <c r="A164" s="385" t="n"/>
      <c r="B164" s="396" t="n"/>
      <c r="C164" s="397">
        <f>IFERROR(INDEX(CategoryTypeList,MATCH(TransactionsLog[[#This Row],[Category]],CategoryList,0)),"")</f>
        <v/>
      </c>
      <c r="D164" s="330" t="n"/>
      <c r="E164" s="396" t="n"/>
    </row>
    <row r="165">
      <c r="A165" s="385" t="n"/>
      <c r="B165" s="396" t="n"/>
      <c r="C165" s="397">
        <f>IFERROR(INDEX(CategoryTypeList,MATCH(TransactionsLog[[#This Row],[Category]],CategoryList,0)),"")</f>
        <v/>
      </c>
      <c r="D165" s="330" t="n"/>
      <c r="E165" s="396" t="n"/>
    </row>
    <row r="166">
      <c r="A166" s="385" t="n"/>
      <c r="B166" s="396" t="n"/>
      <c r="C166" s="397">
        <f>IFERROR(INDEX(CategoryTypeList,MATCH(TransactionsLog[[#This Row],[Category]],CategoryList,0)),"")</f>
        <v/>
      </c>
      <c r="D166" s="330" t="n"/>
      <c r="E166" s="396" t="n"/>
    </row>
    <row r="167">
      <c r="A167" s="385" t="n"/>
      <c r="B167" s="396" t="n"/>
      <c r="C167" s="397">
        <f>IFERROR(INDEX(CategoryTypeList,MATCH(TransactionsLog[[#This Row],[Category]],CategoryList,0)),"")</f>
        <v/>
      </c>
      <c r="D167" s="330" t="n"/>
      <c r="E167" s="396" t="n"/>
    </row>
    <row r="168">
      <c r="A168" s="385" t="n"/>
      <c r="B168" s="396" t="n"/>
      <c r="C168" s="397">
        <f>IFERROR(INDEX(CategoryTypeList,MATCH(TransactionsLog[[#This Row],[Category]],CategoryList,0)),"")</f>
        <v/>
      </c>
      <c r="D168" s="330" t="n"/>
      <c r="E168" s="396" t="n"/>
    </row>
    <row r="169">
      <c r="A169" s="385" t="n"/>
      <c r="B169" s="396" t="n"/>
      <c r="C169" s="397">
        <f>IFERROR(INDEX(CategoryTypeList,MATCH(TransactionsLog[[#This Row],[Category]],CategoryList,0)),"")</f>
        <v/>
      </c>
      <c r="D169" s="330" t="n"/>
      <c r="E169" s="396" t="n"/>
    </row>
    <row r="170">
      <c r="A170" s="385" t="n"/>
      <c r="B170" s="396" t="n"/>
      <c r="C170" s="397">
        <f>IFERROR(INDEX(CategoryTypeList,MATCH(TransactionsLog[[#This Row],[Category]],CategoryList,0)),"")</f>
        <v/>
      </c>
      <c r="D170" s="330" t="n"/>
      <c r="E170" s="396" t="n"/>
    </row>
    <row r="171">
      <c r="A171" s="385" t="n"/>
      <c r="B171" s="396" t="n"/>
      <c r="C171" s="397">
        <f>IFERROR(INDEX(CategoryTypeList,MATCH(TransactionsLog[[#This Row],[Category]],CategoryList,0)),"")</f>
        <v/>
      </c>
      <c r="D171" s="330" t="n"/>
      <c r="E171" s="396" t="n"/>
    </row>
    <row r="172">
      <c r="A172" s="385" t="n"/>
      <c r="B172" s="396" t="n"/>
      <c r="C172" s="397">
        <f>IFERROR(INDEX(CategoryTypeList,MATCH(TransactionsLog[[#This Row],[Category]],CategoryList,0)),"")</f>
        <v/>
      </c>
      <c r="D172" s="330" t="n"/>
      <c r="E172" s="396" t="n"/>
    </row>
    <row r="173">
      <c r="A173" s="385" t="n"/>
      <c r="B173" s="396" t="n"/>
      <c r="C173" s="397">
        <f>IFERROR(INDEX(CategoryTypeList,MATCH(TransactionsLog[[#This Row],[Category]],CategoryList,0)),"")</f>
        <v/>
      </c>
      <c r="D173" s="330" t="n"/>
      <c r="E173" s="396" t="n"/>
    </row>
    <row r="174">
      <c r="A174" s="385" t="n"/>
      <c r="B174" s="396" t="n"/>
      <c r="C174" s="397">
        <f>IFERROR(INDEX(CategoryTypeList,MATCH(TransactionsLog[[#This Row],[Category]],CategoryList,0)),"")</f>
        <v/>
      </c>
      <c r="D174" s="330" t="n"/>
      <c r="E174" s="396" t="n"/>
    </row>
    <row r="175">
      <c r="A175" s="385" t="n"/>
      <c r="B175" s="396" t="n"/>
      <c r="C175" s="397">
        <f>IFERROR(INDEX(CategoryTypeList,MATCH(TransactionsLog[[#This Row],[Category]],CategoryList,0)),"")</f>
        <v/>
      </c>
      <c r="D175" s="330" t="n"/>
      <c r="E175" s="396" t="n"/>
    </row>
    <row r="176">
      <c r="A176" s="385" t="n"/>
      <c r="B176" s="396" t="n"/>
      <c r="C176" s="397">
        <f>IFERROR(INDEX(CategoryTypeList,MATCH(TransactionsLog[[#This Row],[Category]],CategoryList,0)),"")</f>
        <v/>
      </c>
      <c r="D176" s="330" t="n"/>
      <c r="E176" s="396" t="n"/>
    </row>
    <row r="177">
      <c r="A177" s="385" t="n"/>
      <c r="B177" s="396" t="n"/>
      <c r="C177" s="397">
        <f>IFERROR(INDEX(CategoryTypeList,MATCH(TransactionsLog[[#This Row],[Category]],CategoryList,0)),"")</f>
        <v/>
      </c>
      <c r="D177" s="330" t="n"/>
      <c r="E177" s="396" t="n"/>
    </row>
    <row r="178">
      <c r="A178" s="385" t="n"/>
      <c r="B178" s="396" t="n"/>
      <c r="C178" s="397">
        <f>IFERROR(INDEX(CategoryTypeList,MATCH(TransactionsLog[[#This Row],[Category]],CategoryList,0)),"")</f>
        <v/>
      </c>
      <c r="D178" s="330" t="n"/>
      <c r="E178" s="396" t="n"/>
    </row>
    <row r="179">
      <c r="A179" s="385" t="n"/>
      <c r="B179" s="396" t="n"/>
      <c r="C179" s="397">
        <f>IFERROR(INDEX(CategoryTypeList,MATCH(TransactionsLog[[#This Row],[Category]],CategoryList,0)),"")</f>
        <v/>
      </c>
      <c r="D179" s="330" t="n"/>
      <c r="E179" s="396" t="n"/>
    </row>
    <row r="180">
      <c r="A180" s="385" t="n"/>
      <c r="B180" s="396" t="n"/>
      <c r="C180" s="397">
        <f>IFERROR(INDEX(CategoryTypeList,MATCH(TransactionsLog[[#This Row],[Category]],CategoryList,0)),"")</f>
        <v/>
      </c>
      <c r="D180" s="330" t="n"/>
      <c r="E180" s="396" t="n"/>
    </row>
    <row r="181">
      <c r="A181" s="385" t="n"/>
      <c r="B181" s="396" t="n"/>
      <c r="C181" s="397">
        <f>IFERROR(INDEX(CategoryTypeList,MATCH(TransactionsLog[[#This Row],[Category]],CategoryList,0)),"")</f>
        <v/>
      </c>
      <c r="D181" s="330" t="n"/>
      <c r="E181" s="396" t="n"/>
    </row>
    <row r="182">
      <c r="A182" s="385" t="n"/>
      <c r="B182" s="396" t="n"/>
      <c r="C182" s="397">
        <f>IFERROR(INDEX(CategoryTypeList,MATCH(TransactionsLog[[#This Row],[Category]],CategoryList,0)),"")</f>
        <v/>
      </c>
      <c r="D182" s="330" t="n"/>
      <c r="E182" s="396" t="n"/>
    </row>
    <row r="183">
      <c r="A183" s="385" t="n"/>
      <c r="B183" s="396" t="n"/>
      <c r="C183" s="397">
        <f>IFERROR(INDEX(CategoryTypeList,MATCH(TransactionsLog[[#This Row],[Category]],CategoryList,0)),"")</f>
        <v/>
      </c>
      <c r="D183" s="330" t="n"/>
      <c r="E183" s="396" t="n"/>
    </row>
    <row r="184">
      <c r="A184" s="385" t="n"/>
      <c r="B184" s="396" t="n"/>
      <c r="C184" s="397">
        <f>IFERROR(INDEX(CategoryTypeList,MATCH(TransactionsLog[[#This Row],[Category]],CategoryList,0)),"")</f>
        <v/>
      </c>
      <c r="D184" s="330" t="n"/>
      <c r="E184" s="396" t="n"/>
    </row>
    <row r="185">
      <c r="A185" s="385" t="n"/>
      <c r="B185" s="396" t="n"/>
      <c r="C185" s="397">
        <f>IFERROR(INDEX(CategoryTypeList,MATCH(TransactionsLog[[#This Row],[Category]],CategoryList,0)),"")</f>
        <v/>
      </c>
      <c r="D185" s="330" t="n"/>
      <c r="E185" s="396" t="n"/>
    </row>
    <row r="186">
      <c r="A186" s="385" t="n"/>
      <c r="B186" s="396" t="n"/>
      <c r="C186" s="397">
        <f>IFERROR(INDEX(CategoryTypeList,MATCH(TransactionsLog[[#This Row],[Category]],CategoryList,0)),"")</f>
        <v/>
      </c>
      <c r="D186" s="330" t="n"/>
      <c r="E186" s="396" t="n"/>
    </row>
    <row r="187">
      <c r="A187" s="385" t="n"/>
      <c r="B187" s="396" t="n"/>
      <c r="C187" s="397">
        <f>IFERROR(INDEX(CategoryTypeList,MATCH(TransactionsLog[[#This Row],[Category]],CategoryList,0)),"")</f>
        <v/>
      </c>
      <c r="D187" s="330" t="n"/>
      <c r="E187" s="396" t="n"/>
    </row>
    <row r="188">
      <c r="A188" s="385" t="n"/>
      <c r="B188" s="396" t="n"/>
      <c r="C188" s="397">
        <f>IFERROR(INDEX(CategoryTypeList,MATCH(TransactionsLog[[#This Row],[Category]],CategoryList,0)),"")</f>
        <v/>
      </c>
      <c r="D188" s="330" t="n"/>
      <c r="E188" s="396" t="n"/>
    </row>
    <row r="189">
      <c r="A189" s="385" t="n"/>
      <c r="B189" s="396" t="n"/>
      <c r="C189" s="397">
        <f>IFERROR(INDEX(CategoryTypeList,MATCH(TransactionsLog[[#This Row],[Category]],CategoryList,0)),"")</f>
        <v/>
      </c>
      <c r="D189" s="330" t="n"/>
      <c r="E189" s="396" t="n"/>
    </row>
    <row r="190">
      <c r="A190" s="385" t="n"/>
      <c r="B190" s="396" t="n"/>
      <c r="C190" s="397">
        <f>IFERROR(INDEX(CategoryTypeList,MATCH(TransactionsLog[[#This Row],[Category]],CategoryList,0)),"")</f>
        <v/>
      </c>
      <c r="D190" s="330" t="n"/>
      <c r="E190" s="396" t="n"/>
    </row>
    <row r="191">
      <c r="A191" s="385" t="n"/>
      <c r="B191" s="396" t="n"/>
      <c r="C191" s="397">
        <f>IFERROR(INDEX(CategoryTypeList,MATCH(TransactionsLog[[#This Row],[Category]],CategoryList,0)),"")</f>
        <v/>
      </c>
      <c r="D191" s="330" t="n"/>
      <c r="E191" s="396" t="n"/>
    </row>
    <row r="192">
      <c r="A192" s="385" t="n"/>
      <c r="B192" s="396" t="n"/>
      <c r="C192" s="397">
        <f>IFERROR(INDEX(CategoryTypeList,MATCH(TransactionsLog[[#This Row],[Category]],CategoryList,0)),"")</f>
        <v/>
      </c>
      <c r="D192" s="330" t="n"/>
      <c r="E192" s="396" t="n"/>
    </row>
    <row r="193">
      <c r="A193" s="385" t="n"/>
      <c r="B193" s="396" t="n"/>
      <c r="C193" s="397">
        <f>IFERROR(INDEX(CategoryTypeList,MATCH(TransactionsLog[[#This Row],[Category]],CategoryList,0)),"")</f>
        <v/>
      </c>
      <c r="D193" s="330" t="n"/>
      <c r="E193" s="396" t="n"/>
    </row>
    <row r="194">
      <c r="A194" s="385" t="n"/>
      <c r="B194" s="396" t="n"/>
      <c r="C194" s="397">
        <f>IFERROR(INDEX(CategoryTypeList,MATCH(TransactionsLog[[#This Row],[Category]],CategoryList,0)),"")</f>
        <v/>
      </c>
      <c r="D194" s="330" t="n"/>
      <c r="E194" s="396" t="n"/>
    </row>
    <row r="195">
      <c r="A195" s="385" t="n"/>
      <c r="B195" s="396" t="n"/>
      <c r="C195" s="397">
        <f>IFERROR(INDEX(CategoryTypeList,MATCH(TransactionsLog[[#This Row],[Category]],CategoryList,0)),"")</f>
        <v/>
      </c>
      <c r="D195" s="330" t="n"/>
      <c r="E195" s="396" t="n"/>
    </row>
    <row r="196">
      <c r="A196" s="385" t="n"/>
      <c r="B196" s="396" t="n"/>
      <c r="C196" s="397">
        <f>IFERROR(INDEX(CategoryTypeList,MATCH(TransactionsLog[[#This Row],[Category]],CategoryList,0)),"")</f>
        <v/>
      </c>
      <c r="D196" s="330" t="n"/>
      <c r="E196" s="396" t="n"/>
    </row>
    <row r="197">
      <c r="A197" s="385" t="n"/>
      <c r="B197" s="396" t="n"/>
      <c r="C197" s="397">
        <f>IFERROR(INDEX(CategoryTypeList,MATCH(TransactionsLog[[#This Row],[Category]],CategoryList,0)),"")</f>
        <v/>
      </c>
      <c r="D197" s="330" t="n"/>
      <c r="E197" s="396" t="n"/>
    </row>
    <row r="198">
      <c r="A198" s="385" t="n"/>
      <c r="B198" s="396" t="n"/>
      <c r="C198" s="397">
        <f>IFERROR(INDEX(CategoryTypeList,MATCH(TransactionsLog[[#This Row],[Category]],CategoryList,0)),"")</f>
        <v/>
      </c>
      <c r="D198" s="330" t="n"/>
      <c r="E198" s="396" t="n"/>
    </row>
    <row r="199">
      <c r="A199" s="385" t="n"/>
      <c r="B199" s="396" t="n"/>
      <c r="C199" s="397">
        <f>IFERROR(INDEX(CategoryTypeList,MATCH(TransactionsLog[[#This Row],[Category]],CategoryList,0)),"")</f>
        <v/>
      </c>
      <c r="D199" s="330" t="n"/>
      <c r="E199" s="396" t="n"/>
    </row>
    <row r="200">
      <c r="A200" s="385" t="n"/>
      <c r="B200" s="396" t="n"/>
      <c r="C200" s="397">
        <f>IFERROR(INDEX(CategoryTypeList,MATCH(TransactionsLog[[#This Row],[Category]],CategoryList,0)),"")</f>
        <v/>
      </c>
      <c r="D200" s="330" t="n"/>
      <c r="E200" s="396" t="n"/>
    </row>
    <row r="201">
      <c r="A201" s="385" t="n"/>
      <c r="B201" s="396" t="n"/>
      <c r="C201" s="397">
        <f>IFERROR(INDEX(CategoryTypeList,MATCH(TransactionsLog[[#This Row],[Category]],CategoryList,0)),"")</f>
        <v/>
      </c>
      <c r="D201" s="330" t="n"/>
      <c r="E201" s="396" t="n"/>
    </row>
    <row r="202">
      <c r="A202" s="385" t="n"/>
      <c r="B202" s="396" t="n"/>
      <c r="C202" s="397">
        <f>IFERROR(INDEX(CategoryTypeList,MATCH(TransactionsLog[[#This Row],[Category]],CategoryList,0)),"")</f>
        <v/>
      </c>
      <c r="D202" s="330" t="n"/>
      <c r="E202" s="396" t="n"/>
    </row>
    <row r="203">
      <c r="A203" s="385" t="n"/>
      <c r="B203" s="396" t="n"/>
      <c r="C203" s="397">
        <f>IFERROR(INDEX(CategoryTypeList,MATCH(TransactionsLog[[#This Row],[Category]],CategoryList,0)),"")</f>
        <v/>
      </c>
      <c r="D203" s="330" t="n"/>
      <c r="E203" s="396" t="n"/>
    </row>
    <row r="204">
      <c r="A204" s="385" t="n"/>
      <c r="B204" s="396" t="n"/>
      <c r="C204" s="397">
        <f>IFERROR(INDEX(CategoryTypeList,MATCH(TransactionsLog[[#This Row],[Category]],CategoryList,0)),"")</f>
        <v/>
      </c>
      <c r="D204" s="330" t="n"/>
      <c r="E204" s="396" t="n"/>
    </row>
    <row r="205">
      <c r="A205" s="385" t="n"/>
      <c r="B205" s="396" t="n"/>
      <c r="C205" s="397">
        <f>IFERROR(INDEX(CategoryTypeList,MATCH(TransactionsLog[[#This Row],[Category]],CategoryList,0)),"")</f>
        <v/>
      </c>
      <c r="D205" s="330" t="n"/>
      <c r="E205" s="396" t="n"/>
    </row>
    <row r="206">
      <c r="A206" s="385" t="n"/>
      <c r="B206" s="396" t="n"/>
      <c r="C206" s="397">
        <f>IFERROR(INDEX(CategoryTypeList,MATCH(TransactionsLog[[#This Row],[Category]],CategoryList,0)),"")</f>
        <v/>
      </c>
      <c r="D206" s="330" t="n"/>
      <c r="E206" s="396" t="n"/>
    </row>
    <row r="207">
      <c r="A207" s="385" t="n"/>
      <c r="B207" s="396" t="n"/>
      <c r="C207" s="397">
        <f>IFERROR(INDEX(CategoryTypeList,MATCH(TransactionsLog[[#This Row],[Category]],CategoryList,0)),"")</f>
        <v/>
      </c>
      <c r="D207" s="330" t="n"/>
      <c r="E207" s="396" t="n"/>
    </row>
    <row r="208">
      <c r="A208" s="385" t="n"/>
      <c r="B208" s="396" t="n"/>
      <c r="C208" s="397">
        <f>IFERROR(INDEX(CategoryTypeList,MATCH(TransactionsLog[[#This Row],[Category]],CategoryList,0)),"")</f>
        <v/>
      </c>
      <c r="D208" s="330" t="n"/>
      <c r="E208" s="396" t="n"/>
    </row>
    <row r="209">
      <c r="A209" s="385" t="n"/>
      <c r="B209" s="396" t="n"/>
      <c r="C209" s="397">
        <f>IFERROR(INDEX(CategoryTypeList,MATCH(TransactionsLog[[#This Row],[Category]],CategoryList,0)),"")</f>
        <v/>
      </c>
      <c r="D209" s="330" t="n"/>
      <c r="E209" s="396" t="n"/>
    </row>
    <row r="210">
      <c r="A210" s="385" t="n"/>
      <c r="B210" s="396" t="n"/>
      <c r="C210" s="397">
        <f>IFERROR(INDEX(CategoryTypeList,MATCH(TransactionsLog[[#This Row],[Category]],CategoryList,0)),"")</f>
        <v/>
      </c>
      <c r="D210" s="330" t="n"/>
      <c r="E210" s="396" t="n"/>
    </row>
    <row r="211">
      <c r="A211" s="385" t="n"/>
      <c r="B211" s="396" t="n"/>
      <c r="C211" s="397">
        <f>IFERROR(INDEX(CategoryTypeList,MATCH(TransactionsLog[[#This Row],[Category]],CategoryList,0)),"")</f>
        <v/>
      </c>
      <c r="D211" s="330" t="n"/>
      <c r="E211" s="396" t="n"/>
    </row>
    <row r="212">
      <c r="A212" s="385" t="n"/>
      <c r="B212" s="396" t="n"/>
      <c r="C212" s="397">
        <f>IFERROR(INDEX(CategoryTypeList,MATCH(TransactionsLog[[#This Row],[Category]],CategoryList,0)),"")</f>
        <v/>
      </c>
      <c r="D212" s="330" t="n"/>
      <c r="E212" s="396" t="n"/>
    </row>
    <row r="213">
      <c r="A213" s="385" t="n"/>
      <c r="B213" s="396" t="n"/>
      <c r="C213" s="397">
        <f>IFERROR(INDEX(CategoryTypeList,MATCH(TransactionsLog[[#This Row],[Category]],CategoryList,0)),"")</f>
        <v/>
      </c>
      <c r="D213" s="330" t="n"/>
      <c r="E213" s="396" t="n"/>
    </row>
    <row r="214">
      <c r="A214" s="385" t="n"/>
      <c r="B214" s="396" t="n"/>
      <c r="C214" s="397">
        <f>IFERROR(INDEX(CategoryTypeList,MATCH(TransactionsLog[[#This Row],[Category]],CategoryList,0)),"")</f>
        <v/>
      </c>
      <c r="D214" s="330" t="n"/>
      <c r="E214" s="396" t="n"/>
    </row>
    <row r="215">
      <c r="A215" s="385" t="n"/>
      <c r="B215" s="396" t="n"/>
      <c r="C215" s="397">
        <f>IFERROR(INDEX(CategoryTypeList,MATCH(TransactionsLog[[#This Row],[Category]],CategoryList,0)),"")</f>
        <v/>
      </c>
      <c r="D215" s="330" t="n"/>
      <c r="E215" s="396" t="n"/>
    </row>
    <row r="216">
      <c r="A216" s="385" t="n"/>
      <c r="B216" s="396" t="n"/>
      <c r="C216" s="397">
        <f>IFERROR(INDEX(CategoryTypeList,MATCH(TransactionsLog[[#This Row],[Category]],CategoryList,0)),"")</f>
        <v/>
      </c>
      <c r="D216" s="330" t="n"/>
      <c r="E216" s="396" t="n"/>
    </row>
    <row r="217">
      <c r="A217" s="385" t="n"/>
      <c r="B217" s="396" t="n"/>
      <c r="C217" s="397">
        <f>IFERROR(INDEX(CategoryTypeList,MATCH(TransactionsLog[[#This Row],[Category]],CategoryList,0)),"")</f>
        <v/>
      </c>
      <c r="D217" s="330" t="n"/>
      <c r="E217" s="396" t="n"/>
    </row>
    <row r="218">
      <c r="A218" s="385" t="n"/>
      <c r="B218" s="396" t="n"/>
      <c r="C218" s="397">
        <f>IFERROR(INDEX(CategoryTypeList,MATCH(TransactionsLog[[#This Row],[Category]],CategoryList,0)),"")</f>
        <v/>
      </c>
      <c r="D218" s="330" t="n"/>
      <c r="E218" s="396" t="n"/>
    </row>
    <row r="219">
      <c r="A219" s="385" t="n"/>
      <c r="B219" s="396" t="n"/>
      <c r="C219" s="397">
        <f>IFERROR(INDEX(CategoryTypeList,MATCH(TransactionsLog[[#This Row],[Category]],CategoryList,0)),"")</f>
        <v/>
      </c>
      <c r="D219" s="330" t="n"/>
      <c r="E219" s="396" t="n"/>
    </row>
    <row r="220">
      <c r="A220" s="385" t="n"/>
      <c r="B220" s="396" t="n"/>
      <c r="C220" s="397">
        <f>IFERROR(INDEX(CategoryTypeList,MATCH(TransactionsLog[[#This Row],[Category]],CategoryList,0)),"")</f>
        <v/>
      </c>
      <c r="D220" s="330" t="n"/>
      <c r="E220" s="396" t="n"/>
    </row>
    <row r="221">
      <c r="A221" s="385" t="n"/>
      <c r="B221" s="396" t="n"/>
      <c r="C221" s="397">
        <f>IFERROR(INDEX(CategoryTypeList,MATCH(TransactionsLog[[#This Row],[Category]],CategoryList,0)),"")</f>
        <v/>
      </c>
      <c r="D221" s="330" t="n"/>
      <c r="E221" s="396" t="n"/>
    </row>
    <row r="222">
      <c r="A222" s="385" t="n"/>
      <c r="B222" s="396" t="n"/>
      <c r="C222" s="397">
        <f>IFERROR(INDEX(CategoryTypeList,MATCH(TransactionsLog[[#This Row],[Category]],CategoryList,0)),"")</f>
        <v/>
      </c>
      <c r="D222" s="330" t="n"/>
      <c r="E222" s="396" t="n"/>
    </row>
    <row r="223">
      <c r="A223" s="385" t="n"/>
      <c r="B223" s="396" t="n"/>
      <c r="C223" s="397">
        <f>IFERROR(INDEX(CategoryTypeList,MATCH(TransactionsLog[[#This Row],[Category]],CategoryList,0)),"")</f>
        <v/>
      </c>
      <c r="D223" s="330" t="n"/>
      <c r="E223" s="396" t="n"/>
    </row>
    <row r="224">
      <c r="A224" s="385" t="n"/>
      <c r="B224" s="396" t="n"/>
      <c r="C224" s="397">
        <f>IFERROR(INDEX(CategoryTypeList,MATCH(TransactionsLog[[#This Row],[Category]],CategoryList,0)),"")</f>
        <v/>
      </c>
      <c r="D224" s="330" t="n"/>
      <c r="E224" s="396" t="n"/>
    </row>
    <row r="225">
      <c r="A225" s="385" t="n"/>
      <c r="B225" s="396" t="n"/>
      <c r="C225" s="397">
        <f>IFERROR(INDEX(CategoryTypeList,MATCH(TransactionsLog[[#This Row],[Category]],CategoryList,0)),"")</f>
        <v/>
      </c>
      <c r="D225" s="330" t="n"/>
      <c r="E225" s="396" t="n"/>
    </row>
    <row r="226">
      <c r="A226" s="385" t="n"/>
      <c r="B226" s="396" t="n"/>
      <c r="C226" s="397">
        <f>IFERROR(INDEX(CategoryTypeList,MATCH(TransactionsLog[[#This Row],[Category]],CategoryList,0)),"")</f>
        <v/>
      </c>
      <c r="D226" s="330" t="n"/>
      <c r="E226" s="396" t="n"/>
    </row>
    <row r="227">
      <c r="A227" s="385" t="n"/>
      <c r="B227" s="396" t="n"/>
      <c r="C227" s="397">
        <f>IFERROR(INDEX(CategoryTypeList,MATCH(TransactionsLog[[#This Row],[Category]],CategoryList,0)),"")</f>
        <v/>
      </c>
      <c r="D227" s="330" t="n"/>
      <c r="E227" s="396" t="n"/>
    </row>
    <row r="228">
      <c r="A228" s="385" t="n"/>
      <c r="B228" s="396" t="n"/>
      <c r="C228" s="397">
        <f>IFERROR(INDEX(CategoryTypeList,MATCH(TransactionsLog[[#This Row],[Category]],CategoryList,0)),"")</f>
        <v/>
      </c>
      <c r="D228" s="330" t="n"/>
      <c r="E228" s="396" t="n"/>
    </row>
    <row r="229">
      <c r="A229" s="385" t="n"/>
      <c r="B229" s="396" t="n"/>
      <c r="C229" s="397">
        <f>IFERROR(INDEX(CategoryTypeList,MATCH(TransactionsLog[[#This Row],[Category]],CategoryList,0)),"")</f>
        <v/>
      </c>
      <c r="D229" s="330" t="n"/>
      <c r="E229" s="396" t="n"/>
    </row>
    <row r="230">
      <c r="A230" s="385" t="n"/>
      <c r="B230" s="396" t="n"/>
      <c r="C230" s="397">
        <f>IFERROR(INDEX(CategoryTypeList,MATCH(TransactionsLog[[#This Row],[Category]],CategoryList,0)),"")</f>
        <v/>
      </c>
      <c r="D230" s="330" t="n"/>
      <c r="E230" s="396" t="n"/>
    </row>
    <row r="231">
      <c r="A231" s="385" t="n"/>
      <c r="B231" s="396" t="n"/>
      <c r="C231" s="397">
        <f>IFERROR(INDEX(CategoryTypeList,MATCH(TransactionsLog[[#This Row],[Category]],CategoryList,0)),"")</f>
        <v/>
      </c>
      <c r="D231" s="330" t="n"/>
      <c r="E231" s="396" t="n"/>
    </row>
    <row r="232">
      <c r="A232" s="385" t="n"/>
      <c r="B232" s="396" t="n"/>
      <c r="C232" s="397">
        <f>IFERROR(INDEX(CategoryTypeList,MATCH(TransactionsLog[[#This Row],[Category]],CategoryList,0)),"")</f>
        <v/>
      </c>
      <c r="D232" s="330" t="n"/>
      <c r="E232" s="396" t="n"/>
    </row>
    <row r="233">
      <c r="A233" s="385" t="n"/>
      <c r="B233" s="396" t="n"/>
      <c r="C233" s="397">
        <f>IFERROR(INDEX(CategoryTypeList,MATCH(TransactionsLog[[#This Row],[Category]],CategoryList,0)),"")</f>
        <v/>
      </c>
      <c r="D233" s="330" t="n"/>
      <c r="E233" s="396" t="n"/>
    </row>
    <row r="234">
      <c r="A234" s="385" t="n"/>
      <c r="B234" s="396" t="n"/>
      <c r="C234" s="397">
        <f>IFERROR(INDEX(CategoryTypeList,MATCH(TransactionsLog[[#This Row],[Category]],CategoryList,0)),"")</f>
        <v/>
      </c>
      <c r="D234" s="330" t="n"/>
      <c r="E234" s="396" t="n"/>
    </row>
    <row r="235">
      <c r="A235" s="385" t="n"/>
      <c r="B235" s="396" t="n"/>
      <c r="C235" s="397">
        <f>IFERROR(INDEX(CategoryTypeList,MATCH(TransactionsLog[[#This Row],[Category]],CategoryList,0)),"")</f>
        <v/>
      </c>
      <c r="D235" s="330" t="n"/>
      <c r="E235" s="396" t="n"/>
    </row>
    <row r="236">
      <c r="A236" s="385" t="n"/>
      <c r="B236" s="396" t="n"/>
      <c r="C236" s="397">
        <f>IFERROR(INDEX(CategoryTypeList,MATCH(TransactionsLog[[#This Row],[Category]],CategoryList,0)),"")</f>
        <v/>
      </c>
      <c r="D236" s="330" t="n"/>
      <c r="E236" s="396" t="n"/>
    </row>
    <row r="237">
      <c r="A237" s="385" t="n"/>
      <c r="B237" s="396" t="n"/>
      <c r="C237" s="397">
        <f>IFERROR(INDEX(CategoryTypeList,MATCH(TransactionsLog[[#This Row],[Category]],CategoryList,0)),"")</f>
        <v/>
      </c>
      <c r="D237" s="330" t="n"/>
      <c r="E237" s="396" t="n"/>
    </row>
    <row r="238">
      <c r="A238" s="385" t="n"/>
      <c r="B238" s="396" t="n"/>
      <c r="C238" s="397">
        <f>IFERROR(INDEX(CategoryTypeList,MATCH(TransactionsLog[[#This Row],[Category]],CategoryList,0)),"")</f>
        <v/>
      </c>
      <c r="D238" s="330" t="n"/>
      <c r="E238" s="396" t="n"/>
    </row>
    <row r="239">
      <c r="A239" s="385" t="n"/>
      <c r="B239" s="396" t="n"/>
      <c r="C239" s="397">
        <f>IFERROR(INDEX(CategoryTypeList,MATCH(TransactionsLog[[#This Row],[Category]],CategoryList,0)),"")</f>
        <v/>
      </c>
      <c r="D239" s="330" t="n"/>
      <c r="E239" s="396" t="n"/>
    </row>
    <row r="240">
      <c r="A240" s="385" t="n"/>
      <c r="B240" s="396" t="n"/>
      <c r="C240" s="397">
        <f>IFERROR(INDEX(CategoryTypeList,MATCH(TransactionsLog[[#This Row],[Category]],CategoryList,0)),"")</f>
        <v/>
      </c>
      <c r="D240" s="330" t="n"/>
      <c r="E240" s="396" t="n"/>
    </row>
    <row r="241">
      <c r="A241" s="385" t="n"/>
      <c r="B241" s="396" t="n"/>
      <c r="C241" s="397">
        <f>IFERROR(INDEX(CategoryTypeList,MATCH(TransactionsLog[[#This Row],[Category]],CategoryList,0)),"")</f>
        <v/>
      </c>
      <c r="D241" s="330" t="n"/>
      <c r="E241" s="396" t="n"/>
    </row>
    <row r="242">
      <c r="A242" s="385" t="n"/>
      <c r="B242" s="396" t="n"/>
      <c r="C242" s="397">
        <f>IFERROR(INDEX(CategoryTypeList,MATCH(TransactionsLog[[#This Row],[Category]],CategoryList,0)),"")</f>
        <v/>
      </c>
      <c r="D242" s="330" t="n"/>
      <c r="E242" s="396" t="n"/>
    </row>
    <row r="243">
      <c r="A243" s="385" t="n"/>
      <c r="B243" s="396" t="n"/>
      <c r="C243" s="397">
        <f>IFERROR(INDEX(CategoryTypeList,MATCH(TransactionsLog[[#This Row],[Category]],CategoryList,0)),"")</f>
        <v/>
      </c>
      <c r="D243" s="330" t="n"/>
      <c r="E243" s="396" t="n"/>
    </row>
    <row r="244">
      <c r="A244" s="385" t="n"/>
      <c r="B244" s="396" t="n"/>
      <c r="C244" s="397">
        <f>IFERROR(INDEX(CategoryTypeList,MATCH(TransactionsLog[[#This Row],[Category]],CategoryList,0)),"")</f>
        <v/>
      </c>
      <c r="D244" s="330" t="n"/>
      <c r="E244" s="396" t="n"/>
    </row>
    <row r="245">
      <c r="A245" s="385" t="n"/>
      <c r="B245" s="396" t="n"/>
      <c r="C245" s="397">
        <f>IFERROR(INDEX(CategoryTypeList,MATCH(TransactionsLog[[#This Row],[Category]],CategoryList,0)),"")</f>
        <v/>
      </c>
      <c r="D245" s="330" t="n"/>
      <c r="E245" s="396" t="n"/>
    </row>
    <row r="246">
      <c r="A246" s="385" t="n"/>
      <c r="B246" s="396" t="n"/>
      <c r="C246" s="397">
        <f>IFERROR(INDEX(CategoryTypeList,MATCH(TransactionsLog[[#This Row],[Category]],CategoryList,0)),"")</f>
        <v/>
      </c>
      <c r="D246" s="330" t="n"/>
      <c r="E246" s="396" t="n"/>
    </row>
    <row r="247">
      <c r="A247" s="385" t="n"/>
      <c r="B247" s="396" t="n"/>
      <c r="C247" s="397">
        <f>IFERROR(INDEX(CategoryTypeList,MATCH(TransactionsLog[[#This Row],[Category]],CategoryList,0)),"")</f>
        <v/>
      </c>
      <c r="D247" s="330" t="n"/>
      <c r="E247" s="396" t="n"/>
    </row>
    <row r="248">
      <c r="A248" s="385" t="n"/>
      <c r="B248" s="396" t="n"/>
      <c r="C248" s="397">
        <f>IFERROR(INDEX(CategoryTypeList,MATCH(TransactionsLog[[#This Row],[Category]],CategoryList,0)),"")</f>
        <v/>
      </c>
      <c r="D248" s="330" t="n"/>
      <c r="E248" s="396" t="n"/>
    </row>
    <row r="249">
      <c r="A249" s="385" t="n"/>
      <c r="B249" s="396" t="n"/>
      <c r="C249" s="397">
        <f>IFERROR(INDEX(CategoryTypeList,MATCH(TransactionsLog[[#This Row],[Category]],CategoryList,0)),"")</f>
        <v/>
      </c>
      <c r="D249" s="330" t="n"/>
      <c r="E249" s="396" t="n"/>
    </row>
    <row r="250">
      <c r="A250" s="385" t="n"/>
      <c r="B250" s="396" t="n"/>
      <c r="C250" s="397">
        <f>IFERROR(INDEX(CategoryTypeList,MATCH(TransactionsLog[[#This Row],[Category]],CategoryList,0)),"")</f>
        <v/>
      </c>
      <c r="D250" s="330" t="n"/>
      <c r="E250" s="396" t="n"/>
    </row>
    <row r="251">
      <c r="A251" s="385" t="n"/>
      <c r="B251" s="396" t="n"/>
      <c r="C251" s="397">
        <f>IFERROR(INDEX(CategoryTypeList,MATCH(TransactionsLog[[#This Row],[Category]],CategoryList,0)),"")</f>
        <v/>
      </c>
      <c r="D251" s="330" t="n"/>
      <c r="E251" s="396" t="n"/>
    </row>
    <row r="252">
      <c r="A252" s="385" t="n"/>
      <c r="B252" s="396" t="n"/>
      <c r="C252" s="397">
        <f>IFERROR(INDEX(CategoryTypeList,MATCH(TransactionsLog[[#This Row],[Category]],CategoryList,0)),"")</f>
        <v/>
      </c>
      <c r="D252" s="330" t="n"/>
      <c r="E252" s="396" t="n"/>
    </row>
    <row r="253">
      <c r="A253" s="385" t="n"/>
      <c r="B253" s="396" t="n"/>
      <c r="C253" s="397">
        <f>IFERROR(INDEX(CategoryTypeList,MATCH(TransactionsLog[[#This Row],[Category]],CategoryList,0)),"")</f>
        <v/>
      </c>
      <c r="D253" s="330" t="n"/>
      <c r="E253" s="396" t="n"/>
    </row>
    <row r="254">
      <c r="A254" s="385" t="n"/>
      <c r="B254" s="396" t="n"/>
      <c r="C254" s="397">
        <f>IFERROR(INDEX(CategoryTypeList,MATCH(TransactionsLog[[#This Row],[Category]],CategoryList,0)),"")</f>
        <v/>
      </c>
      <c r="D254" s="330" t="n"/>
      <c r="E254" s="396" t="n"/>
    </row>
    <row r="255">
      <c r="A255" s="385" t="n"/>
      <c r="B255" s="396" t="n"/>
      <c r="C255" s="397">
        <f>IFERROR(INDEX(CategoryTypeList,MATCH(TransactionsLog[[#This Row],[Category]],CategoryList,0)),"")</f>
        <v/>
      </c>
      <c r="D255" s="330" t="n"/>
      <c r="E255" s="396" t="n"/>
    </row>
    <row r="256">
      <c r="A256" s="385" t="n"/>
      <c r="B256" s="396" t="n"/>
      <c r="C256" s="397">
        <f>IFERROR(INDEX(CategoryTypeList,MATCH(TransactionsLog[[#This Row],[Category]],CategoryList,0)),"")</f>
        <v/>
      </c>
      <c r="D256" s="330" t="n"/>
      <c r="E256" s="396" t="n"/>
    </row>
    <row r="257">
      <c r="A257" s="385" t="n"/>
      <c r="B257" s="396" t="n"/>
      <c r="C257" s="397">
        <f>IFERROR(INDEX(CategoryTypeList,MATCH(TransactionsLog[[#This Row],[Category]],CategoryList,0)),"")</f>
        <v/>
      </c>
      <c r="D257" s="330" t="n"/>
      <c r="E257" s="396" t="n"/>
    </row>
    <row r="258">
      <c r="A258" s="385" t="n"/>
      <c r="B258" s="396" t="n"/>
      <c r="C258" s="397">
        <f>IFERROR(INDEX(CategoryTypeList,MATCH(TransactionsLog[[#This Row],[Category]],CategoryList,0)),"")</f>
        <v/>
      </c>
      <c r="D258" s="330" t="n"/>
      <c r="E258" s="396" t="n"/>
    </row>
    <row r="259">
      <c r="A259" s="385" t="n"/>
      <c r="B259" s="396" t="n"/>
      <c r="C259" s="397">
        <f>IFERROR(INDEX(CategoryTypeList,MATCH(TransactionsLog[[#This Row],[Category]],CategoryList,0)),"")</f>
        <v/>
      </c>
      <c r="D259" s="330" t="n"/>
      <c r="E259" s="396" t="n"/>
    </row>
    <row r="260">
      <c r="A260" s="385" t="n"/>
      <c r="B260" s="396" t="n"/>
      <c r="C260" s="397">
        <f>IFERROR(INDEX(CategoryTypeList,MATCH(TransactionsLog[[#This Row],[Category]],CategoryList,0)),"")</f>
        <v/>
      </c>
      <c r="D260" s="330" t="n"/>
      <c r="E260" s="396" t="n"/>
    </row>
    <row r="261">
      <c r="A261" s="385" t="n"/>
      <c r="B261" s="396" t="n"/>
      <c r="C261" s="397">
        <f>IFERROR(INDEX(CategoryTypeList,MATCH(TransactionsLog[[#This Row],[Category]],CategoryList,0)),"")</f>
        <v/>
      </c>
      <c r="D261" s="330" t="n"/>
      <c r="E261" s="396" t="n"/>
    </row>
    <row r="262">
      <c r="A262" s="385" t="n"/>
      <c r="B262" s="396" t="n"/>
      <c r="C262" s="397">
        <f>IFERROR(INDEX(CategoryTypeList,MATCH(TransactionsLog[[#This Row],[Category]],CategoryList,0)),"")</f>
        <v/>
      </c>
      <c r="D262" s="330" t="n"/>
      <c r="E262" s="396" t="n"/>
    </row>
    <row r="263">
      <c r="A263" s="385" t="n"/>
      <c r="B263" s="396" t="n"/>
      <c r="C263" s="397">
        <f>IFERROR(INDEX(CategoryTypeList,MATCH(TransactionsLog[[#This Row],[Category]],CategoryList,0)),"")</f>
        <v/>
      </c>
      <c r="D263" s="330" t="n"/>
      <c r="E263" s="396" t="n"/>
    </row>
    <row r="264">
      <c r="A264" s="385" t="n"/>
      <c r="B264" s="396" t="n"/>
      <c r="C264" s="397">
        <f>IFERROR(INDEX(CategoryTypeList,MATCH(TransactionsLog[[#This Row],[Category]],CategoryList,0)),"")</f>
        <v/>
      </c>
      <c r="D264" s="330" t="n"/>
      <c r="E264" s="396" t="n"/>
    </row>
    <row r="265">
      <c r="A265" s="385" t="n"/>
      <c r="B265" s="396" t="n"/>
      <c r="C265" s="397">
        <f>IFERROR(INDEX(CategoryTypeList,MATCH(TransactionsLog[[#This Row],[Category]],CategoryList,0)),"")</f>
        <v/>
      </c>
      <c r="D265" s="330" t="n"/>
      <c r="E265" s="396" t="n"/>
    </row>
    <row r="266">
      <c r="A266" s="385" t="n"/>
      <c r="B266" s="396" t="n"/>
      <c r="C266" s="397">
        <f>IFERROR(INDEX(CategoryTypeList,MATCH(TransactionsLog[[#This Row],[Category]],CategoryList,0)),"")</f>
        <v/>
      </c>
      <c r="D266" s="330" t="n"/>
      <c r="E266" s="396" t="n"/>
    </row>
    <row r="267">
      <c r="A267" s="385" t="n"/>
      <c r="B267" s="396" t="n"/>
      <c r="C267" s="397">
        <f>IFERROR(INDEX(CategoryTypeList,MATCH(TransactionsLog[[#This Row],[Category]],CategoryList,0)),"")</f>
        <v/>
      </c>
      <c r="D267" s="330" t="n"/>
      <c r="E267" s="396" t="n"/>
    </row>
    <row r="268">
      <c r="A268" s="385" t="n"/>
      <c r="B268" s="396" t="n"/>
      <c r="C268" s="397">
        <f>IFERROR(INDEX(CategoryTypeList,MATCH(TransactionsLog[[#This Row],[Category]],CategoryList,0)),"")</f>
        <v/>
      </c>
      <c r="D268" s="330" t="n"/>
      <c r="E268" s="396" t="n"/>
    </row>
    <row r="269">
      <c r="A269" s="385" t="n"/>
      <c r="B269" s="396" t="n"/>
      <c r="C269" s="397">
        <f>IFERROR(INDEX(CategoryTypeList,MATCH(TransactionsLog[[#This Row],[Category]],CategoryList,0)),"")</f>
        <v/>
      </c>
      <c r="D269" s="330" t="n"/>
      <c r="E269" s="396" t="n"/>
    </row>
    <row r="270">
      <c r="A270" s="385" t="n"/>
      <c r="B270" s="396" t="n"/>
      <c r="C270" s="397">
        <f>IFERROR(INDEX(CategoryTypeList,MATCH(TransactionsLog[[#This Row],[Category]],CategoryList,0)),"")</f>
        <v/>
      </c>
      <c r="D270" s="330" t="n"/>
      <c r="E270" s="396" t="n"/>
    </row>
    <row r="271">
      <c r="A271" s="385" t="n"/>
      <c r="B271" s="396" t="n"/>
      <c r="C271" s="397">
        <f>IFERROR(INDEX(CategoryTypeList,MATCH(TransactionsLog[[#This Row],[Category]],CategoryList,0)),"")</f>
        <v/>
      </c>
      <c r="D271" s="330" t="n"/>
      <c r="E271" s="396" t="n"/>
    </row>
    <row r="272">
      <c r="A272" s="385" t="n"/>
      <c r="B272" s="396" t="n"/>
      <c r="C272" s="397">
        <f>IFERROR(INDEX(CategoryTypeList,MATCH(TransactionsLog[[#This Row],[Category]],CategoryList,0)),"")</f>
        <v/>
      </c>
      <c r="D272" s="330" t="n"/>
      <c r="E272" s="396" t="n"/>
    </row>
    <row r="273">
      <c r="A273" s="385" t="n"/>
      <c r="B273" s="396" t="n"/>
      <c r="C273" s="397">
        <f>IFERROR(INDEX(CategoryTypeList,MATCH(TransactionsLog[[#This Row],[Category]],CategoryList,0)),"")</f>
        <v/>
      </c>
      <c r="D273" s="330" t="n"/>
      <c r="E273" s="396" t="n"/>
    </row>
    <row r="274">
      <c r="A274" s="385" t="n"/>
      <c r="B274" s="396" t="n"/>
      <c r="C274" s="397">
        <f>IFERROR(INDEX(CategoryTypeList,MATCH(TransactionsLog[[#This Row],[Category]],CategoryList,0)),"")</f>
        <v/>
      </c>
      <c r="D274" s="330" t="n"/>
      <c r="E274" s="396" t="n"/>
    </row>
    <row r="275">
      <c r="A275" s="385" t="n"/>
      <c r="B275" s="396" t="n"/>
      <c r="C275" s="397">
        <f>IFERROR(INDEX(CategoryTypeList,MATCH(TransactionsLog[[#This Row],[Category]],CategoryList,0)),"")</f>
        <v/>
      </c>
      <c r="D275" s="330" t="n"/>
      <c r="E275" s="396" t="n"/>
    </row>
    <row r="276">
      <c r="A276" s="385" t="n"/>
      <c r="B276" s="396" t="n"/>
      <c r="C276" s="397">
        <f>IFERROR(INDEX(CategoryTypeList,MATCH(TransactionsLog[[#This Row],[Category]],CategoryList,0)),"")</f>
        <v/>
      </c>
      <c r="D276" s="330" t="n"/>
      <c r="E276" s="396" t="n"/>
    </row>
    <row r="277">
      <c r="A277" s="385" t="n"/>
      <c r="B277" s="396" t="n"/>
      <c r="C277" s="397">
        <f>IFERROR(INDEX(CategoryTypeList,MATCH(TransactionsLog[[#This Row],[Category]],CategoryList,0)),"")</f>
        <v/>
      </c>
      <c r="D277" s="330" t="n"/>
      <c r="E277" s="396" t="n"/>
    </row>
    <row r="278">
      <c r="A278" s="385" t="n"/>
      <c r="B278" s="396" t="n"/>
      <c r="C278" s="397">
        <f>IFERROR(INDEX(CategoryTypeList,MATCH(TransactionsLog[[#This Row],[Category]],CategoryList,0)),"")</f>
        <v/>
      </c>
      <c r="D278" s="330" t="n"/>
      <c r="E278" s="396" t="n"/>
    </row>
    <row r="279">
      <c r="A279" s="385" t="n"/>
      <c r="B279" s="396" t="n"/>
      <c r="C279" s="397">
        <f>IFERROR(INDEX(CategoryTypeList,MATCH(TransactionsLog[[#This Row],[Category]],CategoryList,0)),"")</f>
        <v/>
      </c>
      <c r="D279" s="330" t="n"/>
      <c r="E279" s="396" t="n"/>
    </row>
    <row r="280">
      <c r="A280" s="385" t="n"/>
      <c r="B280" s="396" t="n"/>
      <c r="C280" s="397">
        <f>IFERROR(INDEX(CategoryTypeList,MATCH(TransactionsLog[[#This Row],[Category]],CategoryList,0)),"")</f>
        <v/>
      </c>
      <c r="D280" s="330" t="n"/>
      <c r="E280" s="396" t="n"/>
    </row>
    <row r="281">
      <c r="A281" s="385" t="n"/>
      <c r="B281" s="396" t="n"/>
      <c r="C281" s="397">
        <f>IFERROR(INDEX(CategoryTypeList,MATCH(TransactionsLog[[#This Row],[Category]],CategoryList,0)),"")</f>
        <v/>
      </c>
      <c r="D281" s="330" t="n"/>
      <c r="E281" s="396" t="n"/>
    </row>
    <row r="282">
      <c r="A282" s="385" t="n"/>
      <c r="B282" s="396" t="n"/>
      <c r="C282" s="397">
        <f>IFERROR(INDEX(CategoryTypeList,MATCH(TransactionsLog[[#This Row],[Category]],CategoryList,0)),"")</f>
        <v/>
      </c>
      <c r="D282" s="330" t="n"/>
      <c r="E282" s="396" t="n"/>
    </row>
    <row r="283">
      <c r="A283" s="385" t="n"/>
      <c r="B283" s="396" t="n"/>
      <c r="C283" s="397">
        <f>IFERROR(INDEX(CategoryTypeList,MATCH(TransactionsLog[[#This Row],[Category]],CategoryList,0)),"")</f>
        <v/>
      </c>
      <c r="D283" s="330" t="n"/>
      <c r="E283" s="396" t="n"/>
    </row>
    <row r="284">
      <c r="A284" s="385" t="n"/>
      <c r="B284" s="396" t="n"/>
      <c r="C284" s="397">
        <f>IFERROR(INDEX(CategoryTypeList,MATCH(TransactionsLog[[#This Row],[Category]],CategoryList,0)),"")</f>
        <v/>
      </c>
      <c r="D284" s="330" t="n"/>
      <c r="E284" s="396" t="n"/>
    </row>
    <row r="285">
      <c r="A285" s="385" t="n"/>
      <c r="B285" s="396" t="n"/>
      <c r="C285" s="397">
        <f>IFERROR(INDEX(CategoryTypeList,MATCH(TransactionsLog[[#This Row],[Category]],CategoryList,0)),"")</f>
        <v/>
      </c>
      <c r="D285" s="330" t="n"/>
      <c r="E285" s="396" t="n"/>
    </row>
    <row r="286">
      <c r="A286" s="385" t="n"/>
      <c r="B286" s="396" t="n"/>
      <c r="C286" s="397">
        <f>IFERROR(INDEX(CategoryTypeList,MATCH(TransactionsLog[[#This Row],[Category]],CategoryList,0)),"")</f>
        <v/>
      </c>
      <c r="D286" s="330" t="n"/>
      <c r="E286" s="396" t="n"/>
    </row>
    <row r="287">
      <c r="A287" s="385" t="n"/>
      <c r="B287" s="396" t="n"/>
      <c r="C287" s="397">
        <f>IFERROR(INDEX(CategoryTypeList,MATCH(TransactionsLog[[#This Row],[Category]],CategoryList,0)),"")</f>
        <v/>
      </c>
      <c r="D287" s="330" t="n"/>
      <c r="E287" s="396" t="n"/>
    </row>
    <row r="288">
      <c r="A288" s="385" t="n"/>
      <c r="B288" s="396" t="n"/>
      <c r="C288" s="397">
        <f>IFERROR(INDEX(CategoryTypeList,MATCH(TransactionsLog[[#This Row],[Category]],CategoryList,0)),"")</f>
        <v/>
      </c>
      <c r="D288" s="330" t="n"/>
      <c r="E288" s="396" t="n"/>
    </row>
    <row r="289">
      <c r="A289" s="385" t="n"/>
      <c r="B289" s="396" t="n"/>
      <c r="C289" s="397">
        <f>IFERROR(INDEX(CategoryTypeList,MATCH(TransactionsLog[[#This Row],[Category]],CategoryList,0)),"")</f>
        <v/>
      </c>
      <c r="D289" s="330" t="n"/>
      <c r="E289" s="396" t="n"/>
    </row>
    <row r="290">
      <c r="A290" s="385" t="n"/>
      <c r="B290" s="396" t="n"/>
      <c r="C290" s="397">
        <f>IFERROR(INDEX(CategoryTypeList,MATCH(TransactionsLog[[#This Row],[Category]],CategoryList,0)),"")</f>
        <v/>
      </c>
      <c r="D290" s="330" t="n"/>
      <c r="E290" s="396" t="n"/>
    </row>
    <row r="291">
      <c r="A291" s="385" t="n"/>
      <c r="B291" s="396" t="n"/>
      <c r="C291" s="397">
        <f>IFERROR(INDEX(CategoryTypeList,MATCH(TransactionsLog[[#This Row],[Category]],CategoryList,0)),"")</f>
        <v/>
      </c>
      <c r="D291" s="330" t="n"/>
      <c r="E291" s="396" t="n"/>
    </row>
    <row r="292">
      <c r="A292" s="385" t="n"/>
      <c r="B292" s="396" t="n"/>
      <c r="C292" s="397">
        <f>IFERROR(INDEX(CategoryTypeList,MATCH(TransactionsLog[[#This Row],[Category]],CategoryList,0)),"")</f>
        <v/>
      </c>
      <c r="D292" s="330" t="n"/>
      <c r="E292" s="396" t="n"/>
    </row>
    <row r="293">
      <c r="A293" s="385" t="n"/>
      <c r="B293" s="396" t="n"/>
      <c r="C293" s="397">
        <f>IFERROR(INDEX(CategoryTypeList,MATCH(TransactionsLog[[#This Row],[Category]],CategoryList,0)),"")</f>
        <v/>
      </c>
      <c r="D293" s="330" t="n"/>
      <c r="E293" s="396" t="n"/>
    </row>
    <row r="294">
      <c r="A294" s="385" t="n"/>
      <c r="B294" s="396" t="n"/>
      <c r="C294" s="397">
        <f>IFERROR(INDEX(CategoryTypeList,MATCH(TransactionsLog[[#This Row],[Category]],CategoryList,0)),"")</f>
        <v/>
      </c>
      <c r="D294" s="330" t="n"/>
      <c r="E294" s="396" t="n"/>
    </row>
    <row r="295">
      <c r="A295" s="385" t="n"/>
      <c r="B295" s="396" t="n"/>
      <c r="C295" s="397">
        <f>IFERROR(INDEX(CategoryTypeList,MATCH(TransactionsLog[[#This Row],[Category]],CategoryList,0)),"")</f>
        <v/>
      </c>
      <c r="D295" s="330" t="n"/>
      <c r="E295" s="396" t="n"/>
    </row>
    <row r="296">
      <c r="A296" s="385" t="n"/>
      <c r="B296" s="396" t="n"/>
      <c r="C296" s="397">
        <f>IFERROR(INDEX(CategoryTypeList,MATCH(TransactionsLog[[#This Row],[Category]],CategoryList,0)),"")</f>
        <v/>
      </c>
      <c r="D296" s="330" t="n"/>
      <c r="E296" s="396" t="n"/>
    </row>
    <row r="297">
      <c r="A297" s="385" t="n"/>
      <c r="B297" s="396" t="n"/>
      <c r="C297" s="397">
        <f>IFERROR(INDEX(CategoryTypeList,MATCH(TransactionsLog[[#This Row],[Category]],CategoryList,0)),"")</f>
        <v/>
      </c>
      <c r="D297" s="330" t="n"/>
      <c r="E297" s="396" t="n"/>
    </row>
    <row r="298">
      <c r="A298" s="385" t="n"/>
      <c r="B298" s="396" t="n"/>
      <c r="C298" s="397">
        <f>IFERROR(INDEX(CategoryTypeList,MATCH(TransactionsLog[[#This Row],[Category]],CategoryList,0)),"")</f>
        <v/>
      </c>
      <c r="D298" s="330" t="n"/>
      <c r="E298" s="396" t="n"/>
    </row>
    <row r="299">
      <c r="A299" s="385" t="n"/>
      <c r="B299" s="396" t="n"/>
      <c r="C299" s="397">
        <f>IFERROR(INDEX(CategoryTypeList,MATCH(TransactionsLog[[#This Row],[Category]],CategoryList,0)),"")</f>
        <v/>
      </c>
      <c r="D299" s="330" t="n"/>
      <c r="E299" s="396" t="n"/>
    </row>
    <row r="300">
      <c r="A300" s="385" t="n"/>
      <c r="B300" s="396" t="n"/>
      <c r="C300" s="397">
        <f>IFERROR(INDEX(CategoryTypeList,MATCH(TransactionsLog[[#This Row],[Category]],CategoryList,0)),"")</f>
        <v/>
      </c>
      <c r="D300" s="330" t="n"/>
      <c r="E300" s="396" t="n"/>
    </row>
    <row r="301">
      <c r="A301" s="385" t="n"/>
      <c r="B301" s="396" t="n"/>
      <c r="C301" s="397">
        <f>IFERROR(INDEX(CategoryTypeList,MATCH(TransactionsLog[[#This Row],[Category]],CategoryList,0)),"")</f>
        <v/>
      </c>
      <c r="D301" s="330" t="n"/>
      <c r="E301" s="396" t="n"/>
    </row>
    <row r="302">
      <c r="A302" s="385" t="n"/>
      <c r="B302" s="396" t="n"/>
      <c r="C302" s="397">
        <f>IFERROR(INDEX(CategoryTypeList,MATCH(TransactionsLog[[#This Row],[Category]],CategoryList,0)),"")</f>
        <v/>
      </c>
      <c r="D302" s="330" t="n"/>
      <c r="E302" s="396" t="n"/>
    </row>
    <row r="303">
      <c r="A303" s="385" t="n"/>
      <c r="B303" s="396" t="n"/>
      <c r="C303" s="397">
        <f>IFERROR(INDEX(CategoryTypeList,MATCH(TransactionsLog[[#This Row],[Category]],CategoryList,0)),"")</f>
        <v/>
      </c>
      <c r="D303" s="330" t="n"/>
      <c r="E303" s="396" t="n"/>
    </row>
    <row r="304">
      <c r="A304" s="385" t="n"/>
      <c r="B304" s="396" t="n"/>
      <c r="C304" s="397">
        <f>IFERROR(INDEX(CategoryTypeList,MATCH(TransactionsLog[[#This Row],[Category]],CategoryList,0)),"")</f>
        <v/>
      </c>
      <c r="D304" s="330" t="n"/>
      <c r="E304" s="396" t="n"/>
    </row>
  </sheetData>
  <sheetProtection selectLockedCells="0" selectUnlockedCells="0" sheet="1" objects="1" insertRows="1" insertHyperlinks="1" autoFilter="1" scenarios="1" formatColumns="1" deleteColumns="1" insertColumns="1" pivotTables="1" deleteRows="1" formatCells="1" formatRows="1" sort="1"/>
  <mergeCells count="2">
    <mergeCell ref="A2:E2"/>
    <mergeCell ref="A1:E1"/>
  </mergeCells>
  <conditionalFormatting sqref="D5:D304">
    <cfRule type="expression" priority="1" dxfId="7">
      <formula>AND(D5&lt;&gt;"",D5&gt;3*AVERAGEIF($D$5:$D$304,"&lt;&gt;"))</formula>
    </cfRule>
  </conditionalFormatting>
  <dataValidations count="1">
    <dataValidation sqref="B5:B304" showDropDown="0" showInputMessage="1" showErrorMessage="1" allowBlank="1" type="list">
      <formula1>CategoryList</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00C9DDE8"/>
    <outlinePr summaryBelow="1" summaryRight="1"/>
    <pageSetUpPr/>
  </sheetPr>
  <dimension ref="A1:Z320"/>
  <sheetViews>
    <sheetView showGridLines="0" workbookViewId="0">
      <selection activeCell="A4" sqref="A4"/>
    </sheetView>
  </sheetViews>
  <sheetFormatPr baseColWidth="8" defaultRowHeight="15"/>
  <cols>
    <col width="15" customWidth="1" style="78" min="1" max="1"/>
    <col width="34" customWidth="1" style="78" min="2" max="2"/>
    <col width="14" customWidth="1" style="78" min="3" max="3"/>
    <col width="22" customWidth="1" style="78" min="4" max="4"/>
    <col width="14" customWidth="1" style="78" min="5" max="5"/>
    <col width="16" customWidth="1" style="78" min="6" max="6"/>
    <col width="12" customWidth="1" style="78" min="7" max="8"/>
    <col width="11" customWidth="1" style="232" min="8" max="8"/>
    <col width="28" customWidth="1" style="78" min="9" max="9"/>
    <col width="3" customWidth="1" style="78" min="10" max="10"/>
    <col width="16" customWidth="1" style="78" min="11" max="12"/>
    <col width="22" customWidth="1" style="232" min="12" max="12"/>
    <col width="9.140625" customWidth="1" style="78" min="13" max="16384"/>
  </cols>
  <sheetData>
    <row r="1" ht="46" customHeight="1" s="232">
      <c r="A1" s="274" t="inlineStr">
        <is>
          <t>Bank Import Helper</t>
        </is>
      </c>
      <c r="B1" s="250" t="n"/>
      <c r="C1" s="250" t="n"/>
      <c r="D1" s="250" t="n"/>
      <c r="E1" s="250" t="n"/>
      <c r="F1" s="250" t="n"/>
      <c r="G1" s="250" t="n"/>
      <c r="H1" s="250" t="n"/>
      <c r="I1" s="250" t="n"/>
      <c r="J1" s="398" t="n"/>
      <c r="K1" s="398" t="n"/>
      <c r="L1" s="398" t="n"/>
      <c r="M1" s="398" t="n"/>
      <c r="N1" s="398" t="n"/>
      <c r="O1" s="398" t="n"/>
      <c r="P1" s="398" t="n"/>
      <c r="Q1" s="398" t="n"/>
      <c r="R1" s="398" t="n"/>
      <c r="S1" s="398" t="n"/>
      <c r="T1" s="398" t="n"/>
      <c r="U1" s="398" t="n"/>
      <c r="V1" s="398" t="n"/>
      <c r="W1" s="398" t="n"/>
      <c r="X1" s="398" t="n"/>
      <c r="Y1" s="398" t="n"/>
      <c r="Z1" s="398" t="n"/>
    </row>
    <row r="2" ht="59" customHeight="1" s="232">
      <c r="A2" s="399" t="inlineStr">
        <is>
          <t>1. Export your bank statement as Excel or CSV. 2. Copy the Date, Description, and Amount columns and paste them into the yellow area below (paste values only). 3. Check the suggested category in column D. Change it using the dropdown if it's wrong. 4. Once everything looks right, copy columns E through I below and paste them into your Transactions Log.</t>
        </is>
      </c>
      <c r="B2" s="285" t="n"/>
      <c r="C2" s="285" t="n"/>
      <c r="D2" s="285" t="n"/>
      <c r="E2" s="285" t="n"/>
      <c r="F2" s="285" t="n"/>
      <c r="G2" s="285" t="n"/>
      <c r="H2" s="285" t="n"/>
      <c r="I2" s="285" t="n"/>
      <c r="J2" s="398" t="n"/>
      <c r="K2" s="398" t="n"/>
      <c r="L2" s="398" t="n"/>
      <c r="M2" s="398" t="n"/>
      <c r="N2" s="398" t="n"/>
      <c r="O2" s="398" t="n"/>
      <c r="P2" s="398" t="n"/>
      <c r="Q2" s="398" t="n"/>
      <c r="R2" s="398" t="n"/>
      <c r="S2" s="398" t="n"/>
      <c r="T2" s="398" t="n"/>
      <c r="U2" s="398" t="n"/>
      <c r="V2" s="398" t="n"/>
      <c r="W2" s="398" t="n"/>
      <c r="X2" s="398" t="n"/>
      <c r="Y2" s="398" t="n"/>
      <c r="Z2" s="398" t="n"/>
    </row>
    <row r="3" ht="25" customHeight="1" s="232">
      <c r="A3" s="400" t="inlineStr">
        <is>
          <t>This tool does not connect to your bank. You export your statement yourself and paste it in here.</t>
        </is>
      </c>
      <c r="B3" s="285" t="n"/>
      <c r="C3" s="285" t="n"/>
      <c r="D3" s="285" t="n"/>
      <c r="E3" s="285" t="n"/>
      <c r="F3" s="285" t="n"/>
      <c r="G3" s="285" t="n"/>
      <c r="H3" s="285" t="n"/>
      <c r="I3" s="285" t="n"/>
      <c r="J3" s="398" t="n"/>
      <c r="K3" s="401" t="inlineStr">
        <is>
          <t>Keyword List (edit this to teach the import your own categories)</t>
        </is>
      </c>
      <c r="L3" s="285" t="n"/>
      <c r="M3" s="398" t="n"/>
      <c r="N3" s="398" t="n"/>
      <c r="O3" s="398" t="n"/>
      <c r="P3" s="398" t="n"/>
      <c r="Q3" s="398" t="n"/>
      <c r="R3" s="398" t="n"/>
      <c r="S3" s="398" t="n"/>
      <c r="T3" s="398" t="n"/>
      <c r="U3" s="398" t="n"/>
      <c r="V3" s="398" t="n"/>
      <c r="W3" s="398" t="n"/>
      <c r="X3" s="398" t="n"/>
      <c r="Y3" s="398" t="n"/>
      <c r="Z3" s="398" t="n"/>
    </row>
    <row r="4" ht="62.1" customHeight="1" s="232">
      <c r="A4" s="402" t="inlineStr">
        <is>
          <t>Paste your bank export here</t>
        </is>
      </c>
      <c r="B4" s="403" t="n"/>
      <c r="C4" s="403" t="n"/>
      <c r="D4" s="402" t="inlineStr">
        <is>
          <t>Ready to copy into Transactions Log</t>
        </is>
      </c>
      <c r="E4" s="403" t="n"/>
      <c r="F4" s="403" t="n"/>
      <c r="G4" s="403" t="n"/>
      <c r="H4" s="403" t="n"/>
      <c r="I4" s="403" t="n"/>
      <c r="J4" s="398" t="n"/>
      <c r="K4" s="404" t="inlineStr">
        <is>
          <t>Add your own rows here any time. If a bank description contains this keyword anywhere, it will suggest that category automatically.</t>
        </is>
      </c>
      <c r="L4" s="285" t="n"/>
      <c r="M4" s="398" t="n"/>
      <c r="N4" s="398" t="n"/>
      <c r="O4" s="398" t="n"/>
      <c r="P4" s="398" t="n"/>
      <c r="Q4" s="398" t="n"/>
      <c r="R4" s="398" t="n"/>
      <c r="S4" s="398" t="n"/>
      <c r="T4" s="398" t="n"/>
      <c r="U4" s="398" t="n"/>
      <c r="V4" s="398" t="n"/>
      <c r="W4" s="398" t="n"/>
      <c r="X4" s="398" t="n"/>
      <c r="Y4" s="398" t="n"/>
      <c r="Z4" s="398" t="n"/>
    </row>
    <row r="5" ht="26" customHeight="1" s="232">
      <c r="A5" s="405" t="inlineStr">
        <is>
          <t>Date</t>
        </is>
      </c>
      <c r="B5" s="405" t="inlineStr">
        <is>
          <t>Description</t>
        </is>
      </c>
      <c r="C5" s="405" t="inlineStr">
        <is>
          <t>Amount</t>
        </is>
      </c>
      <c r="D5" s="405" t="inlineStr">
        <is>
          <t>Suggested Category</t>
        </is>
      </c>
      <c r="E5" s="405" t="inlineStr">
        <is>
          <t>Date</t>
        </is>
      </c>
      <c r="F5" s="405" t="inlineStr">
        <is>
          <t>Category</t>
        </is>
      </c>
      <c r="G5" s="405" t="inlineStr">
        <is>
          <t>Type</t>
        </is>
      </c>
      <c r="H5" s="405" t="inlineStr">
        <is>
          <t>Amount</t>
        </is>
      </c>
      <c r="I5" s="405" t="inlineStr">
        <is>
          <t>Notes</t>
        </is>
      </c>
      <c r="J5" s="398" t="n"/>
      <c r="K5" s="406" t="inlineStr">
        <is>
          <t>Keyword</t>
        </is>
      </c>
      <c r="L5" s="406" t="inlineStr">
        <is>
          <t>Category</t>
        </is>
      </c>
      <c r="M5" s="398" t="n"/>
      <c r="N5" s="398" t="n"/>
      <c r="O5" s="398" t="n"/>
      <c r="P5" s="398" t="n"/>
      <c r="Q5" s="398" t="n"/>
      <c r="R5" s="398" t="n"/>
      <c r="S5" s="398" t="n"/>
      <c r="T5" s="398" t="n"/>
      <c r="U5" s="398" t="n"/>
      <c r="V5" s="398" t="n"/>
      <c r="W5" s="398" t="n"/>
      <c r="X5" s="398" t="n"/>
      <c r="Y5" s="398" t="n"/>
      <c r="Z5" s="398" t="n"/>
    </row>
    <row r="6">
      <c r="A6" s="407" t="n"/>
      <c r="B6" s="398" t="n"/>
      <c r="C6" s="408" t="n"/>
      <c r="D6" s="409">
        <f t="array" ref="D6">IF(B6="","",IFERROR(INDEX($L$6:$L$33,MATCH(TRUE,ISNUMBER(SEARCH($K$6:$K$33,B6)),0)),"Review Manually"))</f>
        <v/>
      </c>
      <c r="E6" s="410">
        <f>IF(A6="","",A6)</f>
        <v/>
      </c>
      <c r="F6" s="398">
        <f>IF(B6="","",D6)</f>
        <v/>
      </c>
      <c r="G6" s="411">
        <f>IF(F6="","",IFERROR(INDEX(CategoryTypeList,MATCH(F6,CategoryList,0)),""))</f>
        <v/>
      </c>
      <c r="H6" s="412">
        <f>IF(C6="","",C6)</f>
        <v/>
      </c>
      <c r="I6" s="398" t="n"/>
      <c r="J6" s="398" t="n"/>
      <c r="K6" s="398" t="inlineStr">
        <is>
          <t>NETFLIX</t>
        </is>
      </c>
      <c r="L6" s="398" t="inlineStr">
        <is>
          <t>Subscriptions</t>
        </is>
      </c>
      <c r="M6" s="398" t="n"/>
      <c r="N6" s="398" t="n"/>
      <c r="O6" s="398" t="n"/>
      <c r="P6" s="398" t="n"/>
      <c r="Q6" s="398" t="n"/>
      <c r="R6" s="398" t="n"/>
      <c r="S6" s="398" t="n"/>
      <c r="T6" s="398" t="n"/>
      <c r="U6" s="398" t="n"/>
      <c r="V6" s="398" t="n"/>
      <c r="W6" s="398" t="n"/>
      <c r="X6" s="398" t="n"/>
      <c r="Y6" s="398" t="n"/>
      <c r="Z6" s="398" t="n"/>
    </row>
    <row r="7">
      <c r="A7" s="407" t="n"/>
      <c r="B7" s="398" t="n"/>
      <c r="C7" s="408" t="n"/>
      <c r="D7" s="409">
        <f t="array" ref="D7">IF(B7="","",IFERROR(INDEX($L$6:$L$33,MATCH(TRUE,ISNUMBER(SEARCH($K$6:$K$33,B7)),0)),"Review Manually"))</f>
        <v/>
      </c>
      <c r="E7" s="410">
        <f>IF(A7="","",A7)</f>
        <v/>
      </c>
      <c r="F7" s="398">
        <f>IF(B7="","",D7)</f>
        <v/>
      </c>
      <c r="G7" s="411">
        <f>IF(F7="","",IFERROR(INDEX(CategoryTypeList,MATCH(F7,CategoryList,0)),""))</f>
        <v/>
      </c>
      <c r="H7" s="412">
        <f>IF(C7="","",C7)</f>
        <v/>
      </c>
      <c r="I7" s="398" t="n"/>
      <c r="J7" s="398" t="n"/>
      <c r="K7" s="398" t="inlineStr">
        <is>
          <t>SPOTIFY</t>
        </is>
      </c>
      <c r="L7" s="398" t="inlineStr">
        <is>
          <t>Subscriptions</t>
        </is>
      </c>
      <c r="M7" s="398" t="n"/>
      <c r="N7" s="398" t="n"/>
      <c r="O7" s="398" t="n"/>
      <c r="P7" s="398" t="n"/>
      <c r="Q7" s="398" t="n"/>
      <c r="R7" s="398" t="n"/>
      <c r="S7" s="398" t="n"/>
      <c r="T7" s="398" t="n"/>
      <c r="U7" s="398" t="n"/>
      <c r="V7" s="398" t="n"/>
      <c r="W7" s="398" t="n"/>
      <c r="X7" s="398" t="n"/>
      <c r="Y7" s="398" t="n"/>
      <c r="Z7" s="398" t="n"/>
    </row>
    <row r="8">
      <c r="A8" s="407" t="n"/>
      <c r="B8" s="398" t="n"/>
      <c r="C8" s="408" t="n"/>
      <c r="D8" s="409">
        <f t="array" ref="D8">IF(B8="","",IFERROR(INDEX($L$6:$L$33,MATCH(TRUE,ISNUMBER(SEARCH($K$6:$K$33,B8)),0)),"Review Manually"))</f>
        <v/>
      </c>
      <c r="E8" s="410">
        <f>IF(A8="","",A8)</f>
        <v/>
      </c>
      <c r="F8" s="398">
        <f>IF(B8="","",D8)</f>
        <v/>
      </c>
      <c r="G8" s="411">
        <f>IF(F8="","",IFERROR(INDEX(CategoryTypeList,MATCH(F8,CategoryList,0)),""))</f>
        <v/>
      </c>
      <c r="H8" s="412">
        <f>IF(C8="","",C8)</f>
        <v/>
      </c>
      <c r="I8" s="398" t="n"/>
      <c r="J8" s="398" t="n"/>
      <c r="K8" s="398" t="inlineStr">
        <is>
          <t>HULU</t>
        </is>
      </c>
      <c r="L8" s="398" t="inlineStr">
        <is>
          <t>Subscriptions</t>
        </is>
      </c>
      <c r="M8" s="398" t="n"/>
      <c r="N8" s="398" t="n"/>
      <c r="O8" s="398" t="n"/>
      <c r="P8" s="398" t="n"/>
      <c r="Q8" s="398" t="n"/>
      <c r="R8" s="398" t="n"/>
      <c r="S8" s="398" t="n"/>
      <c r="T8" s="398" t="n"/>
      <c r="U8" s="398" t="n"/>
      <c r="V8" s="398" t="n"/>
      <c r="W8" s="398" t="n"/>
      <c r="X8" s="398" t="n"/>
      <c r="Y8" s="398" t="n"/>
      <c r="Z8" s="398" t="n"/>
    </row>
    <row r="9">
      <c r="A9" s="407" t="n"/>
      <c r="B9" s="398" t="n"/>
      <c r="C9" s="408" t="n"/>
      <c r="D9" s="409">
        <f t="array" ref="D9">IF(B9="","",IFERROR(INDEX($L$6:$L$33,MATCH(TRUE,ISNUMBER(SEARCH($K$6:$K$33,B9)),0)),"Review Manually"))</f>
        <v/>
      </c>
      <c r="E9" s="410">
        <f>IF(A9="","",A9)</f>
        <v/>
      </c>
      <c r="F9" s="398">
        <f>IF(B9="","",D9)</f>
        <v/>
      </c>
      <c r="G9" s="411">
        <f>IF(F9="","",IFERROR(INDEX(CategoryTypeList,MATCH(F9,CategoryList,0)),""))</f>
        <v/>
      </c>
      <c r="H9" s="412">
        <f>IF(C9="","",C9)</f>
        <v/>
      </c>
      <c r="I9" s="398" t="n"/>
      <c r="J9" s="398" t="n"/>
      <c r="K9" s="398" t="inlineStr">
        <is>
          <t>DISNEY+</t>
        </is>
      </c>
      <c r="L9" s="398" t="inlineStr">
        <is>
          <t>Subscriptions</t>
        </is>
      </c>
      <c r="M9" s="398" t="n"/>
      <c r="N9" s="398" t="n"/>
      <c r="O9" s="398" t="n"/>
      <c r="P9" s="398" t="n"/>
      <c r="Q9" s="398" t="n"/>
      <c r="R9" s="398" t="n"/>
      <c r="S9" s="398" t="n"/>
      <c r="T9" s="398" t="n"/>
      <c r="U9" s="398" t="n"/>
      <c r="V9" s="398" t="n"/>
      <c r="W9" s="398" t="n"/>
      <c r="X9" s="398" t="n"/>
      <c r="Y9" s="398" t="n"/>
      <c r="Z9" s="398" t="n"/>
    </row>
    <row r="10">
      <c r="A10" s="407" t="n"/>
      <c r="B10" s="398" t="n"/>
      <c r="C10" s="408" t="n"/>
      <c r="D10" s="409">
        <f t="array" ref="D10">IF(B10="","",IFERROR(INDEX($L$6:$L$33,MATCH(TRUE,ISNUMBER(SEARCH($K$6:$K$33,B10)),0)),"Review Manually"))</f>
        <v/>
      </c>
      <c r="E10" s="410">
        <f>IF(A10="","",A10)</f>
        <v/>
      </c>
      <c r="F10" s="398">
        <f>IF(B10="","",D10)</f>
        <v/>
      </c>
      <c r="G10" s="411">
        <f>IF(F10="","",IFERROR(INDEX(CategoryTypeList,MATCH(F10,CategoryList,0)),""))</f>
        <v/>
      </c>
      <c r="H10" s="412">
        <f>IF(C10="","",C10)</f>
        <v/>
      </c>
      <c r="I10" s="398" t="n"/>
      <c r="J10" s="398" t="n"/>
      <c r="K10" s="398" t="inlineStr">
        <is>
          <t>UBER</t>
        </is>
      </c>
      <c r="L10" s="398" t="inlineStr">
        <is>
          <t>Transportation</t>
        </is>
      </c>
      <c r="M10" s="398" t="n"/>
      <c r="N10" s="398" t="n"/>
      <c r="O10" s="398" t="n"/>
      <c r="P10" s="398" t="n"/>
      <c r="Q10" s="398" t="n"/>
      <c r="R10" s="398" t="n"/>
      <c r="S10" s="398" t="n"/>
      <c r="T10" s="398" t="n"/>
      <c r="U10" s="398" t="n"/>
      <c r="V10" s="398" t="n"/>
      <c r="W10" s="398" t="n"/>
      <c r="X10" s="398" t="n"/>
      <c r="Y10" s="398" t="n"/>
      <c r="Z10" s="398" t="n"/>
    </row>
    <row r="11">
      <c r="A11" s="407" t="n"/>
      <c r="B11" s="398" t="n"/>
      <c r="C11" s="408" t="n"/>
      <c r="D11" s="409">
        <f t="array" ref="D11">IF(B11="","",IFERROR(INDEX($L$6:$L$33,MATCH(TRUE,ISNUMBER(SEARCH($K$6:$K$33,B11)),0)),"Review Manually"))</f>
        <v/>
      </c>
      <c r="E11" s="410">
        <f>IF(A11="","",A11)</f>
        <v/>
      </c>
      <c r="F11" s="398">
        <f>IF(B11="","",D11)</f>
        <v/>
      </c>
      <c r="G11" s="411">
        <f>IF(F11="","",IFERROR(INDEX(CategoryTypeList,MATCH(F11,CategoryList,0)),""))</f>
        <v/>
      </c>
      <c r="H11" s="412">
        <f>IF(C11="","",C11)</f>
        <v/>
      </c>
      <c r="I11" s="398" t="n"/>
      <c r="J11" s="398" t="n"/>
      <c r="K11" s="398" t="inlineStr">
        <is>
          <t>LYFT</t>
        </is>
      </c>
      <c r="L11" s="398" t="inlineStr">
        <is>
          <t>Transportation</t>
        </is>
      </c>
      <c r="M11" s="398" t="n"/>
      <c r="N11" s="398" t="n"/>
      <c r="O11" s="398" t="n"/>
      <c r="P11" s="398" t="n"/>
      <c r="Q11" s="398" t="n"/>
      <c r="R11" s="398" t="n"/>
      <c r="S11" s="398" t="n"/>
      <c r="T11" s="398" t="n"/>
      <c r="U11" s="398" t="n"/>
      <c r="V11" s="398" t="n"/>
      <c r="W11" s="398" t="n"/>
      <c r="X11" s="398" t="n"/>
      <c r="Y11" s="398" t="n"/>
      <c r="Z11" s="398" t="n"/>
    </row>
    <row r="12">
      <c r="A12" s="407" t="n"/>
      <c r="B12" s="398" t="n"/>
      <c r="C12" s="408" t="n"/>
      <c r="D12" s="409">
        <f t="array" ref="D12">IF(B12="","",IFERROR(INDEX($L$6:$L$33,MATCH(TRUE,ISNUMBER(SEARCH($K$6:$K$33,B12)),0)),"Review Manually"))</f>
        <v/>
      </c>
      <c r="E12" s="410">
        <f>IF(A12="","",A12)</f>
        <v/>
      </c>
      <c r="F12" s="398">
        <f>IF(B12="","",D12)</f>
        <v/>
      </c>
      <c r="G12" s="411">
        <f>IF(F12="","",IFERROR(INDEX(CategoryTypeList,MATCH(F12,CategoryList,0)),""))</f>
        <v/>
      </c>
      <c r="H12" s="412">
        <f>IF(C12="","",C12)</f>
        <v/>
      </c>
      <c r="I12" s="398" t="n"/>
      <c r="J12" s="398" t="n"/>
      <c r="K12" s="398" t="inlineStr">
        <is>
          <t>SHELL</t>
        </is>
      </c>
      <c r="L12" s="398" t="inlineStr">
        <is>
          <t>Transportation</t>
        </is>
      </c>
      <c r="M12" s="398" t="n"/>
      <c r="N12" s="398" t="n"/>
      <c r="O12" s="398" t="n"/>
      <c r="P12" s="398" t="n"/>
      <c r="Q12" s="398" t="n"/>
      <c r="R12" s="398" t="n"/>
      <c r="S12" s="398" t="n"/>
      <c r="T12" s="398" t="n"/>
      <c r="U12" s="398" t="n"/>
      <c r="V12" s="398" t="n"/>
      <c r="W12" s="398" t="n"/>
      <c r="X12" s="398" t="n"/>
      <c r="Y12" s="398" t="n"/>
      <c r="Z12" s="398" t="n"/>
    </row>
    <row r="13">
      <c r="A13" s="407" t="n"/>
      <c r="B13" s="398" t="n"/>
      <c r="C13" s="408" t="n"/>
      <c r="D13" s="409">
        <f t="array" ref="D13">IF(B13="","",IFERROR(INDEX($L$6:$L$33,MATCH(TRUE,ISNUMBER(SEARCH($K$6:$K$33,B13)),0)),"Review Manually"))</f>
        <v/>
      </c>
      <c r="E13" s="410">
        <f>IF(A13="","",A13)</f>
        <v/>
      </c>
      <c r="F13" s="398">
        <f>IF(B13="","",D13)</f>
        <v/>
      </c>
      <c r="G13" s="411">
        <f>IF(F13="","",IFERROR(INDEX(CategoryTypeList,MATCH(F13,CategoryList,0)),""))</f>
        <v/>
      </c>
      <c r="H13" s="412">
        <f>IF(C13="","",C13)</f>
        <v/>
      </c>
      <c r="I13" s="398" t="n"/>
      <c r="J13" s="398" t="n"/>
      <c r="K13" s="398" t="inlineStr">
        <is>
          <t>GAS STATION</t>
        </is>
      </c>
      <c r="L13" s="398" t="inlineStr">
        <is>
          <t>Transportation</t>
        </is>
      </c>
      <c r="M13" s="398" t="n"/>
      <c r="N13" s="398" t="n"/>
      <c r="O13" s="398" t="n"/>
      <c r="P13" s="398" t="n"/>
      <c r="Q13" s="398" t="n"/>
      <c r="R13" s="398" t="n"/>
      <c r="S13" s="398" t="n"/>
      <c r="T13" s="398" t="n"/>
      <c r="U13" s="398" t="n"/>
      <c r="V13" s="398" t="n"/>
      <c r="W13" s="398" t="n"/>
      <c r="X13" s="398" t="n"/>
      <c r="Y13" s="398" t="n"/>
      <c r="Z13" s="398" t="n"/>
    </row>
    <row r="14">
      <c r="A14" s="407" t="n"/>
      <c r="B14" s="398" t="n"/>
      <c r="C14" s="408" t="n"/>
      <c r="D14" s="409">
        <f t="array" ref="D14">IF(B14="","",IFERROR(INDEX($L$6:$L$33,MATCH(TRUE,ISNUMBER(SEARCH($K$6:$K$33,B14)),0)),"Review Manually"))</f>
        <v/>
      </c>
      <c r="E14" s="410">
        <f>IF(A14="","",A14)</f>
        <v/>
      </c>
      <c r="F14" s="398">
        <f>IF(B14="","",D14)</f>
        <v/>
      </c>
      <c r="G14" s="411">
        <f>IF(F14="","",IFERROR(INDEX(CategoryTypeList,MATCH(F14,CategoryList,0)),""))</f>
        <v/>
      </c>
      <c r="H14" s="412">
        <f>IF(C14="","",C14)</f>
        <v/>
      </c>
      <c r="I14" s="398" t="n"/>
      <c r="J14" s="398" t="n"/>
      <c r="K14" s="398" t="inlineStr">
        <is>
          <t>WALMART</t>
        </is>
      </c>
      <c r="L14" s="398" t="inlineStr">
        <is>
          <t>Groceries</t>
        </is>
      </c>
      <c r="M14" s="398" t="n"/>
      <c r="N14" s="398" t="n"/>
      <c r="O14" s="398" t="n"/>
      <c r="P14" s="398" t="n"/>
      <c r="Q14" s="398" t="n"/>
      <c r="R14" s="398" t="n"/>
      <c r="S14" s="398" t="n"/>
      <c r="T14" s="398" t="n"/>
      <c r="U14" s="398" t="n"/>
      <c r="V14" s="398" t="n"/>
      <c r="W14" s="398" t="n"/>
      <c r="X14" s="398" t="n"/>
      <c r="Y14" s="398" t="n"/>
      <c r="Z14" s="398" t="n"/>
    </row>
    <row r="15">
      <c r="A15" s="407" t="n"/>
      <c r="B15" s="398" t="n"/>
      <c r="C15" s="408" t="n"/>
      <c r="D15" s="409">
        <f t="array" ref="D15">IF(B15="","",IFERROR(INDEX($L$6:$L$33,MATCH(TRUE,ISNUMBER(SEARCH($K$6:$K$33,B15)),0)),"Review Manually"))</f>
        <v/>
      </c>
      <c r="E15" s="410">
        <f>IF(A15="","",A15)</f>
        <v/>
      </c>
      <c r="F15" s="398">
        <f>IF(B15="","",D15)</f>
        <v/>
      </c>
      <c r="G15" s="411">
        <f>IF(F15="","",IFERROR(INDEX(CategoryTypeList,MATCH(F15,CategoryList,0)),""))</f>
        <v/>
      </c>
      <c r="H15" s="412">
        <f>IF(C15="","",C15)</f>
        <v/>
      </c>
      <c r="I15" s="398" t="n"/>
      <c r="J15" s="398" t="n"/>
      <c r="K15" s="398" t="inlineStr">
        <is>
          <t>TESCO</t>
        </is>
      </c>
      <c r="L15" s="398" t="inlineStr">
        <is>
          <t>Groceries</t>
        </is>
      </c>
      <c r="M15" s="398" t="n"/>
      <c r="N15" s="398" t="n"/>
      <c r="O15" s="398" t="n"/>
      <c r="P15" s="398" t="n"/>
      <c r="Q15" s="398" t="n"/>
      <c r="R15" s="398" t="n"/>
      <c r="S15" s="398" t="n"/>
      <c r="T15" s="398" t="n"/>
      <c r="U15" s="398" t="n"/>
      <c r="V15" s="398" t="n"/>
      <c r="W15" s="398" t="n"/>
      <c r="X15" s="398" t="n"/>
      <c r="Y15" s="398" t="n"/>
      <c r="Z15" s="398" t="n"/>
    </row>
    <row r="16">
      <c r="A16" s="407" t="n"/>
      <c r="B16" s="398" t="n"/>
      <c r="C16" s="408" t="n"/>
      <c r="D16" s="409">
        <f t="array" ref="D16">IF(B16="","",IFERROR(INDEX($L$6:$L$33,MATCH(TRUE,ISNUMBER(SEARCH($K$6:$K$33,B16)),0)),"Review Manually"))</f>
        <v/>
      </c>
      <c r="E16" s="410">
        <f>IF(A16="","",A16)</f>
        <v/>
      </c>
      <c r="F16" s="398">
        <f>IF(B16="","",D16)</f>
        <v/>
      </c>
      <c r="G16" s="411">
        <f>IF(F16="","",IFERROR(INDEX(CategoryTypeList,MATCH(F16,CategoryList,0)),""))</f>
        <v/>
      </c>
      <c r="H16" s="412">
        <f>IF(C16="","",C16)</f>
        <v/>
      </c>
      <c r="I16" s="398" t="n"/>
      <c r="J16" s="398" t="n"/>
      <c r="K16" s="398" t="inlineStr">
        <is>
          <t>WHOLE FOODS</t>
        </is>
      </c>
      <c r="L16" s="398" t="inlineStr">
        <is>
          <t>Groceries</t>
        </is>
      </c>
      <c r="M16" s="398" t="n"/>
      <c r="N16" s="398" t="n"/>
      <c r="O16" s="398" t="n"/>
      <c r="P16" s="398" t="n"/>
      <c r="Q16" s="398" t="n"/>
      <c r="R16" s="398" t="n"/>
      <c r="S16" s="398" t="n"/>
      <c r="T16" s="398" t="n"/>
      <c r="U16" s="398" t="n"/>
      <c r="V16" s="398" t="n"/>
      <c r="W16" s="398" t="n"/>
      <c r="X16" s="398" t="n"/>
      <c r="Y16" s="398" t="n"/>
      <c r="Z16" s="398" t="n"/>
    </row>
    <row r="17">
      <c r="A17" s="407" t="n"/>
      <c r="B17" s="398" t="n"/>
      <c r="C17" s="408" t="n"/>
      <c r="D17" s="409">
        <f t="array" ref="D17">IF(B17="","",IFERROR(INDEX($L$6:$L$33,MATCH(TRUE,ISNUMBER(SEARCH($K$6:$K$33,B17)),0)),"Review Manually"))</f>
        <v/>
      </c>
      <c r="E17" s="410">
        <f>IF(A17="","",A17)</f>
        <v/>
      </c>
      <c r="F17" s="398">
        <f>IF(B17="","",D17)</f>
        <v/>
      </c>
      <c r="G17" s="411">
        <f>IF(F17="","",IFERROR(INDEX(CategoryTypeList,MATCH(F17,CategoryList,0)),""))</f>
        <v/>
      </c>
      <c r="H17" s="412">
        <f>IF(C17="","",C17)</f>
        <v/>
      </c>
      <c r="I17" s="398" t="n"/>
      <c r="J17" s="398" t="n"/>
      <c r="K17" s="398" t="inlineStr">
        <is>
          <t>COSTCO</t>
        </is>
      </c>
      <c r="L17" s="398" t="inlineStr">
        <is>
          <t>Groceries</t>
        </is>
      </c>
      <c r="M17" s="398" t="n"/>
      <c r="N17" s="398" t="n"/>
      <c r="O17" s="398" t="n"/>
      <c r="P17" s="398" t="n"/>
      <c r="Q17" s="398" t="n"/>
      <c r="R17" s="398" t="n"/>
      <c r="S17" s="398" t="n"/>
      <c r="T17" s="398" t="n"/>
      <c r="U17" s="398" t="n"/>
      <c r="V17" s="398" t="n"/>
      <c r="W17" s="398" t="n"/>
      <c r="X17" s="398" t="n"/>
      <c r="Y17" s="398" t="n"/>
      <c r="Z17" s="398" t="n"/>
    </row>
    <row r="18">
      <c r="A18" s="407" t="n"/>
      <c r="B18" s="398" t="n"/>
      <c r="C18" s="408" t="n"/>
      <c r="D18" s="409">
        <f t="array" ref="D18">IF(B18="","",IFERROR(INDEX($L$6:$L$33,MATCH(TRUE,ISNUMBER(SEARCH($K$6:$K$33,B18)),0)),"Review Manually"))</f>
        <v/>
      </c>
      <c r="E18" s="410">
        <f>IF(A18="","",A18)</f>
        <v/>
      </c>
      <c r="F18" s="398">
        <f>IF(B18="","",D18)</f>
        <v/>
      </c>
      <c r="G18" s="411">
        <f>IF(F18="","",IFERROR(INDEX(CategoryTypeList,MATCH(F18,CategoryList,0)),""))</f>
        <v/>
      </c>
      <c r="H18" s="412">
        <f>IF(C18="","",C18)</f>
        <v/>
      </c>
      <c r="I18" s="398" t="n"/>
      <c r="J18" s="398" t="n"/>
      <c r="K18" s="398" t="inlineStr">
        <is>
          <t>TRADER JOE</t>
        </is>
      </c>
      <c r="L18" s="398" t="inlineStr">
        <is>
          <t>Groceries</t>
        </is>
      </c>
      <c r="M18" s="398" t="n"/>
      <c r="N18" s="398" t="n"/>
      <c r="O18" s="398" t="n"/>
      <c r="P18" s="398" t="n"/>
      <c r="Q18" s="398" t="n"/>
      <c r="R18" s="398" t="n"/>
      <c r="S18" s="398" t="n"/>
      <c r="T18" s="398" t="n"/>
      <c r="U18" s="398" t="n"/>
      <c r="V18" s="398" t="n"/>
      <c r="W18" s="398" t="n"/>
      <c r="X18" s="398" t="n"/>
      <c r="Y18" s="398" t="n"/>
      <c r="Z18" s="398" t="n"/>
    </row>
    <row r="19">
      <c r="A19" s="407" t="n"/>
      <c r="B19" s="398" t="n"/>
      <c r="C19" s="408" t="n"/>
      <c r="D19" s="409">
        <f t="array" ref="D19">IF(B19="","",IFERROR(INDEX($L$6:$L$33,MATCH(TRUE,ISNUMBER(SEARCH($K$6:$K$33,B19)),0)),"Review Manually"))</f>
        <v/>
      </c>
      <c r="E19" s="410">
        <f>IF(A19="","",A19)</f>
        <v/>
      </c>
      <c r="F19" s="398">
        <f>IF(B19="","",D19)</f>
        <v/>
      </c>
      <c r="G19" s="411">
        <f>IF(F19="","",IFERROR(INDEX(CategoryTypeList,MATCH(F19,CategoryList,0)),""))</f>
        <v/>
      </c>
      <c r="H19" s="412">
        <f>IF(C19="","",C19)</f>
        <v/>
      </c>
      <c r="I19" s="398" t="n"/>
      <c r="J19" s="398" t="n"/>
      <c r="K19" s="398" t="inlineStr">
        <is>
          <t>STARBUCKS</t>
        </is>
      </c>
      <c r="L19" s="398" t="inlineStr">
        <is>
          <t>Dining Out</t>
        </is>
      </c>
      <c r="M19" s="398" t="n"/>
      <c r="N19" s="398" t="n"/>
      <c r="O19" s="398" t="n"/>
      <c r="P19" s="398" t="n"/>
      <c r="Q19" s="398" t="n"/>
      <c r="R19" s="398" t="n"/>
      <c r="S19" s="398" t="n"/>
      <c r="T19" s="398" t="n"/>
      <c r="U19" s="398" t="n"/>
      <c r="V19" s="398" t="n"/>
      <c r="W19" s="398" t="n"/>
      <c r="X19" s="398" t="n"/>
      <c r="Y19" s="398" t="n"/>
      <c r="Z19" s="398" t="n"/>
    </row>
    <row r="20">
      <c r="A20" s="407" t="n"/>
      <c r="B20" s="398" t="n"/>
      <c r="C20" s="408" t="n"/>
      <c r="D20" s="409">
        <f t="array" ref="D20">IF(B20="","",IFERROR(INDEX($L$6:$L$33,MATCH(TRUE,ISNUMBER(SEARCH($K$6:$K$33,B20)),0)),"Review Manually"))</f>
        <v/>
      </c>
      <c r="E20" s="410">
        <f>IF(A20="","",A20)</f>
        <v/>
      </c>
      <c r="F20" s="398">
        <f>IF(B20="","",D20)</f>
        <v/>
      </c>
      <c r="G20" s="411">
        <f>IF(F20="","",IFERROR(INDEX(CategoryTypeList,MATCH(F20,CategoryList,0)),""))</f>
        <v/>
      </c>
      <c r="H20" s="412">
        <f>IF(C20="","",C20)</f>
        <v/>
      </c>
      <c r="I20" s="398" t="n"/>
      <c r="J20" s="398" t="n"/>
      <c r="K20" s="398" t="inlineStr">
        <is>
          <t>RESTAURANT</t>
        </is>
      </c>
      <c r="L20" s="398" t="inlineStr">
        <is>
          <t>Dining Out</t>
        </is>
      </c>
      <c r="M20" s="398" t="n"/>
      <c r="N20" s="398" t="n"/>
      <c r="O20" s="398" t="n"/>
      <c r="P20" s="398" t="n"/>
      <c r="Q20" s="398" t="n"/>
      <c r="R20" s="398" t="n"/>
      <c r="S20" s="398" t="n"/>
      <c r="T20" s="398" t="n"/>
      <c r="U20" s="398" t="n"/>
      <c r="V20" s="398" t="n"/>
      <c r="W20" s="398" t="n"/>
      <c r="X20" s="398" t="n"/>
      <c r="Y20" s="398" t="n"/>
      <c r="Z20" s="398" t="n"/>
    </row>
    <row r="21">
      <c r="A21" s="407" t="n"/>
      <c r="B21" s="398" t="n"/>
      <c r="C21" s="408" t="n"/>
      <c r="D21" s="409">
        <f t="array" ref="D21">IF(B21="","",IFERROR(INDEX($L$6:$L$33,MATCH(TRUE,ISNUMBER(SEARCH($K$6:$K$33,B21)),0)),"Review Manually"))</f>
        <v/>
      </c>
      <c r="E21" s="410">
        <f>IF(A21="","",A21)</f>
        <v/>
      </c>
      <c r="F21" s="398">
        <f>IF(B21="","",D21)</f>
        <v/>
      </c>
      <c r="G21" s="411">
        <f>IF(F21="","",IFERROR(INDEX(CategoryTypeList,MATCH(F21,CategoryList,0)),""))</f>
        <v/>
      </c>
      <c r="H21" s="412">
        <f>IF(C21="","",C21)</f>
        <v/>
      </c>
      <c r="I21" s="398" t="n"/>
      <c r="J21" s="398" t="n"/>
      <c r="K21" s="398" t="inlineStr">
        <is>
          <t>AMAZON</t>
        </is>
      </c>
      <c r="L21" s="398" t="inlineStr">
        <is>
          <t>Shopping</t>
        </is>
      </c>
      <c r="M21" s="398" t="n"/>
      <c r="N21" s="398" t="n"/>
      <c r="O21" s="398" t="n"/>
      <c r="P21" s="398" t="n"/>
      <c r="Q21" s="398" t="n"/>
      <c r="R21" s="398" t="n"/>
      <c r="S21" s="398" t="n"/>
      <c r="T21" s="398" t="n"/>
      <c r="U21" s="398" t="n"/>
      <c r="V21" s="398" t="n"/>
      <c r="W21" s="398" t="n"/>
      <c r="X21" s="398" t="n"/>
      <c r="Y21" s="398" t="n"/>
      <c r="Z21" s="398" t="n"/>
    </row>
    <row r="22">
      <c r="A22" s="407" t="n"/>
      <c r="B22" s="398" t="n"/>
      <c r="C22" s="408" t="n"/>
      <c r="D22" s="409">
        <f t="array" ref="D22">IF(B22="","",IFERROR(INDEX($L$6:$L$33,MATCH(TRUE,ISNUMBER(SEARCH($K$6:$K$33,B22)),0)),"Review Manually"))</f>
        <v/>
      </c>
      <c r="E22" s="410">
        <f>IF(A22="","",A22)</f>
        <v/>
      </c>
      <c r="F22" s="398">
        <f>IF(B22="","",D22)</f>
        <v/>
      </c>
      <c r="G22" s="411">
        <f>IF(F22="","",IFERROR(INDEX(CategoryTypeList,MATCH(F22,CategoryList,0)),""))</f>
        <v/>
      </c>
      <c r="H22" s="412">
        <f>IF(C22="","",C22)</f>
        <v/>
      </c>
      <c r="I22" s="398" t="n"/>
      <c r="J22" s="398" t="n"/>
      <c r="K22" s="398" t="inlineStr">
        <is>
          <t>TARGET</t>
        </is>
      </c>
      <c r="L22" s="398" t="inlineStr">
        <is>
          <t>Shopping</t>
        </is>
      </c>
      <c r="M22" s="398" t="n"/>
      <c r="N22" s="398" t="n"/>
      <c r="O22" s="398" t="n"/>
      <c r="P22" s="398" t="n"/>
      <c r="Q22" s="398" t="n"/>
      <c r="R22" s="398" t="n"/>
      <c r="S22" s="398" t="n"/>
      <c r="T22" s="398" t="n"/>
      <c r="U22" s="398" t="n"/>
      <c r="V22" s="398" t="n"/>
      <c r="W22" s="398" t="n"/>
      <c r="X22" s="398" t="n"/>
      <c r="Y22" s="398" t="n"/>
      <c r="Z22" s="398" t="n"/>
    </row>
    <row r="23">
      <c r="A23" s="407" t="n"/>
      <c r="B23" s="398" t="n"/>
      <c r="C23" s="408" t="n"/>
      <c r="D23" s="409">
        <f t="array" ref="D23">IF(B23="","",IFERROR(INDEX($L$6:$L$33,MATCH(TRUE,ISNUMBER(SEARCH($K$6:$K$33,B23)),0)),"Review Manually"))</f>
        <v/>
      </c>
      <c r="E23" s="410">
        <f>IF(A23="","",A23)</f>
        <v/>
      </c>
      <c r="F23" s="398">
        <f>IF(B23="","",D23)</f>
        <v/>
      </c>
      <c r="G23" s="411">
        <f>IF(F23="","",IFERROR(INDEX(CategoryTypeList,MATCH(F23,CategoryList,0)),""))</f>
        <v/>
      </c>
      <c r="H23" s="412">
        <f>IF(C23="","",C23)</f>
        <v/>
      </c>
      <c r="I23" s="398" t="n"/>
      <c r="J23" s="398" t="n"/>
      <c r="K23" s="398" t="inlineStr">
        <is>
          <t>RENT</t>
        </is>
      </c>
      <c r="L23" s="398" t="inlineStr">
        <is>
          <t>Rent or Mortgage</t>
        </is>
      </c>
      <c r="M23" s="398" t="n"/>
      <c r="N23" s="398" t="n"/>
      <c r="O23" s="398" t="n"/>
      <c r="P23" s="398" t="n"/>
      <c r="Q23" s="398" t="n"/>
      <c r="R23" s="398" t="n"/>
      <c r="S23" s="398" t="n"/>
      <c r="T23" s="398" t="n"/>
      <c r="U23" s="398" t="n"/>
      <c r="V23" s="398" t="n"/>
      <c r="W23" s="398" t="n"/>
      <c r="X23" s="398" t="n"/>
      <c r="Y23" s="398" t="n"/>
      <c r="Z23" s="398" t="n"/>
    </row>
    <row r="24">
      <c r="A24" s="407" t="n"/>
      <c r="B24" s="398" t="n"/>
      <c r="C24" s="408" t="n"/>
      <c r="D24" s="409">
        <f t="array" ref="D24">IF(B24="","",IFERROR(INDEX($L$6:$L$33,MATCH(TRUE,ISNUMBER(SEARCH($K$6:$K$33,B24)),0)),"Review Manually"))</f>
        <v/>
      </c>
      <c r="E24" s="410">
        <f>IF(A24="","",A24)</f>
        <v/>
      </c>
      <c r="F24" s="398">
        <f>IF(B24="","",D24)</f>
        <v/>
      </c>
      <c r="G24" s="411">
        <f>IF(F24="","",IFERROR(INDEX(CategoryTypeList,MATCH(F24,CategoryList,0)),""))</f>
        <v/>
      </c>
      <c r="H24" s="412">
        <f>IF(C24="","",C24)</f>
        <v/>
      </c>
      <c r="I24" s="398" t="n"/>
      <c r="J24" s="398" t="n"/>
      <c r="K24" s="398" t="inlineStr">
        <is>
          <t>MORTGAGE</t>
        </is>
      </c>
      <c r="L24" s="398" t="inlineStr">
        <is>
          <t>Rent or Mortgage</t>
        </is>
      </c>
      <c r="M24" s="398" t="n"/>
      <c r="N24" s="398" t="n"/>
      <c r="O24" s="398" t="n"/>
      <c r="P24" s="398" t="n"/>
      <c r="Q24" s="398" t="n"/>
      <c r="R24" s="398" t="n"/>
      <c r="S24" s="398" t="n"/>
      <c r="T24" s="398" t="n"/>
      <c r="U24" s="398" t="n"/>
      <c r="V24" s="398" t="n"/>
      <c r="W24" s="398" t="n"/>
      <c r="X24" s="398" t="n"/>
      <c r="Y24" s="398" t="n"/>
      <c r="Z24" s="398" t="n"/>
    </row>
    <row r="25">
      <c r="A25" s="407" t="n"/>
      <c r="B25" s="398" t="n"/>
      <c r="C25" s="408" t="n"/>
      <c r="D25" s="409">
        <f t="array" ref="D25">IF(B25="","",IFERROR(INDEX($L$6:$L$33,MATCH(TRUE,ISNUMBER(SEARCH($K$6:$K$33,B25)),0)),"Review Manually"))</f>
        <v/>
      </c>
      <c r="E25" s="410">
        <f>IF(A25="","",A25)</f>
        <v/>
      </c>
      <c r="F25" s="398">
        <f>IF(B25="","",D25)</f>
        <v/>
      </c>
      <c r="G25" s="411">
        <f>IF(F25="","",IFERROR(INDEX(CategoryTypeList,MATCH(F25,CategoryList,0)),""))</f>
        <v/>
      </c>
      <c r="H25" s="412">
        <f>IF(C25="","",C25)</f>
        <v/>
      </c>
      <c r="I25" s="398" t="n"/>
      <c r="J25" s="398" t="n"/>
      <c r="K25" s="398" t="inlineStr">
        <is>
          <t>ELECTRIC</t>
        </is>
      </c>
      <c r="L25" s="398" t="inlineStr">
        <is>
          <t>Electricity</t>
        </is>
      </c>
      <c r="M25" s="398" t="n"/>
      <c r="N25" s="398" t="n"/>
      <c r="O25" s="398" t="n"/>
      <c r="P25" s="398" t="n"/>
      <c r="Q25" s="398" t="n"/>
      <c r="R25" s="398" t="n"/>
      <c r="S25" s="398" t="n"/>
      <c r="T25" s="398" t="n"/>
      <c r="U25" s="398" t="n"/>
      <c r="V25" s="398" t="n"/>
      <c r="W25" s="398" t="n"/>
      <c r="X25" s="398" t="n"/>
      <c r="Y25" s="398" t="n"/>
      <c r="Z25" s="398" t="n"/>
    </row>
    <row r="26">
      <c r="A26" s="407" t="n"/>
      <c r="B26" s="398" t="n"/>
      <c r="C26" s="408" t="n"/>
      <c r="D26" s="409">
        <f t="array" ref="D26">IF(B26="","",IFERROR(INDEX($L$6:$L$33,MATCH(TRUE,ISNUMBER(SEARCH($K$6:$K$33,B26)),0)),"Review Manually"))</f>
        <v/>
      </c>
      <c r="E26" s="410">
        <f>IF(A26="","",A26)</f>
        <v/>
      </c>
      <c r="F26" s="398">
        <f>IF(B26="","",D26)</f>
        <v/>
      </c>
      <c r="G26" s="411">
        <f>IF(F26="","",IFERROR(INDEX(CategoryTypeList,MATCH(F26,CategoryList,0)),""))</f>
        <v/>
      </c>
      <c r="H26" s="412">
        <f>IF(C26="","",C26)</f>
        <v/>
      </c>
      <c r="I26" s="398" t="n"/>
      <c r="J26" s="398" t="n"/>
      <c r="K26" s="398" t="inlineStr">
        <is>
          <t>WATER UTILITY</t>
        </is>
      </c>
      <c r="L26" s="398" t="inlineStr">
        <is>
          <t>Water</t>
        </is>
      </c>
      <c r="M26" s="398" t="n"/>
      <c r="N26" s="398" t="n"/>
      <c r="O26" s="398" t="n"/>
      <c r="P26" s="398" t="n"/>
      <c r="Q26" s="398" t="n"/>
      <c r="R26" s="398" t="n"/>
      <c r="S26" s="398" t="n"/>
      <c r="T26" s="398" t="n"/>
      <c r="U26" s="398" t="n"/>
      <c r="V26" s="398" t="n"/>
      <c r="W26" s="398" t="n"/>
      <c r="X26" s="398" t="n"/>
      <c r="Y26" s="398" t="n"/>
      <c r="Z26" s="398" t="n"/>
    </row>
    <row r="27">
      <c r="A27" s="407" t="n"/>
      <c r="B27" s="398" t="n"/>
      <c r="C27" s="408" t="n"/>
      <c r="D27" s="409">
        <f t="array" ref="D27">IF(B27="","",IFERROR(INDEX($L$6:$L$33,MATCH(TRUE,ISNUMBER(SEARCH($K$6:$K$33,B27)),0)),"Review Manually"))</f>
        <v/>
      </c>
      <c r="E27" s="410">
        <f>IF(A27="","",A27)</f>
        <v/>
      </c>
      <c r="F27" s="398">
        <f>IF(B27="","",D27)</f>
        <v/>
      </c>
      <c r="G27" s="411">
        <f>IF(F27="","",IFERROR(INDEX(CategoryTypeList,MATCH(F27,CategoryList,0)),""))</f>
        <v/>
      </c>
      <c r="H27" s="412">
        <f>IF(C27="","",C27)</f>
        <v/>
      </c>
      <c r="I27" s="398" t="n"/>
      <c r="J27" s="398" t="n"/>
      <c r="K27" s="398" t="inlineStr">
        <is>
          <t>INTERNET</t>
        </is>
      </c>
      <c r="L27" s="398" t="inlineStr">
        <is>
          <t>Internet</t>
        </is>
      </c>
      <c r="M27" s="398" t="n"/>
      <c r="N27" s="398" t="n"/>
      <c r="O27" s="398" t="n"/>
      <c r="P27" s="398" t="n"/>
      <c r="Q27" s="398" t="n"/>
      <c r="R27" s="398" t="n"/>
      <c r="S27" s="398" t="n"/>
      <c r="T27" s="398" t="n"/>
      <c r="U27" s="398" t="n"/>
      <c r="V27" s="398" t="n"/>
      <c r="W27" s="398" t="n"/>
      <c r="X27" s="398" t="n"/>
      <c r="Y27" s="398" t="n"/>
      <c r="Z27" s="398" t="n"/>
    </row>
    <row r="28">
      <c r="A28" s="407" t="n"/>
      <c r="B28" s="398" t="n"/>
      <c r="C28" s="408" t="n"/>
      <c r="D28" s="409">
        <f t="array" ref="D28">IF(B28="","",IFERROR(INDEX($L$6:$L$33,MATCH(TRUE,ISNUMBER(SEARCH($K$6:$K$33,B28)),0)),"Review Manually"))</f>
        <v/>
      </c>
      <c r="E28" s="410">
        <f>IF(A28="","",A28)</f>
        <v/>
      </c>
      <c r="F28" s="398">
        <f>IF(B28="","",D28)</f>
        <v/>
      </c>
      <c r="G28" s="411">
        <f>IF(F28="","",IFERROR(INDEX(CategoryTypeList,MATCH(F28,CategoryList,0)),""))</f>
        <v/>
      </c>
      <c r="H28" s="412">
        <f>IF(C28="","",C28)</f>
        <v/>
      </c>
      <c r="I28" s="398" t="n"/>
      <c r="J28" s="398" t="n"/>
      <c r="K28" s="398" t="inlineStr">
        <is>
          <t>PHONE</t>
        </is>
      </c>
      <c r="L28" s="398" t="inlineStr">
        <is>
          <t>Phone</t>
        </is>
      </c>
      <c r="M28" s="398" t="n"/>
      <c r="N28" s="398" t="n"/>
      <c r="O28" s="398" t="n"/>
      <c r="P28" s="398" t="n"/>
      <c r="Q28" s="398" t="n"/>
      <c r="R28" s="398" t="n"/>
      <c r="S28" s="398" t="n"/>
      <c r="T28" s="398" t="n"/>
      <c r="U28" s="398" t="n"/>
      <c r="V28" s="398" t="n"/>
      <c r="W28" s="398" t="n"/>
      <c r="X28" s="398" t="n"/>
      <c r="Y28" s="398" t="n"/>
      <c r="Z28" s="398" t="n"/>
    </row>
    <row r="29">
      <c r="A29" s="407" t="n"/>
      <c r="B29" s="398" t="n"/>
      <c r="C29" s="408" t="n"/>
      <c r="D29" s="409">
        <f t="array" ref="D29">IF(B29="","",IFERROR(INDEX($L$6:$L$33,MATCH(TRUE,ISNUMBER(SEARCH($K$6:$K$33,B29)),0)),"Review Manually"))</f>
        <v/>
      </c>
      <c r="E29" s="410">
        <f>IF(A29="","",A29)</f>
        <v/>
      </c>
      <c r="F29" s="398">
        <f>IF(B29="","",D29)</f>
        <v/>
      </c>
      <c r="G29" s="411">
        <f>IF(F29="","",IFERROR(INDEX(CategoryTypeList,MATCH(F29,CategoryList,0)),""))</f>
        <v/>
      </c>
      <c r="H29" s="412">
        <f>IF(C29="","",C29)</f>
        <v/>
      </c>
      <c r="I29" s="398" t="n"/>
      <c r="J29" s="398" t="n"/>
      <c r="K29" s="398" t="inlineStr">
        <is>
          <t>INSURANCE</t>
        </is>
      </c>
      <c r="L29" s="398" t="inlineStr">
        <is>
          <t>Insurance</t>
        </is>
      </c>
      <c r="M29" s="398" t="n"/>
      <c r="N29" s="398" t="n"/>
      <c r="O29" s="398" t="n"/>
      <c r="P29" s="398" t="n"/>
      <c r="Q29" s="398" t="n"/>
      <c r="R29" s="398" t="n"/>
      <c r="S29" s="398" t="n"/>
      <c r="T29" s="398" t="n"/>
      <c r="U29" s="398" t="n"/>
      <c r="V29" s="398" t="n"/>
      <c r="W29" s="398" t="n"/>
      <c r="X29" s="398" t="n"/>
      <c r="Y29" s="398" t="n"/>
      <c r="Z29" s="398" t="n"/>
    </row>
    <row r="30">
      <c r="A30" s="407" t="n"/>
      <c r="B30" s="398" t="n"/>
      <c r="C30" s="408" t="n"/>
      <c r="D30" s="409">
        <f t="array" ref="D30">IF(B30="","",IFERROR(INDEX($L$6:$L$33,MATCH(TRUE,ISNUMBER(SEARCH($K$6:$K$33,B30)),0)),"Review Manually"))</f>
        <v/>
      </c>
      <c r="E30" s="410">
        <f>IF(A30="","",A30)</f>
        <v/>
      </c>
      <c r="F30" s="398">
        <f>IF(B30="","",D30)</f>
        <v/>
      </c>
      <c r="G30" s="411">
        <f>IF(F30="","",IFERROR(INDEX(CategoryTypeList,MATCH(F30,CategoryList,0)),""))</f>
        <v/>
      </c>
      <c r="H30" s="412">
        <f>IF(C30="","",C30)</f>
        <v/>
      </c>
      <c r="I30" s="398" t="n"/>
      <c r="J30" s="398" t="n"/>
      <c r="K30" s="398" t="inlineStr">
        <is>
          <t>GYM</t>
        </is>
      </c>
      <c r="L30" s="398" t="inlineStr">
        <is>
          <t>Household Supplies</t>
        </is>
      </c>
      <c r="M30" s="398" t="n"/>
      <c r="N30" s="398" t="n"/>
      <c r="O30" s="398" t="n"/>
      <c r="P30" s="398" t="n"/>
      <c r="Q30" s="398" t="n"/>
      <c r="R30" s="398" t="n"/>
      <c r="S30" s="398" t="n"/>
      <c r="T30" s="398" t="n"/>
      <c r="U30" s="398" t="n"/>
      <c r="V30" s="398" t="n"/>
      <c r="W30" s="398" t="n"/>
      <c r="X30" s="398" t="n"/>
      <c r="Y30" s="398" t="n"/>
      <c r="Z30" s="398" t="n"/>
    </row>
    <row r="31">
      <c r="A31" s="407" t="n"/>
      <c r="B31" s="398" t="n"/>
      <c r="C31" s="408" t="n"/>
      <c r="D31" s="409">
        <f t="array" ref="D31">IF(B31="","",IFERROR(INDEX($L$6:$L$33,MATCH(TRUE,ISNUMBER(SEARCH($K$6:$K$33,B31)),0)),"Review Manually"))</f>
        <v/>
      </c>
      <c r="E31" s="410">
        <f>IF(A31="","",A31)</f>
        <v/>
      </c>
      <c r="F31" s="398">
        <f>IF(B31="","",D31)</f>
        <v/>
      </c>
      <c r="G31" s="411">
        <f>IF(F31="","",IFERROR(INDEX(CategoryTypeList,MATCH(F31,CategoryList,0)),""))</f>
        <v/>
      </c>
      <c r="H31" s="412">
        <f>IF(C31="","",C31)</f>
        <v/>
      </c>
      <c r="I31" s="398" t="n"/>
      <c r="J31" s="398" t="n"/>
      <c r="K31" s="398" t="inlineStr">
        <is>
          <t>PHARMACY</t>
        </is>
      </c>
      <c r="L31" s="398" t="inlineStr">
        <is>
          <t>Personal Care</t>
        </is>
      </c>
      <c r="M31" s="398" t="n"/>
      <c r="N31" s="398" t="n"/>
      <c r="O31" s="398" t="n"/>
      <c r="P31" s="398" t="n"/>
      <c r="Q31" s="398" t="n"/>
      <c r="R31" s="398" t="n"/>
      <c r="S31" s="398" t="n"/>
      <c r="T31" s="398" t="n"/>
      <c r="U31" s="398" t="n"/>
      <c r="V31" s="398" t="n"/>
      <c r="W31" s="398" t="n"/>
      <c r="X31" s="398" t="n"/>
      <c r="Y31" s="398" t="n"/>
      <c r="Z31" s="398" t="n"/>
    </row>
    <row r="32">
      <c r="A32" s="407" t="n"/>
      <c r="B32" s="398" t="n"/>
      <c r="C32" s="408" t="n"/>
      <c r="D32" s="409">
        <f t="array" ref="D32">IF(B32="","",IFERROR(INDEX($L$6:$L$33,MATCH(TRUE,ISNUMBER(SEARCH($K$6:$K$33,B32)),0)),"Review Manually"))</f>
        <v/>
      </c>
      <c r="E32" s="410">
        <f>IF(A32="","",A32)</f>
        <v/>
      </c>
      <c r="F32" s="398">
        <f>IF(B32="","",D32)</f>
        <v/>
      </c>
      <c r="G32" s="411">
        <f>IF(F32="","",IFERROR(INDEX(CategoryTypeList,MATCH(F32,CategoryList,0)),""))</f>
        <v/>
      </c>
      <c r="H32" s="412">
        <f>IF(C32="","",C32)</f>
        <v/>
      </c>
      <c r="I32" s="398" t="n"/>
      <c r="J32" s="398" t="n"/>
      <c r="K32" s="398" t="inlineStr">
        <is>
          <t>PAYROLL</t>
        </is>
      </c>
      <c r="L32" s="398" t="inlineStr">
        <is>
          <t>Paycheck</t>
        </is>
      </c>
      <c r="M32" s="398" t="n"/>
      <c r="N32" s="398" t="n"/>
      <c r="O32" s="398" t="n"/>
      <c r="P32" s="398" t="n"/>
      <c r="Q32" s="398" t="n"/>
      <c r="R32" s="398" t="n"/>
      <c r="S32" s="398" t="n"/>
      <c r="T32" s="398" t="n"/>
      <c r="U32" s="398" t="n"/>
      <c r="V32" s="398" t="n"/>
      <c r="W32" s="398" t="n"/>
      <c r="X32" s="398" t="n"/>
      <c r="Y32" s="398" t="n"/>
      <c r="Z32" s="398" t="n"/>
    </row>
    <row r="33">
      <c r="A33" s="407" t="n"/>
      <c r="B33" s="398" t="n"/>
      <c r="C33" s="408" t="n"/>
      <c r="D33" s="409">
        <f t="array" ref="D33">IF(B33="","",IFERROR(INDEX($L$6:$L$33,MATCH(TRUE,ISNUMBER(SEARCH($K$6:$K$33,B33)),0)),"Review Manually"))</f>
        <v/>
      </c>
      <c r="E33" s="410">
        <f>IF(A33="","",A33)</f>
        <v/>
      </c>
      <c r="F33" s="398">
        <f>IF(B33="","",D33)</f>
        <v/>
      </c>
      <c r="G33" s="411">
        <f>IF(F33="","",IFERROR(INDEX(CategoryTypeList,MATCH(F33,CategoryList,0)),""))</f>
        <v/>
      </c>
      <c r="H33" s="412">
        <f>IF(C33="","",C33)</f>
        <v/>
      </c>
      <c r="I33" s="398" t="n"/>
      <c r="J33" s="398" t="n"/>
      <c r="K33" s="398" t="inlineStr">
        <is>
          <t>DIRECT DEPOSIT</t>
        </is>
      </c>
      <c r="L33" s="398" t="inlineStr">
        <is>
          <t>Paycheck</t>
        </is>
      </c>
      <c r="M33" s="398" t="n"/>
      <c r="N33" s="398" t="n"/>
      <c r="O33" s="398" t="n"/>
      <c r="P33" s="398" t="n"/>
      <c r="Q33" s="398" t="n"/>
      <c r="R33" s="398" t="n"/>
      <c r="S33" s="398" t="n"/>
      <c r="T33" s="398" t="n"/>
      <c r="U33" s="398" t="n"/>
      <c r="V33" s="398" t="n"/>
      <c r="W33" s="398" t="n"/>
      <c r="X33" s="398" t="n"/>
      <c r="Y33" s="398" t="n"/>
      <c r="Z33" s="398" t="n"/>
    </row>
    <row r="34">
      <c r="A34" s="407" t="n"/>
      <c r="B34" s="398" t="n"/>
      <c r="C34" s="408" t="n"/>
      <c r="D34" s="409">
        <f t="array" ref="D34">IF(B34="","",IFERROR(INDEX($L$6:$L$33,MATCH(TRUE,ISNUMBER(SEARCH($K$6:$K$33,B34)),0)),"Review Manually"))</f>
        <v/>
      </c>
      <c r="E34" s="410">
        <f>IF(A34="","",A34)</f>
        <v/>
      </c>
      <c r="F34" s="398">
        <f>IF(B34="","",D34)</f>
        <v/>
      </c>
      <c r="G34" s="411">
        <f>IF(F34="","",IFERROR(INDEX(CategoryTypeList,MATCH(F34,CategoryList,0)),""))</f>
        <v/>
      </c>
      <c r="H34" s="412">
        <f>IF(C34="","",C34)</f>
        <v/>
      </c>
      <c r="I34" s="398" t="n"/>
      <c r="J34" s="398" t="n"/>
      <c r="K34" s="398" t="n"/>
      <c r="L34" s="398" t="n"/>
      <c r="M34" s="398" t="n"/>
      <c r="N34" s="398" t="n"/>
      <c r="O34" s="398" t="n"/>
      <c r="P34" s="398" t="n"/>
      <c r="Q34" s="398" t="n"/>
      <c r="R34" s="398" t="n"/>
      <c r="S34" s="398" t="n"/>
      <c r="T34" s="398" t="n"/>
      <c r="U34" s="398" t="n"/>
      <c r="V34" s="398" t="n"/>
      <c r="W34" s="398" t="n"/>
      <c r="X34" s="398" t="n"/>
      <c r="Y34" s="398" t="n"/>
      <c r="Z34" s="398" t="n"/>
    </row>
    <row r="35">
      <c r="A35" s="407" t="n"/>
      <c r="B35" s="398" t="n"/>
      <c r="C35" s="408" t="n"/>
      <c r="D35" s="409">
        <f t="array" ref="D35">IF(B35="","",IFERROR(INDEX($L$6:$L$33,MATCH(TRUE,ISNUMBER(SEARCH($K$6:$K$33,B35)),0)),"Review Manually"))</f>
        <v/>
      </c>
      <c r="E35" s="410">
        <f>IF(A35="","",A35)</f>
        <v/>
      </c>
      <c r="F35" s="398">
        <f>IF(B35="","",D35)</f>
        <v/>
      </c>
      <c r="G35" s="411">
        <f>IF(F35="","",IFERROR(INDEX(CategoryTypeList,MATCH(F35,CategoryList,0)),""))</f>
        <v/>
      </c>
      <c r="H35" s="412">
        <f>IF(C35="","",C35)</f>
        <v/>
      </c>
      <c r="I35" s="398" t="n"/>
      <c r="J35" s="398" t="n"/>
      <c r="K35" s="398" t="n"/>
      <c r="L35" s="398" t="n"/>
      <c r="M35" s="398" t="n"/>
      <c r="N35" s="398" t="n"/>
      <c r="O35" s="398" t="n"/>
      <c r="P35" s="398" t="n"/>
      <c r="Q35" s="398" t="n"/>
      <c r="R35" s="398" t="n"/>
      <c r="S35" s="398" t="n"/>
      <c r="T35" s="398" t="n"/>
      <c r="U35" s="398" t="n"/>
      <c r="V35" s="398" t="n"/>
      <c r="W35" s="398" t="n"/>
      <c r="X35" s="398" t="n"/>
      <c r="Y35" s="398" t="n"/>
      <c r="Z35" s="398" t="n"/>
    </row>
    <row r="36">
      <c r="A36" s="407" t="n"/>
      <c r="B36" s="398" t="n"/>
      <c r="C36" s="408" t="n"/>
      <c r="D36" s="409">
        <f t="array" ref="D36">IF(B36="","",IFERROR(INDEX($L$6:$L$33,MATCH(TRUE,ISNUMBER(SEARCH($K$6:$K$33,B36)),0)),"Review Manually"))</f>
        <v/>
      </c>
      <c r="E36" s="410">
        <f>IF(A36="","",A36)</f>
        <v/>
      </c>
      <c r="F36" s="398">
        <f>IF(B36="","",D36)</f>
        <v/>
      </c>
      <c r="G36" s="411">
        <f>IF(F36="","",IFERROR(INDEX(CategoryTypeList,MATCH(F36,CategoryList,0)),""))</f>
        <v/>
      </c>
      <c r="H36" s="412">
        <f>IF(C36="","",C36)</f>
        <v/>
      </c>
      <c r="I36" s="398" t="n"/>
      <c r="J36" s="398" t="n"/>
      <c r="K36" s="398" t="n"/>
      <c r="L36" s="398" t="n"/>
      <c r="M36" s="398" t="n"/>
      <c r="N36" s="398" t="n"/>
      <c r="O36" s="398" t="n"/>
      <c r="P36" s="398" t="n"/>
      <c r="Q36" s="398" t="n"/>
      <c r="R36" s="398" t="n"/>
      <c r="S36" s="398" t="n"/>
      <c r="T36" s="398" t="n"/>
      <c r="U36" s="398" t="n"/>
      <c r="V36" s="398" t="n"/>
      <c r="W36" s="398" t="n"/>
      <c r="X36" s="398" t="n"/>
      <c r="Y36" s="398" t="n"/>
      <c r="Z36" s="398" t="n"/>
    </row>
    <row r="37">
      <c r="A37" s="407" t="n"/>
      <c r="B37" s="398" t="n"/>
      <c r="C37" s="408" t="n"/>
      <c r="D37" s="409">
        <f t="array" ref="D37">IF(B37="","",IFERROR(INDEX($L$6:$L$33,MATCH(TRUE,ISNUMBER(SEARCH($K$6:$K$33,B37)),0)),"Review Manually"))</f>
        <v/>
      </c>
      <c r="E37" s="410">
        <f>IF(A37="","",A37)</f>
        <v/>
      </c>
      <c r="F37" s="398">
        <f>IF(B37="","",D37)</f>
        <v/>
      </c>
      <c r="G37" s="411">
        <f>IF(F37="","",IFERROR(INDEX(CategoryTypeList,MATCH(F37,CategoryList,0)),""))</f>
        <v/>
      </c>
      <c r="H37" s="412">
        <f>IF(C37="","",C37)</f>
        <v/>
      </c>
      <c r="I37" s="398" t="n"/>
      <c r="J37" s="398" t="n"/>
      <c r="K37" s="398" t="n"/>
      <c r="L37" s="398" t="n"/>
      <c r="M37" s="398" t="n"/>
      <c r="N37" s="398" t="n"/>
      <c r="O37" s="398" t="n"/>
      <c r="P37" s="398" t="n"/>
      <c r="Q37" s="398" t="n"/>
      <c r="R37" s="398" t="n"/>
      <c r="S37" s="398" t="n"/>
      <c r="T37" s="398" t="n"/>
      <c r="U37" s="398" t="n"/>
      <c r="V37" s="398" t="n"/>
      <c r="W37" s="398" t="n"/>
      <c r="X37" s="398" t="n"/>
      <c r="Y37" s="398" t="n"/>
      <c r="Z37" s="398" t="n"/>
    </row>
    <row r="38">
      <c r="A38" s="407" t="n"/>
      <c r="B38" s="398" t="n"/>
      <c r="C38" s="408" t="n"/>
      <c r="D38" s="409">
        <f t="array" ref="D38">IF(B38="","",IFERROR(INDEX($L$6:$L$33,MATCH(TRUE,ISNUMBER(SEARCH($K$6:$K$33,B38)),0)),"Review Manually"))</f>
        <v/>
      </c>
      <c r="E38" s="410">
        <f>IF(A38="","",A38)</f>
        <v/>
      </c>
      <c r="F38" s="398">
        <f>IF(B38="","",D38)</f>
        <v/>
      </c>
      <c r="G38" s="411">
        <f>IF(F38="","",IFERROR(INDEX(CategoryTypeList,MATCH(F38,CategoryList,0)),""))</f>
        <v/>
      </c>
      <c r="H38" s="412">
        <f>IF(C38="","",C38)</f>
        <v/>
      </c>
      <c r="I38" s="398" t="n"/>
      <c r="J38" s="398" t="n"/>
      <c r="K38" s="398" t="n"/>
      <c r="L38" s="398" t="n"/>
      <c r="M38" s="398" t="n"/>
      <c r="N38" s="398" t="n"/>
      <c r="O38" s="398" t="n"/>
      <c r="P38" s="398" t="n"/>
      <c r="Q38" s="398" t="n"/>
      <c r="R38" s="398" t="n"/>
      <c r="S38" s="398" t="n"/>
      <c r="T38" s="398" t="n"/>
      <c r="U38" s="398" t="n"/>
      <c r="V38" s="398" t="n"/>
      <c r="W38" s="398" t="n"/>
      <c r="X38" s="398" t="n"/>
      <c r="Y38" s="398" t="n"/>
      <c r="Z38" s="398" t="n"/>
    </row>
    <row r="39">
      <c r="A39" s="407" t="n"/>
      <c r="B39" s="398" t="n"/>
      <c r="C39" s="408" t="n"/>
      <c r="D39" s="409">
        <f t="array" ref="D39">IF(B39="","",IFERROR(INDEX($L$6:$L$33,MATCH(TRUE,ISNUMBER(SEARCH($K$6:$K$33,B39)),0)),"Review Manually"))</f>
        <v/>
      </c>
      <c r="E39" s="410">
        <f>IF(A39="","",A39)</f>
        <v/>
      </c>
      <c r="F39" s="398">
        <f>IF(B39="","",D39)</f>
        <v/>
      </c>
      <c r="G39" s="411">
        <f>IF(F39="","",IFERROR(INDEX(CategoryTypeList,MATCH(F39,CategoryList,0)),""))</f>
        <v/>
      </c>
      <c r="H39" s="412">
        <f>IF(C39="","",C39)</f>
        <v/>
      </c>
      <c r="I39" s="398" t="n"/>
      <c r="J39" s="398" t="n"/>
      <c r="K39" s="398" t="n"/>
      <c r="L39" s="398" t="n"/>
      <c r="M39" s="398" t="n"/>
      <c r="N39" s="398" t="n"/>
      <c r="O39" s="398" t="n"/>
      <c r="P39" s="398" t="n"/>
      <c r="Q39" s="398" t="n"/>
      <c r="R39" s="398" t="n"/>
      <c r="S39" s="398" t="n"/>
      <c r="T39" s="398" t="n"/>
      <c r="U39" s="398" t="n"/>
      <c r="V39" s="398" t="n"/>
      <c r="W39" s="398" t="n"/>
      <c r="X39" s="398" t="n"/>
      <c r="Y39" s="398" t="n"/>
      <c r="Z39" s="398" t="n"/>
    </row>
    <row r="40">
      <c r="A40" s="407" t="n"/>
      <c r="B40" s="398" t="n"/>
      <c r="C40" s="408" t="n"/>
      <c r="D40" s="409">
        <f t="array" ref="D40">IF(B40="","",IFERROR(INDEX($L$6:$L$33,MATCH(TRUE,ISNUMBER(SEARCH($K$6:$K$33,B40)),0)),"Review Manually"))</f>
        <v/>
      </c>
      <c r="E40" s="410">
        <f>IF(A40="","",A40)</f>
        <v/>
      </c>
      <c r="F40" s="398">
        <f>IF(B40="","",D40)</f>
        <v/>
      </c>
      <c r="G40" s="411">
        <f>IF(F40="","",IFERROR(INDEX(CategoryTypeList,MATCH(F40,CategoryList,0)),""))</f>
        <v/>
      </c>
      <c r="H40" s="412">
        <f>IF(C40="","",C40)</f>
        <v/>
      </c>
      <c r="I40" s="398" t="n"/>
      <c r="J40" s="398" t="n"/>
      <c r="K40" s="398" t="n"/>
      <c r="L40" s="398" t="n"/>
      <c r="M40" s="398" t="n"/>
      <c r="N40" s="398" t="n"/>
      <c r="O40" s="398" t="n"/>
      <c r="P40" s="398" t="n"/>
      <c r="Q40" s="398" t="n"/>
      <c r="R40" s="398" t="n"/>
      <c r="S40" s="398" t="n"/>
      <c r="T40" s="398" t="n"/>
      <c r="U40" s="398" t="n"/>
      <c r="V40" s="398" t="n"/>
      <c r="W40" s="398" t="n"/>
      <c r="X40" s="398" t="n"/>
      <c r="Y40" s="398" t="n"/>
      <c r="Z40" s="398" t="n"/>
    </row>
    <row r="41">
      <c r="A41" s="407" t="n"/>
      <c r="B41" s="398" t="n"/>
      <c r="C41" s="408" t="n"/>
      <c r="D41" s="409">
        <f t="array" ref="D41">IF(B41="","",IFERROR(INDEX($L$6:$L$33,MATCH(TRUE,ISNUMBER(SEARCH($K$6:$K$33,B41)),0)),"Review Manually"))</f>
        <v/>
      </c>
      <c r="E41" s="410">
        <f>IF(A41="","",A41)</f>
        <v/>
      </c>
      <c r="F41" s="398">
        <f>IF(B41="","",D41)</f>
        <v/>
      </c>
      <c r="G41" s="411">
        <f>IF(F41="","",IFERROR(INDEX(CategoryTypeList,MATCH(F41,CategoryList,0)),""))</f>
        <v/>
      </c>
      <c r="H41" s="412">
        <f>IF(C41="","",C41)</f>
        <v/>
      </c>
      <c r="I41" s="398" t="n"/>
      <c r="J41" s="398" t="n"/>
      <c r="K41" s="398" t="n"/>
      <c r="L41" s="398" t="n"/>
      <c r="M41" s="398" t="n"/>
      <c r="N41" s="398" t="n"/>
      <c r="O41" s="398" t="n"/>
      <c r="P41" s="398" t="n"/>
      <c r="Q41" s="398" t="n"/>
      <c r="R41" s="398" t="n"/>
      <c r="S41" s="398" t="n"/>
      <c r="T41" s="398" t="n"/>
      <c r="U41" s="398" t="n"/>
      <c r="V41" s="398" t="n"/>
      <c r="W41" s="398" t="n"/>
      <c r="X41" s="398" t="n"/>
      <c r="Y41" s="398" t="n"/>
      <c r="Z41" s="398" t="n"/>
    </row>
    <row r="42">
      <c r="A42" s="407" t="n"/>
      <c r="B42" s="398" t="n"/>
      <c r="C42" s="408" t="n"/>
      <c r="D42" s="409">
        <f t="array" ref="D42">IF(B42="","",IFERROR(INDEX($L$6:$L$33,MATCH(TRUE,ISNUMBER(SEARCH($K$6:$K$33,B42)),0)),"Review Manually"))</f>
        <v/>
      </c>
      <c r="E42" s="410">
        <f>IF(A42="","",A42)</f>
        <v/>
      </c>
      <c r="F42" s="398">
        <f>IF(B42="","",D42)</f>
        <v/>
      </c>
      <c r="G42" s="411">
        <f>IF(F42="","",IFERROR(INDEX(CategoryTypeList,MATCH(F42,CategoryList,0)),""))</f>
        <v/>
      </c>
      <c r="H42" s="412">
        <f>IF(C42="","",C42)</f>
        <v/>
      </c>
      <c r="I42" s="398" t="n"/>
      <c r="J42" s="398" t="n"/>
      <c r="K42" s="398" t="n"/>
      <c r="L42" s="398" t="n"/>
      <c r="M42" s="398" t="n"/>
      <c r="N42" s="398" t="n"/>
      <c r="O42" s="398" t="n"/>
      <c r="P42" s="398" t="n"/>
      <c r="Q42" s="398" t="n"/>
      <c r="R42" s="398" t="n"/>
      <c r="S42" s="398" t="n"/>
      <c r="T42" s="398" t="n"/>
      <c r="U42" s="398" t="n"/>
      <c r="V42" s="398" t="n"/>
      <c r="W42" s="398" t="n"/>
      <c r="X42" s="398" t="n"/>
      <c r="Y42" s="398" t="n"/>
      <c r="Z42" s="398" t="n"/>
    </row>
    <row r="43">
      <c r="A43" s="407" t="n"/>
      <c r="B43" s="398" t="n"/>
      <c r="C43" s="408" t="n"/>
      <c r="D43" s="409">
        <f t="array" ref="D43">IF(B43="","",IFERROR(INDEX($L$6:$L$33,MATCH(TRUE,ISNUMBER(SEARCH($K$6:$K$33,B43)),0)),"Review Manually"))</f>
        <v/>
      </c>
      <c r="E43" s="410">
        <f>IF(A43="","",A43)</f>
        <v/>
      </c>
      <c r="F43" s="398">
        <f>IF(B43="","",D43)</f>
        <v/>
      </c>
      <c r="G43" s="411">
        <f>IF(F43="","",IFERROR(INDEX(CategoryTypeList,MATCH(F43,CategoryList,0)),""))</f>
        <v/>
      </c>
      <c r="H43" s="412">
        <f>IF(C43="","",C43)</f>
        <v/>
      </c>
      <c r="I43" s="398" t="n"/>
      <c r="J43" s="398" t="n"/>
      <c r="K43" s="398" t="n"/>
      <c r="L43" s="398" t="n"/>
      <c r="M43" s="398" t="n"/>
      <c r="N43" s="398" t="n"/>
      <c r="O43" s="398" t="n"/>
      <c r="P43" s="398" t="n"/>
      <c r="Q43" s="398" t="n"/>
      <c r="R43" s="398" t="n"/>
      <c r="S43" s="398" t="n"/>
      <c r="T43" s="398" t="n"/>
      <c r="U43" s="398" t="n"/>
      <c r="V43" s="398" t="n"/>
      <c r="W43" s="398" t="n"/>
      <c r="X43" s="398" t="n"/>
      <c r="Y43" s="398" t="n"/>
      <c r="Z43" s="398" t="n"/>
    </row>
    <row r="44">
      <c r="A44" s="407" t="n"/>
      <c r="B44" s="398" t="n"/>
      <c r="C44" s="408" t="n"/>
      <c r="D44" s="409">
        <f t="array" ref="D44">IF(B44="","",IFERROR(INDEX($L$6:$L$33,MATCH(TRUE,ISNUMBER(SEARCH($K$6:$K$33,B44)),0)),"Review Manually"))</f>
        <v/>
      </c>
      <c r="E44" s="410">
        <f>IF(A44="","",A44)</f>
        <v/>
      </c>
      <c r="F44" s="398">
        <f>IF(B44="","",D44)</f>
        <v/>
      </c>
      <c r="G44" s="411">
        <f>IF(F44="","",IFERROR(INDEX(CategoryTypeList,MATCH(F44,CategoryList,0)),""))</f>
        <v/>
      </c>
      <c r="H44" s="412">
        <f>IF(C44="","",C44)</f>
        <v/>
      </c>
      <c r="I44" s="398" t="n"/>
      <c r="J44" s="398" t="n"/>
      <c r="K44" s="398" t="n"/>
      <c r="L44" s="398" t="n"/>
      <c r="M44" s="398" t="n"/>
      <c r="N44" s="398" t="n"/>
      <c r="O44" s="398" t="n"/>
      <c r="P44" s="398" t="n"/>
      <c r="Q44" s="398" t="n"/>
      <c r="R44" s="398" t="n"/>
      <c r="S44" s="398" t="n"/>
      <c r="T44" s="398" t="n"/>
      <c r="U44" s="398" t="n"/>
      <c r="V44" s="398" t="n"/>
      <c r="W44" s="398" t="n"/>
      <c r="X44" s="398" t="n"/>
      <c r="Y44" s="398" t="n"/>
      <c r="Z44" s="398" t="n"/>
    </row>
    <row r="45">
      <c r="A45" s="407" t="n"/>
      <c r="B45" s="398" t="n"/>
      <c r="C45" s="408" t="n"/>
      <c r="D45" s="409">
        <f t="array" ref="D45">IF(B45="","",IFERROR(INDEX($L$6:$L$33,MATCH(TRUE,ISNUMBER(SEARCH($K$6:$K$33,B45)),0)),"Review Manually"))</f>
        <v/>
      </c>
      <c r="E45" s="410">
        <f>IF(A45="","",A45)</f>
        <v/>
      </c>
      <c r="F45" s="398">
        <f>IF(B45="","",D45)</f>
        <v/>
      </c>
      <c r="G45" s="411">
        <f>IF(F45="","",IFERROR(INDEX(CategoryTypeList,MATCH(F45,CategoryList,0)),""))</f>
        <v/>
      </c>
      <c r="H45" s="412">
        <f>IF(C45="","",C45)</f>
        <v/>
      </c>
      <c r="I45" s="398" t="n"/>
      <c r="J45" s="398" t="n"/>
      <c r="K45" s="398" t="n"/>
      <c r="L45" s="398" t="n"/>
      <c r="M45" s="398" t="n"/>
      <c r="N45" s="398" t="n"/>
      <c r="O45" s="398" t="n"/>
      <c r="P45" s="398" t="n"/>
      <c r="Q45" s="398" t="n"/>
      <c r="R45" s="398" t="n"/>
      <c r="S45" s="398" t="n"/>
      <c r="T45" s="398" t="n"/>
      <c r="U45" s="398" t="n"/>
      <c r="V45" s="398" t="n"/>
      <c r="W45" s="398" t="n"/>
      <c r="X45" s="398" t="n"/>
      <c r="Y45" s="398" t="n"/>
      <c r="Z45" s="398" t="n"/>
    </row>
    <row r="46">
      <c r="A46" s="407" t="n"/>
      <c r="B46" s="398" t="n"/>
      <c r="C46" s="408" t="n"/>
      <c r="D46" s="409">
        <f t="array" ref="D46">IF(B46="","",IFERROR(INDEX($L$6:$L$33,MATCH(TRUE,ISNUMBER(SEARCH($K$6:$K$33,B46)),0)),"Review Manually"))</f>
        <v/>
      </c>
      <c r="E46" s="410">
        <f>IF(A46="","",A46)</f>
        <v/>
      </c>
      <c r="F46" s="398">
        <f>IF(B46="","",D46)</f>
        <v/>
      </c>
      <c r="G46" s="411">
        <f>IF(F46="","",IFERROR(INDEX(CategoryTypeList,MATCH(F46,CategoryList,0)),""))</f>
        <v/>
      </c>
      <c r="H46" s="412">
        <f>IF(C46="","",C46)</f>
        <v/>
      </c>
      <c r="I46" s="398" t="n"/>
      <c r="J46" s="398" t="n"/>
      <c r="K46" s="398" t="n"/>
      <c r="L46" s="398" t="n"/>
      <c r="M46" s="398" t="n"/>
      <c r="N46" s="398" t="n"/>
      <c r="O46" s="398" t="n"/>
      <c r="P46" s="398" t="n"/>
      <c r="Q46" s="398" t="n"/>
      <c r="R46" s="398" t="n"/>
      <c r="S46" s="398" t="n"/>
      <c r="T46" s="398" t="n"/>
      <c r="U46" s="398" t="n"/>
      <c r="V46" s="398" t="n"/>
      <c r="W46" s="398" t="n"/>
      <c r="X46" s="398" t="n"/>
      <c r="Y46" s="398" t="n"/>
      <c r="Z46" s="398" t="n"/>
    </row>
    <row r="47">
      <c r="A47" s="407" t="n"/>
      <c r="B47" s="398" t="n"/>
      <c r="C47" s="408" t="n"/>
      <c r="D47" s="409">
        <f t="array" ref="D47">IF(B47="","",IFERROR(INDEX($L$6:$L$33,MATCH(TRUE,ISNUMBER(SEARCH($K$6:$K$33,B47)),0)),"Review Manually"))</f>
        <v/>
      </c>
      <c r="E47" s="410">
        <f>IF(A47="","",A47)</f>
        <v/>
      </c>
      <c r="F47" s="398">
        <f>IF(B47="","",D47)</f>
        <v/>
      </c>
      <c r="G47" s="411">
        <f>IF(F47="","",IFERROR(INDEX(CategoryTypeList,MATCH(F47,CategoryList,0)),""))</f>
        <v/>
      </c>
      <c r="H47" s="412">
        <f>IF(C47="","",C47)</f>
        <v/>
      </c>
      <c r="I47" s="398" t="n"/>
      <c r="J47" s="398" t="n"/>
      <c r="K47" s="398" t="n"/>
      <c r="L47" s="398" t="n"/>
      <c r="M47" s="398" t="n"/>
      <c r="N47" s="398" t="n"/>
      <c r="O47" s="398" t="n"/>
      <c r="P47" s="398" t="n"/>
      <c r="Q47" s="398" t="n"/>
      <c r="R47" s="398" t="n"/>
      <c r="S47" s="398" t="n"/>
      <c r="T47" s="398" t="n"/>
      <c r="U47" s="398" t="n"/>
      <c r="V47" s="398" t="n"/>
      <c r="W47" s="398" t="n"/>
      <c r="X47" s="398" t="n"/>
      <c r="Y47" s="398" t="n"/>
      <c r="Z47" s="398" t="n"/>
    </row>
    <row r="48">
      <c r="A48" s="407" t="n"/>
      <c r="B48" s="398" t="n"/>
      <c r="C48" s="408" t="n"/>
      <c r="D48" s="409">
        <f t="array" ref="D48">IF(B48="","",IFERROR(INDEX($L$6:$L$33,MATCH(TRUE,ISNUMBER(SEARCH($K$6:$K$33,B48)),0)),"Review Manually"))</f>
        <v/>
      </c>
      <c r="E48" s="410">
        <f>IF(A48="","",A48)</f>
        <v/>
      </c>
      <c r="F48" s="398">
        <f>IF(B48="","",D48)</f>
        <v/>
      </c>
      <c r="G48" s="411">
        <f>IF(F48="","",IFERROR(INDEX(CategoryTypeList,MATCH(F48,CategoryList,0)),""))</f>
        <v/>
      </c>
      <c r="H48" s="412">
        <f>IF(C48="","",C48)</f>
        <v/>
      </c>
      <c r="I48" s="398" t="n"/>
      <c r="J48" s="398" t="n"/>
      <c r="K48" s="398" t="n"/>
      <c r="L48" s="398" t="n"/>
      <c r="M48" s="398" t="n"/>
      <c r="N48" s="398" t="n"/>
      <c r="O48" s="398" t="n"/>
      <c r="P48" s="398" t="n"/>
      <c r="Q48" s="398" t="n"/>
      <c r="R48" s="398" t="n"/>
      <c r="S48" s="398" t="n"/>
      <c r="T48" s="398" t="n"/>
      <c r="U48" s="398" t="n"/>
      <c r="V48" s="398" t="n"/>
      <c r="W48" s="398" t="n"/>
      <c r="X48" s="398" t="n"/>
      <c r="Y48" s="398" t="n"/>
      <c r="Z48" s="398" t="n"/>
    </row>
    <row r="49">
      <c r="A49" s="407" t="n"/>
      <c r="B49" s="398" t="n"/>
      <c r="C49" s="408" t="n"/>
      <c r="D49" s="409">
        <f t="array" ref="D49">IF(B49="","",IFERROR(INDEX($L$6:$L$33,MATCH(TRUE,ISNUMBER(SEARCH($K$6:$K$33,B49)),0)),"Review Manually"))</f>
        <v/>
      </c>
      <c r="E49" s="410">
        <f>IF(A49="","",A49)</f>
        <v/>
      </c>
      <c r="F49" s="398">
        <f>IF(B49="","",D49)</f>
        <v/>
      </c>
      <c r="G49" s="411">
        <f>IF(F49="","",IFERROR(INDEX(CategoryTypeList,MATCH(F49,CategoryList,0)),""))</f>
        <v/>
      </c>
      <c r="H49" s="412">
        <f>IF(C49="","",C49)</f>
        <v/>
      </c>
      <c r="I49" s="398" t="n"/>
      <c r="J49" s="398" t="n"/>
      <c r="K49" s="398" t="n"/>
      <c r="L49" s="398" t="n"/>
      <c r="M49" s="398" t="n"/>
      <c r="N49" s="398" t="n"/>
      <c r="O49" s="398" t="n"/>
      <c r="P49" s="398" t="n"/>
      <c r="Q49" s="398" t="n"/>
      <c r="R49" s="398" t="n"/>
      <c r="S49" s="398" t="n"/>
      <c r="T49" s="398" t="n"/>
      <c r="U49" s="398" t="n"/>
      <c r="V49" s="398" t="n"/>
      <c r="W49" s="398" t="n"/>
      <c r="X49" s="398" t="n"/>
      <c r="Y49" s="398" t="n"/>
      <c r="Z49" s="398" t="n"/>
    </row>
    <row r="50">
      <c r="A50" s="407" t="n"/>
      <c r="B50" s="398" t="n"/>
      <c r="C50" s="408" t="n"/>
      <c r="D50" s="409">
        <f t="array" ref="D50">IF(B50="","",IFERROR(INDEX($L$6:$L$33,MATCH(TRUE,ISNUMBER(SEARCH($K$6:$K$33,B50)),0)),"Review Manually"))</f>
        <v/>
      </c>
      <c r="E50" s="410">
        <f>IF(A50="","",A50)</f>
        <v/>
      </c>
      <c r="F50" s="398">
        <f>IF(B50="","",D50)</f>
        <v/>
      </c>
      <c r="G50" s="411">
        <f>IF(F50="","",IFERROR(INDEX(CategoryTypeList,MATCH(F50,CategoryList,0)),""))</f>
        <v/>
      </c>
      <c r="H50" s="412">
        <f>IF(C50="","",C50)</f>
        <v/>
      </c>
      <c r="I50" s="398" t="n"/>
      <c r="J50" s="398" t="n"/>
      <c r="K50" s="398" t="n"/>
      <c r="L50" s="398" t="n"/>
      <c r="M50" s="398" t="n"/>
      <c r="N50" s="398" t="n"/>
      <c r="O50" s="398" t="n"/>
      <c r="P50" s="398" t="n"/>
      <c r="Q50" s="398" t="n"/>
      <c r="R50" s="398" t="n"/>
      <c r="S50" s="398" t="n"/>
      <c r="T50" s="398" t="n"/>
      <c r="U50" s="398" t="n"/>
      <c r="V50" s="398" t="n"/>
      <c r="W50" s="398" t="n"/>
      <c r="X50" s="398" t="n"/>
      <c r="Y50" s="398" t="n"/>
      <c r="Z50" s="398" t="n"/>
    </row>
    <row r="51">
      <c r="A51" s="407" t="n"/>
      <c r="B51" s="398" t="n"/>
      <c r="C51" s="408" t="n"/>
      <c r="D51" s="409">
        <f t="array" ref="D51">IF(B51="","",IFERROR(INDEX($L$6:$L$33,MATCH(TRUE,ISNUMBER(SEARCH($K$6:$K$33,B51)),0)),"Review Manually"))</f>
        <v/>
      </c>
      <c r="E51" s="410">
        <f>IF(A51="","",A51)</f>
        <v/>
      </c>
      <c r="F51" s="398">
        <f>IF(B51="","",D51)</f>
        <v/>
      </c>
      <c r="G51" s="411">
        <f>IF(F51="","",IFERROR(INDEX(CategoryTypeList,MATCH(F51,CategoryList,0)),""))</f>
        <v/>
      </c>
      <c r="H51" s="412">
        <f>IF(C51="","",C51)</f>
        <v/>
      </c>
      <c r="I51" s="398" t="n"/>
      <c r="J51" s="398" t="n"/>
      <c r="K51" s="398" t="n"/>
      <c r="L51" s="398" t="n"/>
      <c r="M51" s="398" t="n"/>
      <c r="N51" s="398" t="n"/>
      <c r="O51" s="398" t="n"/>
      <c r="P51" s="398" t="n"/>
      <c r="Q51" s="398" t="n"/>
      <c r="R51" s="398" t="n"/>
      <c r="S51" s="398" t="n"/>
      <c r="T51" s="398" t="n"/>
      <c r="U51" s="398" t="n"/>
      <c r="V51" s="398" t="n"/>
      <c r="W51" s="398" t="n"/>
      <c r="X51" s="398" t="n"/>
      <c r="Y51" s="398" t="n"/>
      <c r="Z51" s="398" t="n"/>
    </row>
    <row r="52">
      <c r="A52" s="407" t="n"/>
      <c r="B52" s="398" t="n"/>
      <c r="C52" s="408" t="n"/>
      <c r="D52" s="409">
        <f t="array" ref="D52">IF(B52="","",IFERROR(INDEX($L$6:$L$33,MATCH(TRUE,ISNUMBER(SEARCH($K$6:$K$33,B52)),0)),"Review Manually"))</f>
        <v/>
      </c>
      <c r="E52" s="410">
        <f>IF(A52="","",A52)</f>
        <v/>
      </c>
      <c r="F52" s="398">
        <f>IF(B52="","",D52)</f>
        <v/>
      </c>
      <c r="G52" s="411">
        <f>IF(F52="","",IFERROR(INDEX(CategoryTypeList,MATCH(F52,CategoryList,0)),""))</f>
        <v/>
      </c>
      <c r="H52" s="412">
        <f>IF(C52="","",C52)</f>
        <v/>
      </c>
      <c r="I52" s="398" t="n"/>
      <c r="J52" s="398" t="n"/>
      <c r="K52" s="398" t="n"/>
      <c r="L52" s="398" t="n"/>
      <c r="M52" s="398" t="n"/>
      <c r="N52" s="398" t="n"/>
      <c r="O52" s="398" t="n"/>
      <c r="P52" s="398" t="n"/>
      <c r="Q52" s="398" t="n"/>
      <c r="R52" s="398" t="n"/>
      <c r="S52" s="398" t="n"/>
      <c r="T52" s="398" t="n"/>
      <c r="U52" s="398" t="n"/>
      <c r="V52" s="398" t="n"/>
      <c r="W52" s="398" t="n"/>
      <c r="X52" s="398" t="n"/>
      <c r="Y52" s="398" t="n"/>
      <c r="Z52" s="398" t="n"/>
    </row>
    <row r="53">
      <c r="A53" s="407" t="n"/>
      <c r="B53" s="398" t="n"/>
      <c r="C53" s="408" t="n"/>
      <c r="D53" s="409">
        <f t="array" ref="D53">IF(B53="","",IFERROR(INDEX($L$6:$L$33,MATCH(TRUE,ISNUMBER(SEARCH($K$6:$K$33,B53)),0)),"Review Manually"))</f>
        <v/>
      </c>
      <c r="E53" s="410">
        <f>IF(A53="","",A53)</f>
        <v/>
      </c>
      <c r="F53" s="398">
        <f>IF(B53="","",D53)</f>
        <v/>
      </c>
      <c r="G53" s="411">
        <f>IF(F53="","",IFERROR(INDEX(CategoryTypeList,MATCH(F53,CategoryList,0)),""))</f>
        <v/>
      </c>
      <c r="H53" s="412">
        <f>IF(C53="","",C53)</f>
        <v/>
      </c>
      <c r="I53" s="398" t="n"/>
      <c r="J53" s="398" t="n"/>
      <c r="K53" s="398" t="n"/>
      <c r="L53" s="398" t="n"/>
      <c r="M53" s="398" t="n"/>
      <c r="N53" s="398" t="n"/>
      <c r="O53" s="398" t="n"/>
      <c r="P53" s="398" t="n"/>
      <c r="Q53" s="398" t="n"/>
      <c r="R53" s="398" t="n"/>
      <c r="S53" s="398" t="n"/>
      <c r="T53" s="398" t="n"/>
      <c r="U53" s="398" t="n"/>
      <c r="V53" s="398" t="n"/>
      <c r="W53" s="398" t="n"/>
      <c r="X53" s="398" t="n"/>
      <c r="Y53" s="398" t="n"/>
      <c r="Z53" s="398" t="n"/>
    </row>
    <row r="54">
      <c r="A54" s="407" t="n"/>
      <c r="B54" s="398" t="n"/>
      <c r="C54" s="408" t="n"/>
      <c r="D54" s="409">
        <f t="array" ref="D54">IF(B54="","",IFERROR(INDEX($L$6:$L$33,MATCH(TRUE,ISNUMBER(SEARCH($K$6:$K$33,B54)),0)),"Review Manually"))</f>
        <v/>
      </c>
      <c r="E54" s="410">
        <f>IF(A54="","",A54)</f>
        <v/>
      </c>
      <c r="F54" s="398">
        <f>IF(B54="","",D54)</f>
        <v/>
      </c>
      <c r="G54" s="411">
        <f>IF(F54="","",IFERROR(INDEX(CategoryTypeList,MATCH(F54,CategoryList,0)),""))</f>
        <v/>
      </c>
      <c r="H54" s="412">
        <f>IF(C54="","",C54)</f>
        <v/>
      </c>
      <c r="I54" s="398" t="n"/>
      <c r="J54" s="398" t="n"/>
      <c r="K54" s="398" t="n"/>
      <c r="L54" s="398" t="n"/>
      <c r="M54" s="398" t="n"/>
      <c r="N54" s="398" t="n"/>
      <c r="O54" s="398" t="n"/>
      <c r="P54" s="398" t="n"/>
      <c r="Q54" s="398" t="n"/>
      <c r="R54" s="398" t="n"/>
      <c r="S54" s="398" t="n"/>
      <c r="T54" s="398" t="n"/>
      <c r="U54" s="398" t="n"/>
      <c r="V54" s="398" t="n"/>
      <c r="W54" s="398" t="n"/>
      <c r="X54" s="398" t="n"/>
      <c r="Y54" s="398" t="n"/>
      <c r="Z54" s="398" t="n"/>
    </row>
    <row r="55">
      <c r="A55" s="407" t="n"/>
      <c r="B55" s="398" t="n"/>
      <c r="C55" s="408" t="n"/>
      <c r="D55" s="409">
        <f t="array" ref="D55">IF(B55="","",IFERROR(INDEX($L$6:$L$33,MATCH(TRUE,ISNUMBER(SEARCH($K$6:$K$33,B55)),0)),"Review Manually"))</f>
        <v/>
      </c>
      <c r="E55" s="410">
        <f>IF(A55="","",A55)</f>
        <v/>
      </c>
      <c r="F55" s="398">
        <f>IF(B55="","",D55)</f>
        <v/>
      </c>
      <c r="G55" s="411">
        <f>IF(F55="","",IFERROR(INDEX(CategoryTypeList,MATCH(F55,CategoryList,0)),""))</f>
        <v/>
      </c>
      <c r="H55" s="412">
        <f>IF(C55="","",C55)</f>
        <v/>
      </c>
      <c r="I55" s="398" t="n"/>
      <c r="J55" s="398" t="n"/>
      <c r="K55" s="398" t="n"/>
      <c r="L55" s="398" t="n"/>
      <c r="M55" s="398" t="n"/>
      <c r="N55" s="398" t="n"/>
      <c r="O55" s="398" t="n"/>
      <c r="P55" s="398" t="n"/>
      <c r="Q55" s="398" t="n"/>
      <c r="R55" s="398" t="n"/>
      <c r="S55" s="398" t="n"/>
      <c r="T55" s="398" t="n"/>
      <c r="U55" s="398" t="n"/>
      <c r="V55" s="398" t="n"/>
      <c r="W55" s="398" t="n"/>
      <c r="X55" s="398" t="n"/>
      <c r="Y55" s="398" t="n"/>
      <c r="Z55" s="398" t="n"/>
    </row>
    <row r="56">
      <c r="A56" s="407" t="n"/>
      <c r="B56" s="398" t="n"/>
      <c r="C56" s="408" t="n"/>
      <c r="D56" s="409">
        <f t="array" ref="D56">IF(B56="","",IFERROR(INDEX($L$6:$L$33,MATCH(TRUE,ISNUMBER(SEARCH($K$6:$K$33,B56)),0)),"Review Manually"))</f>
        <v/>
      </c>
      <c r="E56" s="410">
        <f>IF(A56="","",A56)</f>
        <v/>
      </c>
      <c r="F56" s="398">
        <f>IF(B56="","",D56)</f>
        <v/>
      </c>
      <c r="G56" s="411">
        <f>IF(F56="","",IFERROR(INDEX(CategoryTypeList,MATCH(F56,CategoryList,0)),""))</f>
        <v/>
      </c>
      <c r="H56" s="412">
        <f>IF(C56="","",C56)</f>
        <v/>
      </c>
      <c r="I56" s="398" t="n"/>
      <c r="J56" s="398" t="n"/>
      <c r="K56" s="398" t="n"/>
      <c r="L56" s="398" t="n"/>
      <c r="M56" s="398" t="n"/>
      <c r="N56" s="398" t="n"/>
      <c r="O56" s="398" t="n"/>
      <c r="P56" s="398" t="n"/>
      <c r="Q56" s="398" t="n"/>
      <c r="R56" s="398" t="n"/>
      <c r="S56" s="398" t="n"/>
      <c r="T56" s="398" t="n"/>
      <c r="U56" s="398" t="n"/>
      <c r="V56" s="398" t="n"/>
      <c r="W56" s="398" t="n"/>
      <c r="X56" s="398" t="n"/>
      <c r="Y56" s="398" t="n"/>
      <c r="Z56" s="398" t="n"/>
    </row>
    <row r="57">
      <c r="A57" s="407" t="n"/>
      <c r="B57" s="398" t="n"/>
      <c r="C57" s="408" t="n"/>
      <c r="D57" s="409">
        <f t="array" ref="D57">IF(B57="","",IFERROR(INDEX($L$6:$L$33,MATCH(TRUE,ISNUMBER(SEARCH($K$6:$K$33,B57)),0)),"Review Manually"))</f>
        <v/>
      </c>
      <c r="E57" s="410">
        <f>IF(A57="","",A57)</f>
        <v/>
      </c>
      <c r="F57" s="398">
        <f>IF(B57="","",D57)</f>
        <v/>
      </c>
      <c r="G57" s="411">
        <f>IF(F57="","",IFERROR(INDEX(CategoryTypeList,MATCH(F57,CategoryList,0)),""))</f>
        <v/>
      </c>
      <c r="H57" s="412">
        <f>IF(C57="","",C57)</f>
        <v/>
      </c>
      <c r="I57" s="398" t="n"/>
      <c r="J57" s="398" t="n"/>
      <c r="K57" s="398" t="n"/>
      <c r="L57" s="398" t="n"/>
      <c r="M57" s="398" t="n"/>
      <c r="N57" s="398" t="n"/>
      <c r="O57" s="398" t="n"/>
      <c r="P57" s="398" t="n"/>
      <c r="Q57" s="398" t="n"/>
      <c r="R57" s="398" t="n"/>
      <c r="S57" s="398" t="n"/>
      <c r="T57" s="398" t="n"/>
      <c r="U57" s="398" t="n"/>
      <c r="V57" s="398" t="n"/>
      <c r="W57" s="398" t="n"/>
      <c r="X57" s="398" t="n"/>
      <c r="Y57" s="398" t="n"/>
      <c r="Z57" s="398" t="n"/>
    </row>
    <row r="58">
      <c r="A58" s="407" t="n"/>
      <c r="B58" s="398" t="n"/>
      <c r="C58" s="408" t="n"/>
      <c r="D58" s="409">
        <f t="array" ref="D58">IF(B58="","",IFERROR(INDEX($L$6:$L$33,MATCH(TRUE,ISNUMBER(SEARCH($K$6:$K$33,B58)),0)),"Review Manually"))</f>
        <v/>
      </c>
      <c r="E58" s="410">
        <f>IF(A58="","",A58)</f>
        <v/>
      </c>
      <c r="F58" s="398">
        <f>IF(B58="","",D58)</f>
        <v/>
      </c>
      <c r="G58" s="411">
        <f>IF(F58="","",IFERROR(INDEX(CategoryTypeList,MATCH(F58,CategoryList,0)),""))</f>
        <v/>
      </c>
      <c r="H58" s="412">
        <f>IF(C58="","",C58)</f>
        <v/>
      </c>
      <c r="I58" s="398" t="n"/>
      <c r="J58" s="398" t="n"/>
      <c r="K58" s="398" t="n"/>
      <c r="L58" s="398" t="n"/>
      <c r="M58" s="398" t="n"/>
      <c r="N58" s="398" t="n"/>
      <c r="O58" s="398" t="n"/>
      <c r="P58" s="398" t="n"/>
      <c r="Q58" s="398" t="n"/>
      <c r="R58" s="398" t="n"/>
      <c r="S58" s="398" t="n"/>
      <c r="T58" s="398" t="n"/>
      <c r="U58" s="398" t="n"/>
      <c r="V58" s="398" t="n"/>
      <c r="W58" s="398" t="n"/>
      <c r="X58" s="398" t="n"/>
      <c r="Y58" s="398" t="n"/>
      <c r="Z58" s="398" t="n"/>
    </row>
    <row r="59">
      <c r="A59" s="407" t="n"/>
      <c r="B59" s="398" t="n"/>
      <c r="C59" s="408" t="n"/>
      <c r="D59" s="409">
        <f t="array" ref="D59">IF(B59="","",IFERROR(INDEX($L$6:$L$33,MATCH(TRUE,ISNUMBER(SEARCH($K$6:$K$33,B59)),0)),"Review Manually"))</f>
        <v/>
      </c>
      <c r="E59" s="410">
        <f>IF(A59="","",A59)</f>
        <v/>
      </c>
      <c r="F59" s="398">
        <f>IF(B59="","",D59)</f>
        <v/>
      </c>
      <c r="G59" s="411">
        <f>IF(F59="","",IFERROR(INDEX(CategoryTypeList,MATCH(F59,CategoryList,0)),""))</f>
        <v/>
      </c>
      <c r="H59" s="412">
        <f>IF(C59="","",C59)</f>
        <v/>
      </c>
      <c r="I59" s="398" t="n"/>
      <c r="J59" s="398" t="n"/>
      <c r="K59" s="398" t="n"/>
      <c r="L59" s="398" t="n"/>
      <c r="M59" s="398" t="n"/>
      <c r="N59" s="398" t="n"/>
      <c r="O59" s="398" t="n"/>
      <c r="P59" s="398" t="n"/>
      <c r="Q59" s="398" t="n"/>
      <c r="R59" s="398" t="n"/>
      <c r="S59" s="398" t="n"/>
      <c r="T59" s="398" t="n"/>
      <c r="U59" s="398" t="n"/>
      <c r="V59" s="398" t="n"/>
      <c r="W59" s="398" t="n"/>
      <c r="X59" s="398" t="n"/>
      <c r="Y59" s="398" t="n"/>
      <c r="Z59" s="398" t="n"/>
    </row>
    <row r="60">
      <c r="A60" s="407" t="n"/>
      <c r="B60" s="398" t="n"/>
      <c r="C60" s="408" t="n"/>
      <c r="D60" s="409">
        <f t="array" ref="D60">IF(B60="","",IFERROR(INDEX($L$6:$L$33,MATCH(TRUE,ISNUMBER(SEARCH($K$6:$K$33,B60)),0)),"Review Manually"))</f>
        <v/>
      </c>
      <c r="E60" s="410">
        <f>IF(A60="","",A60)</f>
        <v/>
      </c>
      <c r="F60" s="398">
        <f>IF(B60="","",D60)</f>
        <v/>
      </c>
      <c r="G60" s="411">
        <f>IF(F60="","",IFERROR(INDEX(CategoryTypeList,MATCH(F60,CategoryList,0)),""))</f>
        <v/>
      </c>
      <c r="H60" s="412">
        <f>IF(C60="","",C60)</f>
        <v/>
      </c>
      <c r="I60" s="398" t="n"/>
      <c r="J60" s="398" t="n"/>
      <c r="K60" s="398" t="n"/>
      <c r="L60" s="398" t="n"/>
      <c r="M60" s="398" t="n"/>
      <c r="N60" s="398" t="n"/>
      <c r="O60" s="398" t="n"/>
      <c r="P60" s="398" t="n"/>
      <c r="Q60" s="398" t="n"/>
      <c r="R60" s="398" t="n"/>
      <c r="S60" s="398" t="n"/>
      <c r="T60" s="398" t="n"/>
      <c r="U60" s="398" t="n"/>
      <c r="V60" s="398" t="n"/>
      <c r="W60" s="398" t="n"/>
      <c r="X60" s="398" t="n"/>
      <c r="Y60" s="398" t="n"/>
      <c r="Z60" s="398" t="n"/>
    </row>
    <row r="61">
      <c r="A61" s="407" t="n"/>
      <c r="B61" s="398" t="n"/>
      <c r="C61" s="408" t="n"/>
      <c r="D61" s="409">
        <f t="array" ref="D61">IF(B61="","",IFERROR(INDEX($L$6:$L$33,MATCH(TRUE,ISNUMBER(SEARCH($K$6:$K$33,B61)),0)),"Review Manually"))</f>
        <v/>
      </c>
      <c r="E61" s="410">
        <f>IF(A61="","",A61)</f>
        <v/>
      </c>
      <c r="F61" s="398">
        <f>IF(B61="","",D61)</f>
        <v/>
      </c>
      <c r="G61" s="411">
        <f>IF(F61="","",IFERROR(INDEX(CategoryTypeList,MATCH(F61,CategoryList,0)),""))</f>
        <v/>
      </c>
      <c r="H61" s="412">
        <f>IF(C61="","",C61)</f>
        <v/>
      </c>
      <c r="I61" s="398" t="n"/>
      <c r="J61" s="398" t="n"/>
      <c r="K61" s="398" t="n"/>
      <c r="L61" s="398" t="n"/>
      <c r="M61" s="398" t="n"/>
      <c r="N61" s="398" t="n"/>
      <c r="O61" s="398" t="n"/>
      <c r="P61" s="398" t="n"/>
      <c r="Q61" s="398" t="n"/>
      <c r="R61" s="398" t="n"/>
      <c r="S61" s="398" t="n"/>
      <c r="T61" s="398" t="n"/>
      <c r="U61" s="398" t="n"/>
      <c r="V61" s="398" t="n"/>
      <c r="W61" s="398" t="n"/>
      <c r="X61" s="398" t="n"/>
      <c r="Y61" s="398" t="n"/>
      <c r="Z61" s="398" t="n"/>
    </row>
    <row r="62">
      <c r="A62" s="407" t="n"/>
      <c r="B62" s="398" t="n"/>
      <c r="C62" s="408" t="n"/>
      <c r="D62" s="409">
        <f t="array" ref="D62">IF(B62="","",IFERROR(INDEX($L$6:$L$33,MATCH(TRUE,ISNUMBER(SEARCH($K$6:$K$33,B62)),0)),"Review Manually"))</f>
        <v/>
      </c>
      <c r="E62" s="410">
        <f>IF(A62="","",A62)</f>
        <v/>
      </c>
      <c r="F62" s="398">
        <f>IF(B62="","",D62)</f>
        <v/>
      </c>
      <c r="G62" s="411">
        <f>IF(F62="","",IFERROR(INDEX(CategoryTypeList,MATCH(F62,CategoryList,0)),""))</f>
        <v/>
      </c>
      <c r="H62" s="412">
        <f>IF(C62="","",C62)</f>
        <v/>
      </c>
      <c r="I62" s="398" t="n"/>
      <c r="J62" s="398" t="n"/>
      <c r="K62" s="398" t="n"/>
      <c r="L62" s="398" t="n"/>
      <c r="M62" s="398" t="n"/>
      <c r="N62" s="398" t="n"/>
      <c r="O62" s="398" t="n"/>
      <c r="P62" s="398" t="n"/>
      <c r="Q62" s="398" t="n"/>
      <c r="R62" s="398" t="n"/>
      <c r="S62" s="398" t="n"/>
      <c r="T62" s="398" t="n"/>
      <c r="U62" s="398" t="n"/>
      <c r="V62" s="398" t="n"/>
      <c r="W62" s="398" t="n"/>
      <c r="X62" s="398" t="n"/>
      <c r="Y62" s="398" t="n"/>
      <c r="Z62" s="398" t="n"/>
    </row>
    <row r="63">
      <c r="A63" s="407" t="n"/>
      <c r="B63" s="398" t="n"/>
      <c r="C63" s="408" t="n"/>
      <c r="D63" s="409">
        <f t="array" ref="D63">IF(B63="","",IFERROR(INDEX($L$6:$L$33,MATCH(TRUE,ISNUMBER(SEARCH($K$6:$K$33,B63)),0)),"Review Manually"))</f>
        <v/>
      </c>
      <c r="E63" s="410">
        <f>IF(A63="","",A63)</f>
        <v/>
      </c>
      <c r="F63" s="398">
        <f>IF(B63="","",D63)</f>
        <v/>
      </c>
      <c r="G63" s="411">
        <f>IF(F63="","",IFERROR(INDEX(CategoryTypeList,MATCH(F63,CategoryList,0)),""))</f>
        <v/>
      </c>
      <c r="H63" s="412">
        <f>IF(C63="","",C63)</f>
        <v/>
      </c>
      <c r="I63" s="398" t="n"/>
      <c r="J63" s="398" t="n"/>
      <c r="K63" s="398" t="n"/>
      <c r="L63" s="398" t="n"/>
      <c r="M63" s="398" t="n"/>
      <c r="N63" s="398" t="n"/>
      <c r="O63" s="398" t="n"/>
      <c r="P63" s="398" t="n"/>
      <c r="Q63" s="398" t="n"/>
      <c r="R63" s="398" t="n"/>
      <c r="S63" s="398" t="n"/>
      <c r="T63" s="398" t="n"/>
      <c r="U63" s="398" t="n"/>
      <c r="V63" s="398" t="n"/>
      <c r="W63" s="398" t="n"/>
      <c r="X63" s="398" t="n"/>
      <c r="Y63" s="398" t="n"/>
      <c r="Z63" s="398" t="n"/>
    </row>
    <row r="64">
      <c r="A64" s="407" t="n"/>
      <c r="B64" s="398" t="n"/>
      <c r="C64" s="408" t="n"/>
      <c r="D64" s="409">
        <f t="array" ref="D64">IF(B64="","",IFERROR(INDEX($L$6:$L$33,MATCH(TRUE,ISNUMBER(SEARCH($K$6:$K$33,B64)),0)),"Review Manually"))</f>
        <v/>
      </c>
      <c r="E64" s="410">
        <f>IF(A64="","",A64)</f>
        <v/>
      </c>
      <c r="F64" s="398">
        <f>IF(B64="","",D64)</f>
        <v/>
      </c>
      <c r="G64" s="411">
        <f>IF(F64="","",IFERROR(INDEX(CategoryTypeList,MATCH(F64,CategoryList,0)),""))</f>
        <v/>
      </c>
      <c r="H64" s="412">
        <f>IF(C64="","",C64)</f>
        <v/>
      </c>
      <c r="I64" s="398" t="n"/>
      <c r="J64" s="398" t="n"/>
      <c r="K64" s="398" t="n"/>
      <c r="L64" s="398" t="n"/>
      <c r="M64" s="398" t="n"/>
      <c r="N64" s="398" t="n"/>
      <c r="O64" s="398" t="n"/>
      <c r="P64" s="398" t="n"/>
      <c r="Q64" s="398" t="n"/>
      <c r="R64" s="398" t="n"/>
      <c r="S64" s="398" t="n"/>
      <c r="T64" s="398" t="n"/>
      <c r="U64" s="398" t="n"/>
      <c r="V64" s="398" t="n"/>
      <c r="W64" s="398" t="n"/>
      <c r="X64" s="398" t="n"/>
      <c r="Y64" s="398" t="n"/>
      <c r="Z64" s="398" t="n"/>
    </row>
    <row r="65">
      <c r="A65" s="407" t="n"/>
      <c r="B65" s="398" t="n"/>
      <c r="C65" s="408" t="n"/>
      <c r="D65" s="409">
        <f t="array" ref="D65">IF(B65="","",IFERROR(INDEX($L$6:$L$33,MATCH(TRUE,ISNUMBER(SEARCH($K$6:$K$33,B65)),0)),"Review Manually"))</f>
        <v/>
      </c>
      <c r="E65" s="410">
        <f>IF(A65="","",A65)</f>
        <v/>
      </c>
      <c r="F65" s="398">
        <f>IF(B65="","",D65)</f>
        <v/>
      </c>
      <c r="G65" s="411">
        <f>IF(F65="","",IFERROR(INDEX(CategoryTypeList,MATCH(F65,CategoryList,0)),""))</f>
        <v/>
      </c>
      <c r="H65" s="412">
        <f>IF(C65="","",C65)</f>
        <v/>
      </c>
      <c r="I65" s="398" t="n"/>
      <c r="J65" s="398" t="n"/>
      <c r="K65" s="398" t="n"/>
      <c r="L65" s="398" t="n"/>
      <c r="M65" s="398" t="n"/>
      <c r="N65" s="398" t="n"/>
      <c r="O65" s="398" t="n"/>
      <c r="P65" s="398" t="n"/>
      <c r="Q65" s="398" t="n"/>
      <c r="R65" s="398" t="n"/>
      <c r="S65" s="398" t="n"/>
      <c r="T65" s="398" t="n"/>
      <c r="U65" s="398" t="n"/>
      <c r="V65" s="398" t="n"/>
      <c r="W65" s="398" t="n"/>
      <c r="X65" s="398" t="n"/>
      <c r="Y65" s="398" t="n"/>
      <c r="Z65" s="398" t="n"/>
    </row>
    <row r="66">
      <c r="A66" s="407" t="n"/>
      <c r="B66" s="398" t="n"/>
      <c r="C66" s="408" t="n"/>
      <c r="D66" s="409">
        <f t="array" ref="D66">IF(B66="","",IFERROR(INDEX($L$6:$L$33,MATCH(TRUE,ISNUMBER(SEARCH($K$6:$K$33,B66)),0)),"Review Manually"))</f>
        <v/>
      </c>
      <c r="E66" s="410">
        <f>IF(A66="","",A66)</f>
        <v/>
      </c>
      <c r="F66" s="398">
        <f>IF(B66="","",D66)</f>
        <v/>
      </c>
      <c r="G66" s="411">
        <f>IF(F66="","",IFERROR(INDEX(CategoryTypeList,MATCH(F66,CategoryList,0)),""))</f>
        <v/>
      </c>
      <c r="H66" s="412">
        <f>IF(C66="","",C66)</f>
        <v/>
      </c>
      <c r="I66" s="398" t="n"/>
      <c r="J66" s="398" t="n"/>
      <c r="K66" s="398" t="n"/>
      <c r="L66" s="398" t="n"/>
      <c r="M66" s="398" t="n"/>
      <c r="N66" s="398" t="n"/>
      <c r="O66" s="398" t="n"/>
      <c r="P66" s="398" t="n"/>
      <c r="Q66" s="398" t="n"/>
      <c r="R66" s="398" t="n"/>
      <c r="S66" s="398" t="n"/>
      <c r="T66" s="398" t="n"/>
      <c r="U66" s="398" t="n"/>
      <c r="V66" s="398" t="n"/>
      <c r="W66" s="398" t="n"/>
      <c r="X66" s="398" t="n"/>
      <c r="Y66" s="398" t="n"/>
      <c r="Z66" s="398" t="n"/>
    </row>
    <row r="67">
      <c r="A67" s="407" t="n"/>
      <c r="B67" s="398" t="n"/>
      <c r="C67" s="408" t="n"/>
      <c r="D67" s="409">
        <f t="array" ref="D67">IF(B67="","",IFERROR(INDEX($L$6:$L$33,MATCH(TRUE,ISNUMBER(SEARCH($K$6:$K$33,B67)),0)),"Review Manually"))</f>
        <v/>
      </c>
      <c r="E67" s="410">
        <f>IF(A67="","",A67)</f>
        <v/>
      </c>
      <c r="F67" s="398">
        <f>IF(B67="","",D67)</f>
        <v/>
      </c>
      <c r="G67" s="411">
        <f>IF(F67="","",IFERROR(INDEX(CategoryTypeList,MATCH(F67,CategoryList,0)),""))</f>
        <v/>
      </c>
      <c r="H67" s="412">
        <f>IF(C67="","",C67)</f>
        <v/>
      </c>
      <c r="I67" s="398" t="n"/>
      <c r="J67" s="398" t="n"/>
      <c r="K67" s="398" t="n"/>
      <c r="L67" s="398" t="n"/>
      <c r="M67" s="398" t="n"/>
      <c r="N67" s="398" t="n"/>
      <c r="O67" s="398" t="n"/>
      <c r="P67" s="398" t="n"/>
      <c r="Q67" s="398" t="n"/>
      <c r="R67" s="398" t="n"/>
      <c r="S67" s="398" t="n"/>
      <c r="T67" s="398" t="n"/>
      <c r="U67" s="398" t="n"/>
      <c r="V67" s="398" t="n"/>
      <c r="W67" s="398" t="n"/>
      <c r="X67" s="398" t="n"/>
      <c r="Y67" s="398" t="n"/>
      <c r="Z67" s="398" t="n"/>
    </row>
    <row r="68">
      <c r="A68" s="407" t="n"/>
      <c r="B68" s="398" t="n"/>
      <c r="C68" s="408" t="n"/>
      <c r="D68" s="409">
        <f t="array" ref="D68">IF(B68="","",IFERROR(INDEX($L$6:$L$33,MATCH(TRUE,ISNUMBER(SEARCH($K$6:$K$33,B68)),0)),"Review Manually"))</f>
        <v/>
      </c>
      <c r="E68" s="410">
        <f>IF(A68="","",A68)</f>
        <v/>
      </c>
      <c r="F68" s="398">
        <f>IF(B68="","",D68)</f>
        <v/>
      </c>
      <c r="G68" s="411">
        <f>IF(F68="","",IFERROR(INDEX(CategoryTypeList,MATCH(F68,CategoryList,0)),""))</f>
        <v/>
      </c>
      <c r="H68" s="412">
        <f>IF(C68="","",C68)</f>
        <v/>
      </c>
      <c r="I68" s="398" t="n"/>
      <c r="J68" s="398" t="n"/>
      <c r="K68" s="398" t="n"/>
      <c r="L68" s="398" t="n"/>
      <c r="M68" s="398" t="n"/>
      <c r="N68" s="398" t="n"/>
      <c r="O68" s="398" t="n"/>
      <c r="P68" s="398" t="n"/>
      <c r="Q68" s="398" t="n"/>
      <c r="R68" s="398" t="n"/>
      <c r="S68" s="398" t="n"/>
      <c r="T68" s="398" t="n"/>
      <c r="U68" s="398" t="n"/>
      <c r="V68" s="398" t="n"/>
      <c r="W68" s="398" t="n"/>
      <c r="X68" s="398" t="n"/>
      <c r="Y68" s="398" t="n"/>
      <c r="Z68" s="398" t="n"/>
    </row>
    <row r="69">
      <c r="A69" s="407" t="n"/>
      <c r="B69" s="398" t="n"/>
      <c r="C69" s="408" t="n"/>
      <c r="D69" s="409">
        <f t="array" ref="D69">IF(B69="","",IFERROR(INDEX($L$6:$L$33,MATCH(TRUE,ISNUMBER(SEARCH($K$6:$K$33,B69)),0)),"Review Manually"))</f>
        <v/>
      </c>
      <c r="E69" s="410">
        <f>IF(A69="","",A69)</f>
        <v/>
      </c>
      <c r="F69" s="398">
        <f>IF(B69="","",D69)</f>
        <v/>
      </c>
      <c r="G69" s="411">
        <f>IF(F69="","",IFERROR(INDEX(CategoryTypeList,MATCH(F69,CategoryList,0)),""))</f>
        <v/>
      </c>
      <c r="H69" s="412">
        <f>IF(C69="","",C69)</f>
        <v/>
      </c>
      <c r="I69" s="398" t="n"/>
      <c r="J69" s="398" t="n"/>
      <c r="K69" s="398" t="n"/>
      <c r="L69" s="398" t="n"/>
      <c r="M69" s="398" t="n"/>
      <c r="N69" s="398" t="n"/>
      <c r="O69" s="398" t="n"/>
      <c r="P69" s="398" t="n"/>
      <c r="Q69" s="398" t="n"/>
      <c r="R69" s="398" t="n"/>
      <c r="S69" s="398" t="n"/>
      <c r="T69" s="398" t="n"/>
      <c r="U69" s="398" t="n"/>
      <c r="V69" s="398" t="n"/>
      <c r="W69" s="398" t="n"/>
      <c r="X69" s="398" t="n"/>
      <c r="Y69" s="398" t="n"/>
      <c r="Z69" s="398" t="n"/>
    </row>
    <row r="70">
      <c r="A70" s="407" t="n"/>
      <c r="B70" s="398" t="n"/>
      <c r="C70" s="408" t="n"/>
      <c r="D70" s="409">
        <f t="array" ref="D70">IF(B70="","",IFERROR(INDEX($L$6:$L$33,MATCH(TRUE,ISNUMBER(SEARCH($K$6:$K$33,B70)),0)),"Review Manually"))</f>
        <v/>
      </c>
      <c r="E70" s="410">
        <f>IF(A70="","",A70)</f>
        <v/>
      </c>
      <c r="F70" s="398">
        <f>IF(B70="","",D70)</f>
        <v/>
      </c>
      <c r="G70" s="411">
        <f>IF(F70="","",IFERROR(INDEX(CategoryTypeList,MATCH(F70,CategoryList,0)),""))</f>
        <v/>
      </c>
      <c r="H70" s="412">
        <f>IF(C70="","",C70)</f>
        <v/>
      </c>
      <c r="I70" s="398" t="n"/>
      <c r="J70" s="398" t="n"/>
      <c r="K70" s="398" t="n"/>
      <c r="L70" s="398" t="n"/>
      <c r="M70" s="398" t="n"/>
      <c r="N70" s="398" t="n"/>
      <c r="O70" s="398" t="n"/>
      <c r="P70" s="398" t="n"/>
      <c r="Q70" s="398" t="n"/>
      <c r="R70" s="398" t="n"/>
      <c r="S70" s="398" t="n"/>
      <c r="T70" s="398" t="n"/>
      <c r="U70" s="398" t="n"/>
      <c r="V70" s="398" t="n"/>
      <c r="W70" s="398" t="n"/>
      <c r="X70" s="398" t="n"/>
      <c r="Y70" s="398" t="n"/>
      <c r="Z70" s="398" t="n"/>
    </row>
    <row r="71">
      <c r="A71" s="407" t="n"/>
      <c r="B71" s="398" t="n"/>
      <c r="C71" s="408" t="n"/>
      <c r="D71" s="409">
        <f t="array" ref="D71">IF(B71="","",IFERROR(INDEX($L$6:$L$33,MATCH(TRUE,ISNUMBER(SEARCH($K$6:$K$33,B71)),0)),"Review Manually"))</f>
        <v/>
      </c>
      <c r="E71" s="410">
        <f>IF(A71="","",A71)</f>
        <v/>
      </c>
      <c r="F71" s="398">
        <f>IF(B71="","",D71)</f>
        <v/>
      </c>
      <c r="G71" s="411">
        <f>IF(F71="","",IFERROR(INDEX(CategoryTypeList,MATCH(F71,CategoryList,0)),""))</f>
        <v/>
      </c>
      <c r="H71" s="412">
        <f>IF(C71="","",C71)</f>
        <v/>
      </c>
      <c r="I71" s="398" t="n"/>
      <c r="J71" s="398" t="n"/>
      <c r="K71" s="398" t="n"/>
      <c r="L71" s="398" t="n"/>
      <c r="M71" s="398" t="n"/>
      <c r="N71" s="398" t="n"/>
      <c r="O71" s="398" t="n"/>
      <c r="P71" s="398" t="n"/>
      <c r="Q71" s="398" t="n"/>
      <c r="R71" s="398" t="n"/>
      <c r="S71" s="398" t="n"/>
      <c r="T71" s="398" t="n"/>
      <c r="U71" s="398" t="n"/>
      <c r="V71" s="398" t="n"/>
      <c r="W71" s="398" t="n"/>
      <c r="X71" s="398" t="n"/>
      <c r="Y71" s="398" t="n"/>
      <c r="Z71" s="398" t="n"/>
    </row>
    <row r="72">
      <c r="A72" s="407" t="n"/>
      <c r="B72" s="398" t="n"/>
      <c r="C72" s="408" t="n"/>
      <c r="D72" s="409">
        <f t="array" ref="D72">IF(B72="","",IFERROR(INDEX($L$6:$L$33,MATCH(TRUE,ISNUMBER(SEARCH($K$6:$K$33,B72)),0)),"Review Manually"))</f>
        <v/>
      </c>
      <c r="E72" s="410">
        <f>IF(A72="","",A72)</f>
        <v/>
      </c>
      <c r="F72" s="398">
        <f>IF(B72="","",D72)</f>
        <v/>
      </c>
      <c r="G72" s="411">
        <f>IF(F72="","",IFERROR(INDEX(CategoryTypeList,MATCH(F72,CategoryList,0)),""))</f>
        <v/>
      </c>
      <c r="H72" s="412">
        <f>IF(C72="","",C72)</f>
        <v/>
      </c>
      <c r="I72" s="398" t="n"/>
      <c r="J72" s="398" t="n"/>
      <c r="K72" s="398" t="n"/>
      <c r="L72" s="398" t="n"/>
      <c r="M72" s="398" t="n"/>
      <c r="N72" s="398" t="n"/>
      <c r="O72" s="398" t="n"/>
      <c r="P72" s="398" t="n"/>
      <c r="Q72" s="398" t="n"/>
      <c r="R72" s="398" t="n"/>
      <c r="S72" s="398" t="n"/>
      <c r="T72" s="398" t="n"/>
      <c r="U72" s="398" t="n"/>
      <c r="V72" s="398" t="n"/>
      <c r="W72" s="398" t="n"/>
      <c r="X72" s="398" t="n"/>
      <c r="Y72" s="398" t="n"/>
      <c r="Z72" s="398" t="n"/>
    </row>
    <row r="73">
      <c r="A73" s="407" t="n"/>
      <c r="B73" s="398" t="n"/>
      <c r="C73" s="408" t="n"/>
      <c r="D73" s="409">
        <f t="array" ref="D73">IF(B73="","",IFERROR(INDEX($L$6:$L$33,MATCH(TRUE,ISNUMBER(SEARCH($K$6:$K$33,B73)),0)),"Review Manually"))</f>
        <v/>
      </c>
      <c r="E73" s="410">
        <f>IF(A73="","",A73)</f>
        <v/>
      </c>
      <c r="F73" s="398">
        <f>IF(B73="","",D73)</f>
        <v/>
      </c>
      <c r="G73" s="411">
        <f>IF(F73="","",IFERROR(INDEX(CategoryTypeList,MATCH(F73,CategoryList,0)),""))</f>
        <v/>
      </c>
      <c r="H73" s="412">
        <f>IF(C73="","",C73)</f>
        <v/>
      </c>
      <c r="I73" s="398" t="n"/>
      <c r="J73" s="398" t="n"/>
      <c r="K73" s="398" t="n"/>
      <c r="L73" s="398" t="n"/>
      <c r="M73" s="398" t="n"/>
      <c r="N73" s="398" t="n"/>
      <c r="O73" s="398" t="n"/>
      <c r="P73" s="398" t="n"/>
      <c r="Q73" s="398" t="n"/>
      <c r="R73" s="398" t="n"/>
      <c r="S73" s="398" t="n"/>
      <c r="T73" s="398" t="n"/>
      <c r="U73" s="398" t="n"/>
      <c r="V73" s="398" t="n"/>
      <c r="W73" s="398" t="n"/>
      <c r="X73" s="398" t="n"/>
      <c r="Y73" s="398" t="n"/>
      <c r="Z73" s="398" t="n"/>
    </row>
    <row r="74">
      <c r="A74" s="407" t="n"/>
      <c r="B74" s="398" t="n"/>
      <c r="C74" s="408" t="n"/>
      <c r="D74" s="409">
        <f t="array" ref="D74">IF(B74="","",IFERROR(INDEX($L$6:$L$33,MATCH(TRUE,ISNUMBER(SEARCH($K$6:$K$33,B74)),0)),"Review Manually"))</f>
        <v/>
      </c>
      <c r="E74" s="410">
        <f>IF(A74="","",A74)</f>
        <v/>
      </c>
      <c r="F74" s="398">
        <f>IF(B74="","",D74)</f>
        <v/>
      </c>
      <c r="G74" s="411">
        <f>IF(F74="","",IFERROR(INDEX(CategoryTypeList,MATCH(F74,CategoryList,0)),""))</f>
        <v/>
      </c>
      <c r="H74" s="412">
        <f>IF(C74="","",C74)</f>
        <v/>
      </c>
      <c r="I74" s="398" t="n"/>
      <c r="J74" s="398" t="n"/>
      <c r="K74" s="398" t="n"/>
      <c r="L74" s="398" t="n"/>
      <c r="M74" s="398" t="n"/>
      <c r="N74" s="398" t="n"/>
      <c r="O74" s="398" t="n"/>
      <c r="P74" s="398" t="n"/>
      <c r="Q74" s="398" t="n"/>
      <c r="R74" s="398" t="n"/>
      <c r="S74" s="398" t="n"/>
      <c r="T74" s="398" t="n"/>
      <c r="U74" s="398" t="n"/>
      <c r="V74" s="398" t="n"/>
      <c r="W74" s="398" t="n"/>
      <c r="X74" s="398" t="n"/>
      <c r="Y74" s="398" t="n"/>
      <c r="Z74" s="398" t="n"/>
    </row>
    <row r="75">
      <c r="A75" s="407" t="n"/>
      <c r="B75" s="398" t="n"/>
      <c r="C75" s="408" t="n"/>
      <c r="D75" s="409">
        <f t="array" ref="D75">IF(B75="","",IFERROR(INDEX($L$6:$L$33,MATCH(TRUE,ISNUMBER(SEARCH($K$6:$K$33,B75)),0)),"Review Manually"))</f>
        <v/>
      </c>
      <c r="E75" s="410">
        <f>IF(A75="","",A75)</f>
        <v/>
      </c>
      <c r="F75" s="398">
        <f>IF(B75="","",D75)</f>
        <v/>
      </c>
      <c r="G75" s="411">
        <f>IF(F75="","",IFERROR(INDEX(CategoryTypeList,MATCH(F75,CategoryList,0)),""))</f>
        <v/>
      </c>
      <c r="H75" s="412">
        <f>IF(C75="","",C75)</f>
        <v/>
      </c>
      <c r="I75" s="398" t="n"/>
      <c r="J75" s="398" t="n"/>
      <c r="K75" s="398" t="n"/>
      <c r="L75" s="398" t="n"/>
      <c r="M75" s="398" t="n"/>
      <c r="N75" s="398" t="n"/>
      <c r="O75" s="398" t="n"/>
      <c r="P75" s="398" t="n"/>
      <c r="Q75" s="398" t="n"/>
      <c r="R75" s="398" t="n"/>
      <c r="S75" s="398" t="n"/>
      <c r="T75" s="398" t="n"/>
      <c r="U75" s="398" t="n"/>
      <c r="V75" s="398" t="n"/>
      <c r="W75" s="398" t="n"/>
      <c r="X75" s="398" t="n"/>
      <c r="Y75" s="398" t="n"/>
      <c r="Z75" s="398" t="n"/>
    </row>
    <row r="76">
      <c r="A76" s="407" t="n"/>
      <c r="B76" s="398" t="n"/>
      <c r="C76" s="408" t="n"/>
      <c r="D76" s="409">
        <f t="array" ref="D76">IF(B76="","",IFERROR(INDEX($L$6:$L$33,MATCH(TRUE,ISNUMBER(SEARCH($K$6:$K$33,B76)),0)),"Review Manually"))</f>
        <v/>
      </c>
      <c r="E76" s="410">
        <f>IF(A76="","",A76)</f>
        <v/>
      </c>
      <c r="F76" s="398">
        <f>IF(B76="","",D76)</f>
        <v/>
      </c>
      <c r="G76" s="411">
        <f>IF(F76="","",IFERROR(INDEX(CategoryTypeList,MATCH(F76,CategoryList,0)),""))</f>
        <v/>
      </c>
      <c r="H76" s="412">
        <f>IF(C76="","",C76)</f>
        <v/>
      </c>
      <c r="I76" s="398" t="n"/>
      <c r="J76" s="398" t="n"/>
      <c r="K76" s="398" t="n"/>
      <c r="L76" s="398" t="n"/>
      <c r="M76" s="398" t="n"/>
      <c r="N76" s="398" t="n"/>
      <c r="O76" s="398" t="n"/>
      <c r="P76" s="398" t="n"/>
      <c r="Q76" s="398" t="n"/>
      <c r="R76" s="398" t="n"/>
      <c r="S76" s="398" t="n"/>
      <c r="T76" s="398" t="n"/>
      <c r="U76" s="398" t="n"/>
      <c r="V76" s="398" t="n"/>
      <c r="W76" s="398" t="n"/>
      <c r="X76" s="398" t="n"/>
      <c r="Y76" s="398" t="n"/>
      <c r="Z76" s="398" t="n"/>
    </row>
    <row r="77">
      <c r="A77" s="407" t="n"/>
      <c r="B77" s="398" t="n"/>
      <c r="C77" s="408" t="n"/>
      <c r="D77" s="409">
        <f t="array" ref="D77">IF(B77="","",IFERROR(INDEX($L$6:$L$33,MATCH(TRUE,ISNUMBER(SEARCH($K$6:$K$33,B77)),0)),"Review Manually"))</f>
        <v/>
      </c>
      <c r="E77" s="410">
        <f>IF(A77="","",A77)</f>
        <v/>
      </c>
      <c r="F77" s="398">
        <f>IF(B77="","",D77)</f>
        <v/>
      </c>
      <c r="G77" s="411">
        <f>IF(F77="","",IFERROR(INDEX(CategoryTypeList,MATCH(F77,CategoryList,0)),""))</f>
        <v/>
      </c>
      <c r="H77" s="412">
        <f>IF(C77="","",C77)</f>
        <v/>
      </c>
      <c r="I77" s="398" t="n"/>
      <c r="J77" s="398" t="n"/>
      <c r="K77" s="398" t="n"/>
      <c r="L77" s="398" t="n"/>
      <c r="M77" s="398" t="n"/>
      <c r="N77" s="398" t="n"/>
      <c r="O77" s="398" t="n"/>
      <c r="P77" s="398" t="n"/>
      <c r="Q77" s="398" t="n"/>
      <c r="R77" s="398" t="n"/>
      <c r="S77" s="398" t="n"/>
      <c r="T77" s="398" t="n"/>
      <c r="U77" s="398" t="n"/>
      <c r="V77" s="398" t="n"/>
      <c r="W77" s="398" t="n"/>
      <c r="X77" s="398" t="n"/>
      <c r="Y77" s="398" t="n"/>
      <c r="Z77" s="398" t="n"/>
    </row>
    <row r="78">
      <c r="A78" s="407" t="n"/>
      <c r="B78" s="398" t="n"/>
      <c r="C78" s="408" t="n"/>
      <c r="D78" s="409">
        <f t="array" ref="D78">IF(B78="","",IFERROR(INDEX($L$6:$L$33,MATCH(TRUE,ISNUMBER(SEARCH($K$6:$K$33,B78)),0)),"Review Manually"))</f>
        <v/>
      </c>
      <c r="E78" s="410">
        <f>IF(A78="","",A78)</f>
        <v/>
      </c>
      <c r="F78" s="398">
        <f>IF(B78="","",D78)</f>
        <v/>
      </c>
      <c r="G78" s="411">
        <f>IF(F78="","",IFERROR(INDEX(CategoryTypeList,MATCH(F78,CategoryList,0)),""))</f>
        <v/>
      </c>
      <c r="H78" s="412">
        <f>IF(C78="","",C78)</f>
        <v/>
      </c>
      <c r="I78" s="398" t="n"/>
      <c r="J78" s="398" t="n"/>
      <c r="K78" s="398" t="n"/>
      <c r="L78" s="398" t="n"/>
      <c r="M78" s="398" t="n"/>
      <c r="N78" s="398" t="n"/>
      <c r="O78" s="398" t="n"/>
      <c r="P78" s="398" t="n"/>
      <c r="Q78" s="398" t="n"/>
      <c r="R78" s="398" t="n"/>
      <c r="S78" s="398" t="n"/>
      <c r="T78" s="398" t="n"/>
      <c r="U78" s="398" t="n"/>
      <c r="V78" s="398" t="n"/>
      <c r="W78" s="398" t="n"/>
      <c r="X78" s="398" t="n"/>
      <c r="Y78" s="398" t="n"/>
      <c r="Z78" s="398" t="n"/>
    </row>
    <row r="79">
      <c r="A79" s="407" t="n"/>
      <c r="B79" s="398" t="n"/>
      <c r="C79" s="408" t="n"/>
      <c r="D79" s="409">
        <f t="array" ref="D79">IF(B79="","",IFERROR(INDEX($L$6:$L$33,MATCH(TRUE,ISNUMBER(SEARCH($K$6:$K$33,B79)),0)),"Review Manually"))</f>
        <v/>
      </c>
      <c r="E79" s="410">
        <f>IF(A79="","",A79)</f>
        <v/>
      </c>
      <c r="F79" s="398">
        <f>IF(B79="","",D79)</f>
        <v/>
      </c>
      <c r="G79" s="411">
        <f>IF(F79="","",IFERROR(INDEX(CategoryTypeList,MATCH(F79,CategoryList,0)),""))</f>
        <v/>
      </c>
      <c r="H79" s="412">
        <f>IF(C79="","",C79)</f>
        <v/>
      </c>
      <c r="I79" s="398" t="n"/>
      <c r="J79" s="398" t="n"/>
      <c r="K79" s="398" t="n"/>
      <c r="L79" s="398" t="n"/>
      <c r="M79" s="398" t="n"/>
      <c r="N79" s="398" t="n"/>
      <c r="O79" s="398" t="n"/>
      <c r="P79" s="398" t="n"/>
      <c r="Q79" s="398" t="n"/>
      <c r="R79" s="398" t="n"/>
      <c r="S79" s="398" t="n"/>
      <c r="T79" s="398" t="n"/>
      <c r="U79" s="398" t="n"/>
      <c r="V79" s="398" t="n"/>
      <c r="W79" s="398" t="n"/>
      <c r="X79" s="398" t="n"/>
      <c r="Y79" s="398" t="n"/>
      <c r="Z79" s="398" t="n"/>
    </row>
    <row r="80">
      <c r="A80" s="407" t="n"/>
      <c r="B80" s="398" t="n"/>
      <c r="C80" s="408" t="n"/>
      <c r="D80" s="409">
        <f t="array" ref="D80">IF(B80="","",IFERROR(INDEX($L$6:$L$33,MATCH(TRUE,ISNUMBER(SEARCH($K$6:$K$33,B80)),0)),"Review Manually"))</f>
        <v/>
      </c>
      <c r="E80" s="410">
        <f>IF(A80="","",A80)</f>
        <v/>
      </c>
      <c r="F80" s="398">
        <f>IF(B80="","",D80)</f>
        <v/>
      </c>
      <c r="G80" s="411">
        <f>IF(F80="","",IFERROR(INDEX(CategoryTypeList,MATCH(F80,CategoryList,0)),""))</f>
        <v/>
      </c>
      <c r="H80" s="412">
        <f>IF(C80="","",C80)</f>
        <v/>
      </c>
      <c r="I80" s="398" t="n"/>
      <c r="J80" s="398" t="n"/>
      <c r="K80" s="398" t="n"/>
      <c r="L80" s="398" t="n"/>
      <c r="M80" s="398" t="n"/>
      <c r="N80" s="398" t="n"/>
      <c r="O80" s="398" t="n"/>
      <c r="P80" s="398" t="n"/>
      <c r="Q80" s="398" t="n"/>
      <c r="R80" s="398" t="n"/>
      <c r="S80" s="398" t="n"/>
      <c r="T80" s="398" t="n"/>
      <c r="U80" s="398" t="n"/>
      <c r="V80" s="398" t="n"/>
      <c r="W80" s="398" t="n"/>
      <c r="X80" s="398" t="n"/>
      <c r="Y80" s="398" t="n"/>
      <c r="Z80" s="398" t="n"/>
    </row>
    <row r="81">
      <c r="A81" s="407" t="n"/>
      <c r="B81" s="398" t="n"/>
      <c r="C81" s="408" t="n"/>
      <c r="D81" s="409">
        <f t="array" ref="D81">IF(B81="","",IFERROR(INDEX($L$6:$L$33,MATCH(TRUE,ISNUMBER(SEARCH($K$6:$K$33,B81)),0)),"Review Manually"))</f>
        <v/>
      </c>
      <c r="E81" s="410">
        <f>IF(A81="","",A81)</f>
        <v/>
      </c>
      <c r="F81" s="398">
        <f>IF(B81="","",D81)</f>
        <v/>
      </c>
      <c r="G81" s="411">
        <f>IF(F81="","",IFERROR(INDEX(CategoryTypeList,MATCH(F81,CategoryList,0)),""))</f>
        <v/>
      </c>
      <c r="H81" s="412">
        <f>IF(C81="","",C81)</f>
        <v/>
      </c>
      <c r="I81" s="398" t="n"/>
      <c r="J81" s="398" t="n"/>
      <c r="K81" s="398" t="n"/>
      <c r="L81" s="398" t="n"/>
      <c r="M81" s="398" t="n"/>
      <c r="N81" s="398" t="n"/>
      <c r="O81" s="398" t="n"/>
      <c r="P81" s="398" t="n"/>
      <c r="Q81" s="398" t="n"/>
      <c r="R81" s="398" t="n"/>
      <c r="S81" s="398" t="n"/>
      <c r="T81" s="398" t="n"/>
      <c r="U81" s="398" t="n"/>
      <c r="V81" s="398" t="n"/>
      <c r="W81" s="398" t="n"/>
      <c r="X81" s="398" t="n"/>
      <c r="Y81" s="398" t="n"/>
      <c r="Z81" s="398" t="n"/>
    </row>
    <row r="82">
      <c r="A82" s="407" t="n"/>
      <c r="B82" s="398" t="n"/>
      <c r="C82" s="408" t="n"/>
      <c r="D82" s="409">
        <f t="array" ref="D82">IF(B82="","",IFERROR(INDEX($L$6:$L$33,MATCH(TRUE,ISNUMBER(SEARCH($K$6:$K$33,B82)),0)),"Review Manually"))</f>
        <v/>
      </c>
      <c r="E82" s="410">
        <f>IF(A82="","",A82)</f>
        <v/>
      </c>
      <c r="F82" s="398">
        <f>IF(B82="","",D82)</f>
        <v/>
      </c>
      <c r="G82" s="411">
        <f>IF(F82="","",IFERROR(INDEX(CategoryTypeList,MATCH(F82,CategoryList,0)),""))</f>
        <v/>
      </c>
      <c r="H82" s="412">
        <f>IF(C82="","",C82)</f>
        <v/>
      </c>
      <c r="I82" s="398" t="n"/>
      <c r="J82" s="398" t="n"/>
      <c r="K82" s="398" t="n"/>
      <c r="L82" s="398" t="n"/>
      <c r="M82" s="398" t="n"/>
      <c r="N82" s="398" t="n"/>
      <c r="O82" s="398" t="n"/>
      <c r="P82" s="398" t="n"/>
      <c r="Q82" s="398" t="n"/>
      <c r="R82" s="398" t="n"/>
      <c r="S82" s="398" t="n"/>
      <c r="T82" s="398" t="n"/>
      <c r="U82" s="398" t="n"/>
      <c r="V82" s="398" t="n"/>
      <c r="W82" s="398" t="n"/>
      <c r="X82" s="398" t="n"/>
      <c r="Y82" s="398" t="n"/>
      <c r="Z82" s="398" t="n"/>
    </row>
    <row r="83">
      <c r="A83" s="407" t="n"/>
      <c r="B83" s="398" t="n"/>
      <c r="C83" s="408" t="n"/>
      <c r="D83" s="409">
        <f t="array" ref="D83">IF(B83="","",IFERROR(INDEX($L$6:$L$33,MATCH(TRUE,ISNUMBER(SEARCH($K$6:$K$33,B83)),0)),"Review Manually"))</f>
        <v/>
      </c>
      <c r="E83" s="410">
        <f>IF(A83="","",A83)</f>
        <v/>
      </c>
      <c r="F83" s="398">
        <f>IF(B83="","",D83)</f>
        <v/>
      </c>
      <c r="G83" s="411">
        <f>IF(F83="","",IFERROR(INDEX(CategoryTypeList,MATCH(F83,CategoryList,0)),""))</f>
        <v/>
      </c>
      <c r="H83" s="412">
        <f>IF(C83="","",C83)</f>
        <v/>
      </c>
      <c r="I83" s="398" t="n"/>
      <c r="J83" s="398" t="n"/>
      <c r="K83" s="398" t="n"/>
      <c r="L83" s="398" t="n"/>
      <c r="M83" s="398" t="n"/>
      <c r="N83" s="398" t="n"/>
      <c r="O83" s="398" t="n"/>
      <c r="P83" s="398" t="n"/>
      <c r="Q83" s="398" t="n"/>
      <c r="R83" s="398" t="n"/>
      <c r="S83" s="398" t="n"/>
      <c r="T83" s="398" t="n"/>
      <c r="U83" s="398" t="n"/>
      <c r="V83" s="398" t="n"/>
      <c r="W83" s="398" t="n"/>
      <c r="X83" s="398" t="n"/>
      <c r="Y83" s="398" t="n"/>
      <c r="Z83" s="398" t="n"/>
    </row>
    <row r="84">
      <c r="A84" s="407" t="n"/>
      <c r="B84" s="398" t="n"/>
      <c r="C84" s="408" t="n"/>
      <c r="D84" s="409">
        <f t="array" ref="D84">IF(B84="","",IFERROR(INDEX($L$6:$L$33,MATCH(TRUE,ISNUMBER(SEARCH($K$6:$K$33,B84)),0)),"Review Manually"))</f>
        <v/>
      </c>
      <c r="E84" s="410">
        <f>IF(A84="","",A84)</f>
        <v/>
      </c>
      <c r="F84" s="398">
        <f>IF(B84="","",D84)</f>
        <v/>
      </c>
      <c r="G84" s="411">
        <f>IF(F84="","",IFERROR(INDEX(CategoryTypeList,MATCH(F84,CategoryList,0)),""))</f>
        <v/>
      </c>
      <c r="H84" s="412">
        <f>IF(C84="","",C84)</f>
        <v/>
      </c>
      <c r="I84" s="398" t="n"/>
      <c r="J84" s="398" t="n"/>
      <c r="K84" s="398" t="n"/>
      <c r="L84" s="398" t="n"/>
      <c r="M84" s="398" t="n"/>
      <c r="N84" s="398" t="n"/>
      <c r="O84" s="398" t="n"/>
      <c r="P84" s="398" t="n"/>
      <c r="Q84" s="398" t="n"/>
      <c r="R84" s="398" t="n"/>
      <c r="S84" s="398" t="n"/>
      <c r="T84" s="398" t="n"/>
      <c r="U84" s="398" t="n"/>
      <c r="V84" s="398" t="n"/>
      <c r="W84" s="398" t="n"/>
      <c r="X84" s="398" t="n"/>
      <c r="Y84" s="398" t="n"/>
      <c r="Z84" s="398" t="n"/>
    </row>
    <row r="85">
      <c r="A85" s="407" t="n"/>
      <c r="B85" s="398" t="n"/>
      <c r="C85" s="408" t="n"/>
      <c r="D85" s="409">
        <f t="array" ref="D85">IF(B85="","",IFERROR(INDEX($L$6:$L$33,MATCH(TRUE,ISNUMBER(SEARCH($K$6:$K$33,B85)),0)),"Review Manually"))</f>
        <v/>
      </c>
      <c r="E85" s="410">
        <f>IF(A85="","",A85)</f>
        <v/>
      </c>
      <c r="F85" s="398">
        <f>IF(B85="","",D85)</f>
        <v/>
      </c>
      <c r="G85" s="411">
        <f>IF(F85="","",IFERROR(INDEX(CategoryTypeList,MATCH(F85,CategoryList,0)),""))</f>
        <v/>
      </c>
      <c r="H85" s="412">
        <f>IF(C85="","",C85)</f>
        <v/>
      </c>
      <c r="I85" s="398" t="n"/>
      <c r="J85" s="398" t="n"/>
      <c r="K85" s="398" t="n"/>
      <c r="L85" s="398" t="n"/>
      <c r="M85" s="398" t="n"/>
      <c r="N85" s="398" t="n"/>
      <c r="O85" s="398" t="n"/>
      <c r="P85" s="398" t="n"/>
      <c r="Q85" s="398" t="n"/>
      <c r="R85" s="398" t="n"/>
      <c r="S85" s="398" t="n"/>
      <c r="T85" s="398" t="n"/>
      <c r="U85" s="398" t="n"/>
      <c r="V85" s="398" t="n"/>
      <c r="W85" s="398" t="n"/>
      <c r="X85" s="398" t="n"/>
      <c r="Y85" s="398" t="n"/>
      <c r="Z85" s="398" t="n"/>
    </row>
    <row r="86">
      <c r="A86" s="407" t="n"/>
      <c r="B86" s="398" t="n"/>
      <c r="C86" s="408" t="n"/>
      <c r="D86" s="409">
        <f t="array" ref="D86">IF(B86="","",IFERROR(INDEX($L$6:$L$33,MATCH(TRUE,ISNUMBER(SEARCH($K$6:$K$33,B86)),0)),"Review Manually"))</f>
        <v/>
      </c>
      <c r="E86" s="410">
        <f>IF(A86="","",A86)</f>
        <v/>
      </c>
      <c r="F86" s="398">
        <f>IF(B86="","",D86)</f>
        <v/>
      </c>
      <c r="G86" s="411">
        <f>IF(F86="","",IFERROR(INDEX(CategoryTypeList,MATCH(F86,CategoryList,0)),""))</f>
        <v/>
      </c>
      <c r="H86" s="412">
        <f>IF(C86="","",C86)</f>
        <v/>
      </c>
      <c r="I86" s="398" t="n"/>
      <c r="J86" s="398" t="n"/>
      <c r="K86" s="398" t="n"/>
      <c r="L86" s="398" t="n"/>
      <c r="M86" s="398" t="n"/>
      <c r="N86" s="398" t="n"/>
      <c r="O86" s="398" t="n"/>
      <c r="P86" s="398" t="n"/>
      <c r="Q86" s="398" t="n"/>
      <c r="R86" s="398" t="n"/>
      <c r="S86" s="398" t="n"/>
      <c r="T86" s="398" t="n"/>
      <c r="U86" s="398" t="n"/>
      <c r="V86" s="398" t="n"/>
      <c r="W86" s="398" t="n"/>
      <c r="X86" s="398" t="n"/>
      <c r="Y86" s="398" t="n"/>
      <c r="Z86" s="398" t="n"/>
    </row>
    <row r="87">
      <c r="A87" s="407" t="n"/>
      <c r="B87" s="398" t="n"/>
      <c r="C87" s="408" t="n"/>
      <c r="D87" s="409">
        <f t="array" ref="D87">IF(B87="","",IFERROR(INDEX($L$6:$L$33,MATCH(TRUE,ISNUMBER(SEARCH($K$6:$K$33,B87)),0)),"Review Manually"))</f>
        <v/>
      </c>
      <c r="E87" s="410">
        <f>IF(A87="","",A87)</f>
        <v/>
      </c>
      <c r="F87" s="398">
        <f>IF(B87="","",D87)</f>
        <v/>
      </c>
      <c r="G87" s="411">
        <f>IF(F87="","",IFERROR(INDEX(CategoryTypeList,MATCH(F87,CategoryList,0)),""))</f>
        <v/>
      </c>
      <c r="H87" s="412">
        <f>IF(C87="","",C87)</f>
        <v/>
      </c>
      <c r="I87" s="398" t="n"/>
      <c r="J87" s="398" t="n"/>
      <c r="K87" s="398" t="n"/>
      <c r="L87" s="398" t="n"/>
      <c r="M87" s="398" t="n"/>
      <c r="N87" s="398" t="n"/>
      <c r="O87" s="398" t="n"/>
      <c r="P87" s="398" t="n"/>
      <c r="Q87" s="398" t="n"/>
      <c r="R87" s="398" t="n"/>
      <c r="S87" s="398" t="n"/>
      <c r="T87" s="398" t="n"/>
      <c r="U87" s="398" t="n"/>
      <c r="V87" s="398" t="n"/>
      <c r="W87" s="398" t="n"/>
      <c r="X87" s="398" t="n"/>
      <c r="Y87" s="398" t="n"/>
      <c r="Z87" s="398" t="n"/>
    </row>
    <row r="88">
      <c r="A88" s="407" t="n"/>
      <c r="B88" s="398" t="n"/>
      <c r="C88" s="408" t="n"/>
      <c r="D88" s="409">
        <f t="array" ref="D88">IF(B88="","",IFERROR(INDEX($L$6:$L$33,MATCH(TRUE,ISNUMBER(SEARCH($K$6:$K$33,B88)),0)),"Review Manually"))</f>
        <v/>
      </c>
      <c r="E88" s="410">
        <f>IF(A88="","",A88)</f>
        <v/>
      </c>
      <c r="F88" s="398">
        <f>IF(B88="","",D88)</f>
        <v/>
      </c>
      <c r="G88" s="411">
        <f>IF(F88="","",IFERROR(INDEX(CategoryTypeList,MATCH(F88,CategoryList,0)),""))</f>
        <v/>
      </c>
      <c r="H88" s="412">
        <f>IF(C88="","",C88)</f>
        <v/>
      </c>
      <c r="I88" s="398" t="n"/>
      <c r="J88" s="398" t="n"/>
      <c r="K88" s="398" t="n"/>
      <c r="L88" s="398" t="n"/>
      <c r="M88" s="398" t="n"/>
      <c r="N88" s="398" t="n"/>
      <c r="O88" s="398" t="n"/>
      <c r="P88" s="398" t="n"/>
      <c r="Q88" s="398" t="n"/>
      <c r="R88" s="398" t="n"/>
      <c r="S88" s="398" t="n"/>
      <c r="T88" s="398" t="n"/>
      <c r="U88" s="398" t="n"/>
      <c r="V88" s="398" t="n"/>
      <c r="W88" s="398" t="n"/>
      <c r="X88" s="398" t="n"/>
      <c r="Y88" s="398" t="n"/>
      <c r="Z88" s="398" t="n"/>
    </row>
    <row r="89">
      <c r="A89" s="407" t="n"/>
      <c r="B89" s="398" t="n"/>
      <c r="C89" s="408" t="n"/>
      <c r="D89" s="409">
        <f t="array" ref="D89">IF(B89="","",IFERROR(INDEX($L$6:$L$33,MATCH(TRUE,ISNUMBER(SEARCH($K$6:$K$33,B89)),0)),"Review Manually"))</f>
        <v/>
      </c>
      <c r="E89" s="410">
        <f>IF(A89="","",A89)</f>
        <v/>
      </c>
      <c r="F89" s="398">
        <f>IF(B89="","",D89)</f>
        <v/>
      </c>
      <c r="G89" s="411">
        <f>IF(F89="","",IFERROR(INDEX(CategoryTypeList,MATCH(F89,CategoryList,0)),""))</f>
        <v/>
      </c>
      <c r="H89" s="412">
        <f>IF(C89="","",C89)</f>
        <v/>
      </c>
      <c r="I89" s="398" t="n"/>
      <c r="J89" s="398" t="n"/>
      <c r="K89" s="398" t="n"/>
      <c r="L89" s="398" t="n"/>
      <c r="M89" s="398" t="n"/>
      <c r="N89" s="398" t="n"/>
      <c r="O89" s="398" t="n"/>
      <c r="P89" s="398" t="n"/>
      <c r="Q89" s="398" t="n"/>
      <c r="R89" s="398" t="n"/>
      <c r="S89" s="398" t="n"/>
      <c r="T89" s="398" t="n"/>
      <c r="U89" s="398" t="n"/>
      <c r="V89" s="398" t="n"/>
      <c r="W89" s="398" t="n"/>
      <c r="X89" s="398" t="n"/>
      <c r="Y89" s="398" t="n"/>
      <c r="Z89" s="398" t="n"/>
    </row>
    <row r="90">
      <c r="A90" s="407" t="n"/>
      <c r="B90" s="398" t="n"/>
      <c r="C90" s="408" t="n"/>
      <c r="D90" s="409">
        <f t="array" ref="D90">IF(B90="","",IFERROR(INDEX($L$6:$L$33,MATCH(TRUE,ISNUMBER(SEARCH($K$6:$K$33,B90)),0)),"Review Manually"))</f>
        <v/>
      </c>
      <c r="E90" s="410">
        <f>IF(A90="","",A90)</f>
        <v/>
      </c>
      <c r="F90" s="398">
        <f>IF(B90="","",D90)</f>
        <v/>
      </c>
      <c r="G90" s="411">
        <f>IF(F90="","",IFERROR(INDEX(CategoryTypeList,MATCH(F90,CategoryList,0)),""))</f>
        <v/>
      </c>
      <c r="H90" s="412">
        <f>IF(C90="","",C90)</f>
        <v/>
      </c>
      <c r="I90" s="398" t="n"/>
      <c r="J90" s="398" t="n"/>
      <c r="K90" s="398" t="n"/>
      <c r="L90" s="398" t="n"/>
      <c r="M90" s="398" t="n"/>
      <c r="N90" s="398" t="n"/>
      <c r="O90" s="398" t="n"/>
      <c r="P90" s="398" t="n"/>
      <c r="Q90" s="398" t="n"/>
      <c r="R90" s="398" t="n"/>
      <c r="S90" s="398" t="n"/>
      <c r="T90" s="398" t="n"/>
      <c r="U90" s="398" t="n"/>
      <c r="V90" s="398" t="n"/>
      <c r="W90" s="398" t="n"/>
      <c r="X90" s="398" t="n"/>
      <c r="Y90" s="398" t="n"/>
      <c r="Z90" s="398" t="n"/>
    </row>
    <row r="91">
      <c r="A91" s="407" t="n"/>
      <c r="B91" s="398" t="n"/>
      <c r="C91" s="408" t="n"/>
      <c r="D91" s="409">
        <f t="array" ref="D91">IF(B91="","",IFERROR(INDEX($L$6:$L$33,MATCH(TRUE,ISNUMBER(SEARCH($K$6:$K$33,B91)),0)),"Review Manually"))</f>
        <v/>
      </c>
      <c r="E91" s="410">
        <f>IF(A91="","",A91)</f>
        <v/>
      </c>
      <c r="F91" s="398">
        <f>IF(B91="","",D91)</f>
        <v/>
      </c>
      <c r="G91" s="411">
        <f>IF(F91="","",IFERROR(INDEX(CategoryTypeList,MATCH(F91,CategoryList,0)),""))</f>
        <v/>
      </c>
      <c r="H91" s="412">
        <f>IF(C91="","",C91)</f>
        <v/>
      </c>
      <c r="I91" s="398" t="n"/>
      <c r="J91" s="398" t="n"/>
      <c r="K91" s="398" t="n"/>
      <c r="L91" s="398" t="n"/>
      <c r="M91" s="398" t="n"/>
      <c r="N91" s="398" t="n"/>
      <c r="O91" s="398" t="n"/>
      <c r="P91" s="398" t="n"/>
      <c r="Q91" s="398" t="n"/>
      <c r="R91" s="398" t="n"/>
      <c r="S91" s="398" t="n"/>
      <c r="T91" s="398" t="n"/>
      <c r="U91" s="398" t="n"/>
      <c r="V91" s="398" t="n"/>
      <c r="W91" s="398" t="n"/>
      <c r="X91" s="398" t="n"/>
      <c r="Y91" s="398" t="n"/>
      <c r="Z91" s="398" t="n"/>
    </row>
    <row r="92">
      <c r="A92" s="407" t="n"/>
      <c r="B92" s="398" t="n"/>
      <c r="C92" s="408" t="n"/>
      <c r="D92" s="409">
        <f t="array" ref="D92">IF(B92="","",IFERROR(INDEX($L$6:$L$33,MATCH(TRUE,ISNUMBER(SEARCH($K$6:$K$33,B92)),0)),"Review Manually"))</f>
        <v/>
      </c>
      <c r="E92" s="410">
        <f>IF(A92="","",A92)</f>
        <v/>
      </c>
      <c r="F92" s="398">
        <f>IF(B92="","",D92)</f>
        <v/>
      </c>
      <c r="G92" s="411">
        <f>IF(F92="","",IFERROR(INDEX(CategoryTypeList,MATCH(F92,CategoryList,0)),""))</f>
        <v/>
      </c>
      <c r="H92" s="412">
        <f>IF(C92="","",C92)</f>
        <v/>
      </c>
      <c r="I92" s="398" t="n"/>
      <c r="J92" s="398" t="n"/>
      <c r="K92" s="398" t="n"/>
      <c r="L92" s="398" t="n"/>
      <c r="M92" s="398" t="n"/>
      <c r="N92" s="398" t="n"/>
      <c r="O92" s="398" t="n"/>
      <c r="P92" s="398" t="n"/>
      <c r="Q92" s="398" t="n"/>
      <c r="R92" s="398" t="n"/>
      <c r="S92" s="398" t="n"/>
      <c r="T92" s="398" t="n"/>
      <c r="U92" s="398" t="n"/>
      <c r="V92" s="398" t="n"/>
      <c r="W92" s="398" t="n"/>
      <c r="X92" s="398" t="n"/>
      <c r="Y92" s="398" t="n"/>
      <c r="Z92" s="398" t="n"/>
    </row>
    <row r="93">
      <c r="A93" s="407" t="n"/>
      <c r="B93" s="398" t="n"/>
      <c r="C93" s="408" t="n"/>
      <c r="D93" s="409">
        <f t="array" ref="D93">IF(B93="","",IFERROR(INDEX($L$6:$L$33,MATCH(TRUE,ISNUMBER(SEARCH($K$6:$K$33,B93)),0)),"Review Manually"))</f>
        <v/>
      </c>
      <c r="E93" s="410">
        <f>IF(A93="","",A93)</f>
        <v/>
      </c>
      <c r="F93" s="398">
        <f>IF(B93="","",D93)</f>
        <v/>
      </c>
      <c r="G93" s="411">
        <f>IF(F93="","",IFERROR(INDEX(CategoryTypeList,MATCH(F93,CategoryList,0)),""))</f>
        <v/>
      </c>
      <c r="H93" s="412">
        <f>IF(C93="","",C93)</f>
        <v/>
      </c>
      <c r="I93" s="398" t="n"/>
      <c r="J93" s="398" t="n"/>
      <c r="K93" s="398" t="n"/>
      <c r="L93" s="398" t="n"/>
      <c r="M93" s="398" t="n"/>
      <c r="N93" s="398" t="n"/>
      <c r="O93" s="398" t="n"/>
      <c r="P93" s="398" t="n"/>
      <c r="Q93" s="398" t="n"/>
      <c r="R93" s="398" t="n"/>
      <c r="S93" s="398" t="n"/>
      <c r="T93" s="398" t="n"/>
      <c r="U93" s="398" t="n"/>
      <c r="V93" s="398" t="n"/>
      <c r="W93" s="398" t="n"/>
      <c r="X93" s="398" t="n"/>
      <c r="Y93" s="398" t="n"/>
      <c r="Z93" s="398" t="n"/>
    </row>
    <row r="94">
      <c r="A94" s="407" t="n"/>
      <c r="B94" s="398" t="n"/>
      <c r="C94" s="408" t="n"/>
      <c r="D94" s="409">
        <f t="array" ref="D94">IF(B94="","",IFERROR(INDEX($L$6:$L$33,MATCH(TRUE,ISNUMBER(SEARCH($K$6:$K$33,B94)),0)),"Review Manually"))</f>
        <v/>
      </c>
      <c r="E94" s="410">
        <f>IF(A94="","",A94)</f>
        <v/>
      </c>
      <c r="F94" s="398">
        <f>IF(B94="","",D94)</f>
        <v/>
      </c>
      <c r="G94" s="411">
        <f>IF(F94="","",IFERROR(INDEX(CategoryTypeList,MATCH(F94,CategoryList,0)),""))</f>
        <v/>
      </c>
      <c r="H94" s="412">
        <f>IF(C94="","",C94)</f>
        <v/>
      </c>
      <c r="I94" s="398" t="n"/>
      <c r="J94" s="398" t="n"/>
      <c r="K94" s="398" t="n"/>
      <c r="L94" s="398" t="n"/>
      <c r="M94" s="398" t="n"/>
      <c r="N94" s="398" t="n"/>
      <c r="O94" s="398" t="n"/>
      <c r="P94" s="398" t="n"/>
      <c r="Q94" s="398" t="n"/>
      <c r="R94" s="398" t="n"/>
      <c r="S94" s="398" t="n"/>
      <c r="T94" s="398" t="n"/>
      <c r="U94" s="398" t="n"/>
      <c r="V94" s="398" t="n"/>
      <c r="W94" s="398" t="n"/>
      <c r="X94" s="398" t="n"/>
      <c r="Y94" s="398" t="n"/>
      <c r="Z94" s="398" t="n"/>
    </row>
    <row r="95">
      <c r="A95" s="407" t="n"/>
      <c r="B95" s="398" t="n"/>
      <c r="C95" s="408" t="n"/>
      <c r="D95" s="409">
        <f t="array" ref="D95">IF(B95="","",IFERROR(INDEX($L$6:$L$33,MATCH(TRUE,ISNUMBER(SEARCH($K$6:$K$33,B95)),0)),"Review Manually"))</f>
        <v/>
      </c>
      <c r="E95" s="410">
        <f>IF(A95="","",A95)</f>
        <v/>
      </c>
      <c r="F95" s="398">
        <f>IF(B95="","",D95)</f>
        <v/>
      </c>
      <c r="G95" s="411">
        <f>IF(F95="","",IFERROR(INDEX(CategoryTypeList,MATCH(F95,CategoryList,0)),""))</f>
        <v/>
      </c>
      <c r="H95" s="412">
        <f>IF(C95="","",C95)</f>
        <v/>
      </c>
      <c r="I95" s="398" t="n"/>
      <c r="J95" s="398" t="n"/>
      <c r="K95" s="398" t="n"/>
      <c r="L95" s="398" t="n"/>
      <c r="M95" s="398" t="n"/>
      <c r="N95" s="398" t="n"/>
      <c r="O95" s="398" t="n"/>
      <c r="P95" s="398" t="n"/>
      <c r="Q95" s="398" t="n"/>
      <c r="R95" s="398" t="n"/>
      <c r="S95" s="398" t="n"/>
      <c r="T95" s="398" t="n"/>
      <c r="U95" s="398" t="n"/>
      <c r="V95" s="398" t="n"/>
      <c r="W95" s="398" t="n"/>
      <c r="X95" s="398" t="n"/>
      <c r="Y95" s="398" t="n"/>
      <c r="Z95" s="398" t="n"/>
    </row>
    <row r="96">
      <c r="A96" s="407" t="n"/>
      <c r="B96" s="398" t="n"/>
      <c r="C96" s="408" t="n"/>
      <c r="D96" s="409">
        <f t="array" ref="D96">IF(B96="","",IFERROR(INDEX($L$6:$L$33,MATCH(TRUE,ISNUMBER(SEARCH($K$6:$K$33,B96)),0)),"Review Manually"))</f>
        <v/>
      </c>
      <c r="E96" s="410">
        <f>IF(A96="","",A96)</f>
        <v/>
      </c>
      <c r="F96" s="398">
        <f>IF(B96="","",D96)</f>
        <v/>
      </c>
      <c r="G96" s="411">
        <f>IF(F96="","",IFERROR(INDEX(CategoryTypeList,MATCH(F96,CategoryList,0)),""))</f>
        <v/>
      </c>
      <c r="H96" s="412">
        <f>IF(C96="","",C96)</f>
        <v/>
      </c>
      <c r="I96" s="398" t="n"/>
      <c r="J96" s="398" t="n"/>
      <c r="K96" s="398" t="n"/>
      <c r="L96" s="398" t="n"/>
      <c r="M96" s="398" t="n"/>
      <c r="N96" s="398" t="n"/>
      <c r="O96" s="398" t="n"/>
      <c r="P96" s="398" t="n"/>
      <c r="Q96" s="398" t="n"/>
      <c r="R96" s="398" t="n"/>
      <c r="S96" s="398" t="n"/>
      <c r="T96" s="398" t="n"/>
      <c r="U96" s="398" t="n"/>
      <c r="V96" s="398" t="n"/>
      <c r="W96" s="398" t="n"/>
      <c r="X96" s="398" t="n"/>
      <c r="Y96" s="398" t="n"/>
      <c r="Z96" s="398" t="n"/>
    </row>
    <row r="97">
      <c r="A97" s="407" t="n"/>
      <c r="B97" s="398" t="n"/>
      <c r="C97" s="408" t="n"/>
      <c r="D97" s="409">
        <f t="array" ref="D97">IF(B97="","",IFERROR(INDEX($L$6:$L$33,MATCH(TRUE,ISNUMBER(SEARCH($K$6:$K$33,B97)),0)),"Review Manually"))</f>
        <v/>
      </c>
      <c r="E97" s="410">
        <f>IF(A97="","",A97)</f>
        <v/>
      </c>
      <c r="F97" s="398">
        <f>IF(B97="","",D97)</f>
        <v/>
      </c>
      <c r="G97" s="411">
        <f>IF(F97="","",IFERROR(INDEX(CategoryTypeList,MATCH(F97,CategoryList,0)),""))</f>
        <v/>
      </c>
      <c r="H97" s="412">
        <f>IF(C97="","",C97)</f>
        <v/>
      </c>
      <c r="I97" s="398" t="n"/>
      <c r="J97" s="398" t="n"/>
      <c r="K97" s="398" t="n"/>
      <c r="L97" s="398" t="n"/>
      <c r="M97" s="398" t="n"/>
      <c r="N97" s="398" t="n"/>
      <c r="O97" s="398" t="n"/>
      <c r="P97" s="398" t="n"/>
      <c r="Q97" s="398" t="n"/>
      <c r="R97" s="398" t="n"/>
      <c r="S97" s="398" t="n"/>
      <c r="T97" s="398" t="n"/>
      <c r="U97" s="398" t="n"/>
      <c r="V97" s="398" t="n"/>
      <c r="W97" s="398" t="n"/>
      <c r="X97" s="398" t="n"/>
      <c r="Y97" s="398" t="n"/>
      <c r="Z97" s="398" t="n"/>
    </row>
    <row r="98">
      <c r="A98" s="407" t="n"/>
      <c r="B98" s="398" t="n"/>
      <c r="C98" s="408" t="n"/>
      <c r="D98" s="409">
        <f t="array" ref="D98">IF(B98="","",IFERROR(INDEX($L$6:$L$33,MATCH(TRUE,ISNUMBER(SEARCH($K$6:$K$33,B98)),0)),"Review Manually"))</f>
        <v/>
      </c>
      <c r="E98" s="410">
        <f>IF(A98="","",A98)</f>
        <v/>
      </c>
      <c r="F98" s="398">
        <f>IF(B98="","",D98)</f>
        <v/>
      </c>
      <c r="G98" s="411">
        <f>IF(F98="","",IFERROR(INDEX(CategoryTypeList,MATCH(F98,CategoryList,0)),""))</f>
        <v/>
      </c>
      <c r="H98" s="412">
        <f>IF(C98="","",C98)</f>
        <v/>
      </c>
      <c r="I98" s="398" t="n"/>
      <c r="J98" s="398" t="n"/>
      <c r="K98" s="398" t="n"/>
      <c r="L98" s="398" t="n"/>
      <c r="M98" s="398" t="n"/>
      <c r="N98" s="398" t="n"/>
      <c r="O98" s="398" t="n"/>
      <c r="P98" s="398" t="n"/>
      <c r="Q98" s="398" t="n"/>
      <c r="R98" s="398" t="n"/>
      <c r="S98" s="398" t="n"/>
      <c r="T98" s="398" t="n"/>
      <c r="U98" s="398" t="n"/>
      <c r="V98" s="398" t="n"/>
      <c r="W98" s="398" t="n"/>
      <c r="X98" s="398" t="n"/>
      <c r="Y98" s="398" t="n"/>
      <c r="Z98" s="398" t="n"/>
    </row>
    <row r="99">
      <c r="A99" s="407" t="n"/>
      <c r="B99" s="398" t="n"/>
      <c r="C99" s="408" t="n"/>
      <c r="D99" s="409">
        <f t="array" ref="D99">IF(B99="","",IFERROR(INDEX($L$6:$L$33,MATCH(TRUE,ISNUMBER(SEARCH($K$6:$K$33,B99)),0)),"Review Manually"))</f>
        <v/>
      </c>
      <c r="E99" s="410">
        <f>IF(A99="","",A99)</f>
        <v/>
      </c>
      <c r="F99" s="398">
        <f>IF(B99="","",D99)</f>
        <v/>
      </c>
      <c r="G99" s="411">
        <f>IF(F99="","",IFERROR(INDEX(CategoryTypeList,MATCH(F99,CategoryList,0)),""))</f>
        <v/>
      </c>
      <c r="H99" s="412">
        <f>IF(C99="","",C99)</f>
        <v/>
      </c>
      <c r="I99" s="398" t="n"/>
      <c r="J99" s="398" t="n"/>
      <c r="K99" s="398" t="n"/>
      <c r="L99" s="398" t="n"/>
      <c r="M99" s="398" t="n"/>
      <c r="N99" s="398" t="n"/>
      <c r="O99" s="398" t="n"/>
      <c r="P99" s="398" t="n"/>
      <c r="Q99" s="398" t="n"/>
      <c r="R99" s="398" t="n"/>
      <c r="S99" s="398" t="n"/>
      <c r="T99" s="398" t="n"/>
      <c r="U99" s="398" t="n"/>
      <c r="V99" s="398" t="n"/>
      <c r="W99" s="398" t="n"/>
      <c r="X99" s="398" t="n"/>
      <c r="Y99" s="398" t="n"/>
      <c r="Z99" s="398" t="n"/>
    </row>
    <row r="100">
      <c r="A100" s="407" t="n"/>
      <c r="B100" s="398" t="n"/>
      <c r="C100" s="408" t="n"/>
      <c r="D100" s="409">
        <f t="array" ref="D100">IF(B100="","",IFERROR(INDEX($L$6:$L$33,MATCH(TRUE,ISNUMBER(SEARCH($K$6:$K$33,B100)),0)),"Review Manually"))</f>
        <v/>
      </c>
      <c r="E100" s="410">
        <f>IF(A100="","",A100)</f>
        <v/>
      </c>
      <c r="F100" s="398">
        <f>IF(B100="","",D100)</f>
        <v/>
      </c>
      <c r="G100" s="411">
        <f>IF(F100="","",IFERROR(INDEX(CategoryTypeList,MATCH(F100,CategoryList,0)),""))</f>
        <v/>
      </c>
      <c r="H100" s="412">
        <f>IF(C100="","",C100)</f>
        <v/>
      </c>
      <c r="I100" s="398" t="n"/>
      <c r="J100" s="398" t="n"/>
      <c r="K100" s="398" t="n"/>
      <c r="L100" s="398" t="n"/>
      <c r="M100" s="398" t="n"/>
      <c r="N100" s="398" t="n"/>
      <c r="O100" s="398" t="n"/>
      <c r="P100" s="398" t="n"/>
      <c r="Q100" s="398" t="n"/>
      <c r="R100" s="398" t="n"/>
      <c r="S100" s="398" t="n"/>
      <c r="T100" s="398" t="n"/>
      <c r="U100" s="398" t="n"/>
      <c r="V100" s="398" t="n"/>
      <c r="W100" s="398" t="n"/>
      <c r="X100" s="398" t="n"/>
      <c r="Y100" s="398" t="n"/>
      <c r="Z100" s="398" t="n"/>
    </row>
    <row r="101">
      <c r="A101" s="407" t="n"/>
      <c r="B101" s="398" t="n"/>
      <c r="C101" s="408" t="n"/>
      <c r="D101" s="409">
        <f t="array" ref="D101">IF(B101="","",IFERROR(INDEX($L$6:$L$33,MATCH(TRUE,ISNUMBER(SEARCH($K$6:$K$33,B101)),0)),"Review Manually"))</f>
        <v/>
      </c>
      <c r="E101" s="410">
        <f>IF(A101="","",A101)</f>
        <v/>
      </c>
      <c r="F101" s="398">
        <f>IF(B101="","",D101)</f>
        <v/>
      </c>
      <c r="G101" s="411">
        <f>IF(F101="","",IFERROR(INDEX(CategoryTypeList,MATCH(F101,CategoryList,0)),""))</f>
        <v/>
      </c>
      <c r="H101" s="412">
        <f>IF(C101="","",C101)</f>
        <v/>
      </c>
      <c r="I101" s="398" t="n"/>
      <c r="J101" s="398" t="n"/>
      <c r="K101" s="398" t="n"/>
      <c r="L101" s="398" t="n"/>
      <c r="M101" s="398" t="n"/>
      <c r="N101" s="398" t="n"/>
      <c r="O101" s="398" t="n"/>
      <c r="P101" s="398" t="n"/>
      <c r="Q101" s="398" t="n"/>
      <c r="R101" s="398" t="n"/>
      <c r="S101" s="398" t="n"/>
      <c r="T101" s="398" t="n"/>
      <c r="U101" s="398" t="n"/>
      <c r="V101" s="398" t="n"/>
      <c r="W101" s="398" t="n"/>
      <c r="X101" s="398" t="n"/>
      <c r="Y101" s="398" t="n"/>
      <c r="Z101" s="398" t="n"/>
    </row>
    <row r="102">
      <c r="A102" s="407" t="n"/>
      <c r="B102" s="398" t="n"/>
      <c r="C102" s="408" t="n"/>
      <c r="D102" s="409">
        <f t="array" ref="D102">IF(B102="","",IFERROR(INDEX($L$6:$L$33,MATCH(TRUE,ISNUMBER(SEARCH($K$6:$K$33,B102)),0)),"Review Manually"))</f>
        <v/>
      </c>
      <c r="E102" s="410">
        <f>IF(A102="","",A102)</f>
        <v/>
      </c>
      <c r="F102" s="398">
        <f>IF(B102="","",D102)</f>
        <v/>
      </c>
      <c r="G102" s="411">
        <f>IF(F102="","",IFERROR(INDEX(CategoryTypeList,MATCH(F102,CategoryList,0)),""))</f>
        <v/>
      </c>
      <c r="H102" s="412">
        <f>IF(C102="","",C102)</f>
        <v/>
      </c>
      <c r="I102" s="398" t="n"/>
      <c r="J102" s="398" t="n"/>
      <c r="K102" s="398" t="n"/>
      <c r="L102" s="398" t="n"/>
      <c r="M102" s="398" t="n"/>
      <c r="N102" s="398" t="n"/>
      <c r="O102" s="398" t="n"/>
      <c r="P102" s="398" t="n"/>
      <c r="Q102" s="398" t="n"/>
      <c r="R102" s="398" t="n"/>
      <c r="S102" s="398" t="n"/>
      <c r="T102" s="398" t="n"/>
      <c r="U102" s="398" t="n"/>
      <c r="V102" s="398" t="n"/>
      <c r="W102" s="398" t="n"/>
      <c r="X102" s="398" t="n"/>
      <c r="Y102" s="398" t="n"/>
      <c r="Z102" s="398" t="n"/>
    </row>
    <row r="103">
      <c r="A103" s="407" t="n"/>
      <c r="B103" s="398" t="n"/>
      <c r="C103" s="408" t="n"/>
      <c r="D103" s="409">
        <f t="array" ref="D103">IF(B103="","",IFERROR(INDEX($L$6:$L$33,MATCH(TRUE,ISNUMBER(SEARCH($K$6:$K$33,B103)),0)),"Review Manually"))</f>
        <v/>
      </c>
      <c r="E103" s="410">
        <f>IF(A103="","",A103)</f>
        <v/>
      </c>
      <c r="F103" s="398">
        <f>IF(B103="","",D103)</f>
        <v/>
      </c>
      <c r="G103" s="411">
        <f>IF(F103="","",IFERROR(INDEX(CategoryTypeList,MATCH(F103,CategoryList,0)),""))</f>
        <v/>
      </c>
      <c r="H103" s="412">
        <f>IF(C103="","",C103)</f>
        <v/>
      </c>
      <c r="I103" s="398" t="n"/>
      <c r="J103" s="398" t="n"/>
      <c r="K103" s="398" t="n"/>
      <c r="L103" s="398" t="n"/>
      <c r="M103" s="398" t="n"/>
      <c r="N103" s="398" t="n"/>
      <c r="O103" s="398" t="n"/>
      <c r="P103" s="398" t="n"/>
      <c r="Q103" s="398" t="n"/>
      <c r="R103" s="398" t="n"/>
      <c r="S103" s="398" t="n"/>
      <c r="T103" s="398" t="n"/>
      <c r="U103" s="398" t="n"/>
      <c r="V103" s="398" t="n"/>
      <c r="W103" s="398" t="n"/>
      <c r="X103" s="398" t="n"/>
      <c r="Y103" s="398" t="n"/>
      <c r="Z103" s="398" t="n"/>
    </row>
    <row r="104">
      <c r="A104" s="407" t="n"/>
      <c r="B104" s="398" t="n"/>
      <c r="C104" s="408" t="n"/>
      <c r="D104" s="409">
        <f t="array" ref="D104">IF(B104="","",IFERROR(INDEX($L$6:$L$33,MATCH(TRUE,ISNUMBER(SEARCH($K$6:$K$33,B104)),0)),"Review Manually"))</f>
        <v/>
      </c>
      <c r="E104" s="410">
        <f>IF(A104="","",A104)</f>
        <v/>
      </c>
      <c r="F104" s="398">
        <f>IF(B104="","",D104)</f>
        <v/>
      </c>
      <c r="G104" s="411">
        <f>IF(F104="","",IFERROR(INDEX(CategoryTypeList,MATCH(F104,CategoryList,0)),""))</f>
        <v/>
      </c>
      <c r="H104" s="412">
        <f>IF(C104="","",C104)</f>
        <v/>
      </c>
      <c r="I104" s="398" t="n"/>
      <c r="J104" s="398" t="n"/>
      <c r="K104" s="398" t="n"/>
      <c r="L104" s="398" t="n"/>
      <c r="M104" s="398" t="n"/>
      <c r="N104" s="398" t="n"/>
      <c r="O104" s="398" t="n"/>
      <c r="P104" s="398" t="n"/>
      <c r="Q104" s="398" t="n"/>
      <c r="R104" s="398" t="n"/>
      <c r="S104" s="398" t="n"/>
      <c r="T104" s="398" t="n"/>
      <c r="U104" s="398" t="n"/>
      <c r="V104" s="398" t="n"/>
      <c r="W104" s="398" t="n"/>
      <c r="X104" s="398" t="n"/>
      <c r="Y104" s="398" t="n"/>
      <c r="Z104" s="398" t="n"/>
    </row>
    <row r="105">
      <c r="A105" s="407" t="n"/>
      <c r="B105" s="398" t="n"/>
      <c r="C105" s="408" t="n"/>
      <c r="D105" s="409">
        <f t="array" ref="D105">IF(B105="","",IFERROR(INDEX($L$6:$L$33,MATCH(TRUE,ISNUMBER(SEARCH($K$6:$K$33,B105)),0)),"Review Manually"))</f>
        <v/>
      </c>
      <c r="E105" s="410">
        <f>IF(A105="","",A105)</f>
        <v/>
      </c>
      <c r="F105" s="398">
        <f>IF(B105="","",D105)</f>
        <v/>
      </c>
      <c r="G105" s="411">
        <f>IF(F105="","",IFERROR(INDEX(CategoryTypeList,MATCH(F105,CategoryList,0)),""))</f>
        <v/>
      </c>
      <c r="H105" s="412">
        <f>IF(C105="","",C105)</f>
        <v/>
      </c>
      <c r="I105" s="398" t="n"/>
      <c r="J105" s="398" t="n"/>
      <c r="K105" s="398" t="n"/>
      <c r="L105" s="398" t="n"/>
      <c r="M105" s="398" t="n"/>
      <c r="N105" s="398" t="n"/>
      <c r="O105" s="398" t="n"/>
      <c r="P105" s="398" t="n"/>
      <c r="Q105" s="398" t="n"/>
      <c r="R105" s="398" t="n"/>
      <c r="S105" s="398" t="n"/>
      <c r="T105" s="398" t="n"/>
      <c r="U105" s="398" t="n"/>
      <c r="V105" s="398" t="n"/>
      <c r="W105" s="398" t="n"/>
      <c r="X105" s="398" t="n"/>
      <c r="Y105" s="398" t="n"/>
      <c r="Z105" s="398" t="n"/>
    </row>
    <row r="106">
      <c r="A106" s="398" t="n"/>
      <c r="B106" s="398" t="n"/>
      <c r="C106" s="398" t="n"/>
      <c r="D106" s="398" t="n"/>
      <c r="E106" s="398" t="n"/>
      <c r="F106" s="398" t="n"/>
      <c r="G106" s="398" t="n"/>
      <c r="H106" s="398" t="n"/>
      <c r="I106" s="398" t="n"/>
      <c r="J106" s="398" t="n"/>
      <c r="K106" s="398" t="n"/>
      <c r="L106" s="398" t="n"/>
      <c r="M106" s="398" t="n"/>
      <c r="N106" s="398" t="n"/>
      <c r="O106" s="398" t="n"/>
      <c r="P106" s="398" t="n"/>
      <c r="Q106" s="398" t="n"/>
      <c r="R106" s="398" t="n"/>
      <c r="S106" s="398" t="n"/>
      <c r="T106" s="398" t="n"/>
      <c r="U106" s="398" t="n"/>
      <c r="V106" s="398" t="n"/>
      <c r="W106" s="398" t="n"/>
      <c r="X106" s="398" t="n"/>
      <c r="Y106" s="398" t="n"/>
      <c r="Z106" s="398" t="n"/>
    </row>
    <row r="107">
      <c r="A107" s="398" t="n"/>
      <c r="B107" s="398" t="n"/>
      <c r="C107" s="398" t="n"/>
      <c r="D107" s="398" t="n"/>
      <c r="E107" s="398" t="n"/>
      <c r="F107" s="398" t="n"/>
      <c r="G107" s="398" t="n"/>
      <c r="H107" s="398" t="n"/>
      <c r="I107" s="398" t="n"/>
      <c r="J107" s="398" t="n"/>
      <c r="K107" s="398" t="n"/>
      <c r="L107" s="398" t="n"/>
      <c r="M107" s="398" t="n"/>
      <c r="N107" s="398" t="n"/>
      <c r="O107" s="398" t="n"/>
      <c r="P107" s="398" t="n"/>
      <c r="Q107" s="398" t="n"/>
      <c r="R107" s="398" t="n"/>
      <c r="S107" s="398" t="n"/>
      <c r="T107" s="398" t="n"/>
      <c r="U107" s="398" t="n"/>
      <c r="V107" s="398" t="n"/>
      <c r="W107" s="398" t="n"/>
      <c r="X107" s="398" t="n"/>
      <c r="Y107" s="398" t="n"/>
      <c r="Z107" s="398" t="n"/>
    </row>
    <row r="108">
      <c r="A108" s="398" t="n"/>
      <c r="B108" s="398" t="n"/>
      <c r="C108" s="398" t="n"/>
      <c r="D108" s="398" t="n"/>
      <c r="E108" s="398" t="n"/>
      <c r="F108" s="398" t="n"/>
      <c r="G108" s="398" t="n"/>
      <c r="H108" s="398" t="n"/>
      <c r="I108" s="398" t="n"/>
      <c r="J108" s="398" t="n"/>
      <c r="K108" s="398" t="n"/>
      <c r="L108" s="398" t="n"/>
      <c r="M108" s="398" t="n"/>
      <c r="N108" s="398" t="n"/>
      <c r="O108" s="398" t="n"/>
      <c r="P108" s="398" t="n"/>
      <c r="Q108" s="398" t="n"/>
      <c r="R108" s="398" t="n"/>
      <c r="S108" s="398" t="n"/>
      <c r="T108" s="398" t="n"/>
      <c r="U108" s="398" t="n"/>
      <c r="V108" s="398" t="n"/>
      <c r="W108" s="398" t="n"/>
      <c r="X108" s="398" t="n"/>
      <c r="Y108" s="398" t="n"/>
      <c r="Z108" s="398" t="n"/>
    </row>
    <row r="109">
      <c r="A109" s="398" t="n"/>
      <c r="B109" s="398" t="n"/>
      <c r="C109" s="398" t="n"/>
      <c r="D109" s="398" t="n"/>
      <c r="E109" s="398" t="n"/>
      <c r="F109" s="398" t="n"/>
      <c r="G109" s="398" t="n"/>
      <c r="H109" s="398" t="n"/>
      <c r="I109" s="398" t="n"/>
      <c r="J109" s="398" t="n"/>
      <c r="K109" s="398" t="n"/>
      <c r="L109" s="398" t="n"/>
      <c r="M109" s="398" t="n"/>
      <c r="N109" s="398" t="n"/>
      <c r="O109" s="398" t="n"/>
      <c r="P109" s="398" t="n"/>
      <c r="Q109" s="398" t="n"/>
      <c r="R109" s="398" t="n"/>
      <c r="S109" s="398" t="n"/>
      <c r="T109" s="398" t="n"/>
      <c r="U109" s="398" t="n"/>
      <c r="V109" s="398" t="n"/>
      <c r="W109" s="398" t="n"/>
      <c r="X109" s="398" t="n"/>
      <c r="Y109" s="398" t="n"/>
      <c r="Z109" s="398" t="n"/>
    </row>
    <row r="110">
      <c r="A110" s="398" t="n"/>
      <c r="B110" s="398" t="n"/>
      <c r="C110" s="398" t="n"/>
      <c r="D110" s="398" t="n"/>
      <c r="E110" s="398" t="n"/>
      <c r="F110" s="398" t="n"/>
      <c r="G110" s="398" t="n"/>
      <c r="H110" s="398" t="n"/>
      <c r="I110" s="398" t="n"/>
      <c r="J110" s="398" t="n"/>
      <c r="K110" s="398" t="n"/>
      <c r="L110" s="398" t="n"/>
      <c r="M110" s="398" t="n"/>
      <c r="N110" s="398" t="n"/>
      <c r="O110" s="398" t="n"/>
      <c r="P110" s="398" t="n"/>
      <c r="Q110" s="398" t="n"/>
      <c r="R110" s="398" t="n"/>
      <c r="S110" s="398" t="n"/>
      <c r="T110" s="398" t="n"/>
      <c r="U110" s="398" t="n"/>
      <c r="V110" s="398" t="n"/>
      <c r="W110" s="398" t="n"/>
      <c r="X110" s="398" t="n"/>
      <c r="Y110" s="398" t="n"/>
      <c r="Z110" s="398" t="n"/>
    </row>
    <row r="111">
      <c r="A111" s="398" t="n"/>
      <c r="B111" s="398" t="n"/>
      <c r="C111" s="398" t="n"/>
      <c r="D111" s="398" t="n"/>
      <c r="E111" s="398" t="n"/>
      <c r="F111" s="398" t="n"/>
      <c r="G111" s="398" t="n"/>
      <c r="H111" s="398" t="n"/>
      <c r="I111" s="398" t="n"/>
      <c r="J111" s="398" t="n"/>
      <c r="K111" s="398" t="n"/>
      <c r="L111" s="398" t="n"/>
      <c r="M111" s="398" t="n"/>
      <c r="N111" s="398" t="n"/>
      <c r="O111" s="398" t="n"/>
      <c r="P111" s="398" t="n"/>
      <c r="Q111" s="398" t="n"/>
      <c r="R111" s="398" t="n"/>
      <c r="S111" s="398" t="n"/>
      <c r="T111" s="398" t="n"/>
      <c r="U111" s="398" t="n"/>
      <c r="V111" s="398" t="n"/>
      <c r="W111" s="398" t="n"/>
      <c r="X111" s="398" t="n"/>
      <c r="Y111" s="398" t="n"/>
      <c r="Z111" s="398" t="n"/>
    </row>
    <row r="112">
      <c r="A112" s="398" t="n"/>
      <c r="B112" s="398" t="n"/>
      <c r="C112" s="398" t="n"/>
      <c r="D112" s="398" t="n"/>
      <c r="E112" s="398" t="n"/>
      <c r="F112" s="398" t="n"/>
      <c r="G112" s="398" t="n"/>
      <c r="H112" s="398" t="n"/>
      <c r="I112" s="398" t="n"/>
      <c r="J112" s="398" t="n"/>
      <c r="K112" s="398" t="n"/>
      <c r="L112" s="398" t="n"/>
      <c r="M112" s="398" t="n"/>
      <c r="N112" s="398" t="n"/>
      <c r="O112" s="398" t="n"/>
      <c r="P112" s="398" t="n"/>
      <c r="Q112" s="398" t="n"/>
      <c r="R112" s="398" t="n"/>
      <c r="S112" s="398" t="n"/>
      <c r="T112" s="398" t="n"/>
      <c r="U112" s="398" t="n"/>
      <c r="V112" s="398" t="n"/>
      <c r="W112" s="398" t="n"/>
      <c r="X112" s="398" t="n"/>
      <c r="Y112" s="398" t="n"/>
      <c r="Z112" s="398" t="n"/>
    </row>
    <row r="113">
      <c r="A113" s="398" t="n"/>
      <c r="B113" s="398" t="n"/>
      <c r="C113" s="398" t="n"/>
      <c r="D113" s="398" t="n"/>
      <c r="E113" s="398" t="n"/>
      <c r="F113" s="398" t="n"/>
      <c r="G113" s="398" t="n"/>
      <c r="H113" s="398" t="n"/>
      <c r="I113" s="398" t="n"/>
      <c r="J113" s="398" t="n"/>
      <c r="K113" s="398" t="n"/>
      <c r="L113" s="398" t="n"/>
      <c r="M113" s="398" t="n"/>
      <c r="N113" s="398" t="n"/>
      <c r="O113" s="398" t="n"/>
      <c r="P113" s="398" t="n"/>
      <c r="Q113" s="398" t="n"/>
      <c r="R113" s="398" t="n"/>
      <c r="S113" s="398" t="n"/>
      <c r="T113" s="398" t="n"/>
      <c r="U113" s="398" t="n"/>
      <c r="V113" s="398" t="n"/>
      <c r="W113" s="398" t="n"/>
      <c r="X113" s="398" t="n"/>
      <c r="Y113" s="398" t="n"/>
      <c r="Z113" s="398" t="n"/>
    </row>
    <row r="114">
      <c r="A114" s="398" t="n"/>
      <c r="B114" s="398" t="n"/>
      <c r="C114" s="398" t="n"/>
      <c r="D114" s="398" t="n"/>
      <c r="E114" s="398" t="n"/>
      <c r="F114" s="398" t="n"/>
      <c r="G114" s="398" t="n"/>
      <c r="H114" s="398" t="n"/>
      <c r="I114" s="398" t="n"/>
      <c r="J114" s="398" t="n"/>
      <c r="K114" s="398" t="n"/>
      <c r="L114" s="398" t="n"/>
      <c r="M114" s="398" t="n"/>
      <c r="N114" s="398" t="n"/>
      <c r="O114" s="398" t="n"/>
      <c r="P114" s="398" t="n"/>
      <c r="Q114" s="398" t="n"/>
      <c r="R114" s="398" t="n"/>
      <c r="S114" s="398" t="n"/>
      <c r="T114" s="398" t="n"/>
      <c r="U114" s="398" t="n"/>
      <c r="V114" s="398" t="n"/>
      <c r="W114" s="398" t="n"/>
      <c r="X114" s="398" t="n"/>
      <c r="Y114" s="398" t="n"/>
      <c r="Z114" s="398" t="n"/>
    </row>
    <row r="115">
      <c r="A115" s="398" t="n"/>
      <c r="B115" s="398" t="n"/>
      <c r="C115" s="398" t="n"/>
      <c r="D115" s="398" t="n"/>
      <c r="E115" s="398" t="n"/>
      <c r="F115" s="398" t="n"/>
      <c r="G115" s="398" t="n"/>
      <c r="H115" s="398" t="n"/>
      <c r="I115" s="398" t="n"/>
      <c r="J115" s="398" t="n"/>
      <c r="K115" s="398" t="n"/>
      <c r="L115" s="398" t="n"/>
      <c r="M115" s="398" t="n"/>
      <c r="N115" s="398" t="n"/>
      <c r="O115" s="398" t="n"/>
      <c r="P115" s="398" t="n"/>
      <c r="Q115" s="398" t="n"/>
      <c r="R115" s="398" t="n"/>
      <c r="S115" s="398" t="n"/>
      <c r="T115" s="398" t="n"/>
      <c r="U115" s="398" t="n"/>
      <c r="V115" s="398" t="n"/>
      <c r="W115" s="398" t="n"/>
      <c r="X115" s="398" t="n"/>
      <c r="Y115" s="398" t="n"/>
      <c r="Z115" s="398" t="n"/>
    </row>
    <row r="116">
      <c r="A116" s="398" t="n"/>
      <c r="B116" s="398" t="n"/>
      <c r="C116" s="398" t="n"/>
      <c r="D116" s="398" t="n"/>
      <c r="E116" s="398" t="n"/>
      <c r="F116" s="398" t="n"/>
      <c r="G116" s="398" t="n"/>
      <c r="H116" s="398" t="n"/>
      <c r="I116" s="398" t="n"/>
      <c r="J116" s="398" t="n"/>
      <c r="K116" s="398" t="n"/>
      <c r="L116" s="398" t="n"/>
      <c r="M116" s="398" t="n"/>
      <c r="N116" s="398" t="n"/>
      <c r="O116" s="398" t="n"/>
      <c r="P116" s="398" t="n"/>
      <c r="Q116" s="398" t="n"/>
      <c r="R116" s="398" t="n"/>
      <c r="S116" s="398" t="n"/>
      <c r="T116" s="398" t="n"/>
      <c r="U116" s="398" t="n"/>
      <c r="V116" s="398" t="n"/>
      <c r="W116" s="398" t="n"/>
      <c r="X116" s="398" t="n"/>
      <c r="Y116" s="398" t="n"/>
      <c r="Z116" s="398" t="n"/>
    </row>
    <row r="117">
      <c r="A117" s="398" t="n"/>
      <c r="B117" s="398" t="n"/>
      <c r="C117" s="398" t="n"/>
      <c r="D117" s="398" t="n"/>
      <c r="E117" s="398" t="n"/>
      <c r="F117" s="398" t="n"/>
      <c r="G117" s="398" t="n"/>
      <c r="H117" s="398" t="n"/>
      <c r="I117" s="398" t="n"/>
      <c r="J117" s="398" t="n"/>
      <c r="K117" s="398" t="n"/>
      <c r="L117" s="398" t="n"/>
      <c r="M117" s="398" t="n"/>
      <c r="N117" s="398" t="n"/>
      <c r="O117" s="398" t="n"/>
      <c r="P117" s="398" t="n"/>
      <c r="Q117" s="398" t="n"/>
      <c r="R117" s="398" t="n"/>
      <c r="S117" s="398" t="n"/>
      <c r="T117" s="398" t="n"/>
      <c r="U117" s="398" t="n"/>
      <c r="V117" s="398" t="n"/>
      <c r="W117" s="398" t="n"/>
      <c r="X117" s="398" t="n"/>
      <c r="Y117" s="398" t="n"/>
      <c r="Z117" s="398" t="n"/>
    </row>
    <row r="118">
      <c r="A118" s="398" t="n"/>
      <c r="B118" s="398" t="n"/>
      <c r="C118" s="398" t="n"/>
      <c r="D118" s="398" t="n"/>
      <c r="E118" s="398" t="n"/>
      <c r="F118" s="398" t="n"/>
      <c r="G118" s="398" t="n"/>
      <c r="H118" s="398" t="n"/>
      <c r="I118" s="398" t="n"/>
      <c r="J118" s="398" t="n"/>
      <c r="K118" s="398" t="n"/>
      <c r="L118" s="398" t="n"/>
      <c r="M118" s="398" t="n"/>
      <c r="N118" s="398" t="n"/>
      <c r="O118" s="398" t="n"/>
      <c r="P118" s="398" t="n"/>
      <c r="Q118" s="398" t="n"/>
      <c r="R118" s="398" t="n"/>
      <c r="S118" s="398" t="n"/>
      <c r="T118" s="398" t="n"/>
      <c r="U118" s="398" t="n"/>
      <c r="V118" s="398" t="n"/>
      <c r="W118" s="398" t="n"/>
      <c r="X118" s="398" t="n"/>
      <c r="Y118" s="398" t="n"/>
      <c r="Z118" s="398" t="n"/>
    </row>
    <row r="119">
      <c r="A119" s="398" t="n"/>
      <c r="B119" s="398" t="n"/>
      <c r="C119" s="398" t="n"/>
      <c r="D119" s="398" t="n"/>
      <c r="E119" s="398" t="n"/>
      <c r="F119" s="398" t="n"/>
      <c r="G119" s="398" t="n"/>
      <c r="H119" s="398" t="n"/>
      <c r="I119" s="398" t="n"/>
      <c r="J119" s="398" t="n"/>
      <c r="K119" s="398" t="n"/>
      <c r="L119" s="398" t="n"/>
      <c r="M119" s="398" t="n"/>
      <c r="N119" s="398" t="n"/>
      <c r="O119" s="398" t="n"/>
      <c r="P119" s="398" t="n"/>
      <c r="Q119" s="398" t="n"/>
      <c r="R119" s="398" t="n"/>
      <c r="S119" s="398" t="n"/>
      <c r="T119" s="398" t="n"/>
      <c r="U119" s="398" t="n"/>
      <c r="V119" s="398" t="n"/>
      <c r="W119" s="398" t="n"/>
      <c r="X119" s="398" t="n"/>
      <c r="Y119" s="398" t="n"/>
      <c r="Z119" s="398" t="n"/>
    </row>
    <row r="120">
      <c r="A120" s="398" t="n"/>
      <c r="B120" s="398" t="n"/>
      <c r="C120" s="398" t="n"/>
      <c r="D120" s="398" t="n"/>
      <c r="E120" s="398" t="n"/>
      <c r="F120" s="398" t="n"/>
      <c r="G120" s="398" t="n"/>
      <c r="H120" s="398" t="n"/>
      <c r="I120" s="398" t="n"/>
      <c r="J120" s="398" t="n"/>
      <c r="K120" s="398" t="n"/>
      <c r="L120" s="398" t="n"/>
      <c r="M120" s="398" t="n"/>
      <c r="N120" s="398" t="n"/>
      <c r="O120" s="398" t="n"/>
      <c r="P120" s="398" t="n"/>
      <c r="Q120" s="398" t="n"/>
      <c r="R120" s="398" t="n"/>
      <c r="S120" s="398" t="n"/>
      <c r="T120" s="398" t="n"/>
      <c r="U120" s="398" t="n"/>
      <c r="V120" s="398" t="n"/>
      <c r="W120" s="398" t="n"/>
      <c r="X120" s="398" t="n"/>
      <c r="Y120" s="398" t="n"/>
      <c r="Z120" s="398" t="n"/>
    </row>
    <row r="121">
      <c r="A121" s="398" t="n"/>
      <c r="B121" s="398" t="n"/>
      <c r="C121" s="398" t="n"/>
      <c r="D121" s="398" t="n"/>
      <c r="E121" s="398" t="n"/>
      <c r="F121" s="398" t="n"/>
      <c r="G121" s="398" t="n"/>
      <c r="H121" s="398" t="n"/>
      <c r="I121" s="398" t="n"/>
      <c r="J121" s="398" t="n"/>
      <c r="K121" s="398" t="n"/>
      <c r="L121" s="398" t="n"/>
      <c r="M121" s="398" t="n"/>
      <c r="N121" s="398" t="n"/>
      <c r="O121" s="398" t="n"/>
      <c r="P121" s="398" t="n"/>
      <c r="Q121" s="398" t="n"/>
      <c r="R121" s="398" t="n"/>
      <c r="S121" s="398" t="n"/>
      <c r="T121" s="398" t="n"/>
      <c r="U121" s="398" t="n"/>
      <c r="V121" s="398" t="n"/>
      <c r="W121" s="398" t="n"/>
      <c r="X121" s="398" t="n"/>
      <c r="Y121" s="398" t="n"/>
      <c r="Z121" s="398" t="n"/>
    </row>
    <row r="122">
      <c r="A122" s="398" t="n"/>
      <c r="B122" s="398" t="n"/>
      <c r="C122" s="398" t="n"/>
      <c r="D122" s="398" t="n"/>
      <c r="E122" s="398" t="n"/>
      <c r="F122" s="398" t="n"/>
      <c r="G122" s="398" t="n"/>
      <c r="H122" s="398" t="n"/>
      <c r="I122" s="398" t="n"/>
      <c r="J122" s="398" t="n"/>
      <c r="K122" s="398" t="n"/>
      <c r="L122" s="398" t="n"/>
      <c r="M122" s="398" t="n"/>
      <c r="N122" s="398" t="n"/>
      <c r="O122" s="398" t="n"/>
      <c r="P122" s="398" t="n"/>
      <c r="Q122" s="398" t="n"/>
      <c r="R122" s="398" t="n"/>
      <c r="S122" s="398" t="n"/>
      <c r="T122" s="398" t="n"/>
      <c r="U122" s="398" t="n"/>
      <c r="V122" s="398" t="n"/>
      <c r="W122" s="398" t="n"/>
      <c r="X122" s="398" t="n"/>
      <c r="Y122" s="398" t="n"/>
      <c r="Z122" s="398" t="n"/>
    </row>
    <row r="123">
      <c r="A123" s="398" t="n"/>
      <c r="B123" s="398" t="n"/>
      <c r="C123" s="398" t="n"/>
      <c r="D123" s="398" t="n"/>
      <c r="E123" s="398" t="n"/>
      <c r="F123" s="398" t="n"/>
      <c r="G123" s="398" t="n"/>
      <c r="H123" s="398" t="n"/>
      <c r="I123" s="398" t="n"/>
      <c r="J123" s="398" t="n"/>
      <c r="K123" s="398" t="n"/>
      <c r="L123" s="398" t="n"/>
      <c r="M123" s="398" t="n"/>
      <c r="N123" s="398" t="n"/>
      <c r="O123" s="398" t="n"/>
      <c r="P123" s="398" t="n"/>
      <c r="Q123" s="398" t="n"/>
      <c r="R123" s="398" t="n"/>
      <c r="S123" s="398" t="n"/>
      <c r="T123" s="398" t="n"/>
      <c r="U123" s="398" t="n"/>
      <c r="V123" s="398" t="n"/>
      <c r="W123" s="398" t="n"/>
      <c r="X123" s="398" t="n"/>
      <c r="Y123" s="398" t="n"/>
      <c r="Z123" s="398" t="n"/>
    </row>
    <row r="124">
      <c r="A124" s="398" t="n"/>
      <c r="B124" s="398" t="n"/>
      <c r="C124" s="398" t="n"/>
      <c r="D124" s="398" t="n"/>
      <c r="E124" s="398" t="n"/>
      <c r="F124" s="398" t="n"/>
      <c r="G124" s="398" t="n"/>
      <c r="H124" s="398" t="n"/>
      <c r="I124" s="398" t="n"/>
      <c r="J124" s="398" t="n"/>
      <c r="K124" s="398" t="n"/>
      <c r="L124" s="398" t="n"/>
      <c r="M124" s="398" t="n"/>
      <c r="N124" s="398" t="n"/>
      <c r="O124" s="398" t="n"/>
      <c r="P124" s="398" t="n"/>
      <c r="Q124" s="398" t="n"/>
      <c r="R124" s="398" t="n"/>
      <c r="S124" s="398" t="n"/>
      <c r="T124" s="398" t="n"/>
      <c r="U124" s="398" t="n"/>
      <c r="V124" s="398" t="n"/>
      <c r="W124" s="398" t="n"/>
      <c r="X124" s="398" t="n"/>
      <c r="Y124" s="398" t="n"/>
      <c r="Z124" s="398" t="n"/>
    </row>
    <row r="125">
      <c r="A125" s="398" t="n"/>
      <c r="B125" s="398" t="n"/>
      <c r="C125" s="398" t="n"/>
      <c r="D125" s="398" t="n"/>
      <c r="E125" s="398" t="n"/>
      <c r="F125" s="398" t="n"/>
      <c r="G125" s="398" t="n"/>
      <c r="H125" s="398" t="n"/>
      <c r="I125" s="398" t="n"/>
      <c r="J125" s="398" t="n"/>
      <c r="K125" s="398" t="n"/>
      <c r="L125" s="398" t="n"/>
      <c r="M125" s="398" t="n"/>
      <c r="N125" s="398" t="n"/>
      <c r="O125" s="398" t="n"/>
      <c r="P125" s="398" t="n"/>
      <c r="Q125" s="398" t="n"/>
      <c r="R125" s="398" t="n"/>
      <c r="S125" s="398" t="n"/>
      <c r="T125" s="398" t="n"/>
      <c r="U125" s="398" t="n"/>
      <c r="V125" s="398" t="n"/>
      <c r="W125" s="398" t="n"/>
      <c r="X125" s="398" t="n"/>
      <c r="Y125" s="398" t="n"/>
      <c r="Z125" s="398" t="n"/>
    </row>
    <row r="126">
      <c r="A126" s="398" t="n"/>
      <c r="B126" s="398" t="n"/>
      <c r="C126" s="398" t="n"/>
      <c r="D126" s="398" t="n"/>
      <c r="E126" s="398" t="n"/>
      <c r="F126" s="398" t="n"/>
      <c r="G126" s="398" t="n"/>
      <c r="H126" s="398" t="n"/>
      <c r="I126" s="398" t="n"/>
      <c r="J126" s="398" t="n"/>
      <c r="K126" s="398" t="n"/>
      <c r="L126" s="398" t="n"/>
      <c r="M126" s="398" t="n"/>
      <c r="N126" s="398" t="n"/>
      <c r="O126" s="398" t="n"/>
      <c r="P126" s="398" t="n"/>
      <c r="Q126" s="398" t="n"/>
      <c r="R126" s="398" t="n"/>
      <c r="S126" s="398" t="n"/>
      <c r="T126" s="398" t="n"/>
      <c r="U126" s="398" t="n"/>
      <c r="V126" s="398" t="n"/>
      <c r="W126" s="398" t="n"/>
      <c r="X126" s="398" t="n"/>
      <c r="Y126" s="398" t="n"/>
      <c r="Z126" s="398" t="n"/>
    </row>
    <row r="127">
      <c r="A127" s="398" t="n"/>
      <c r="B127" s="398" t="n"/>
      <c r="C127" s="398" t="n"/>
      <c r="D127" s="398" t="n"/>
      <c r="E127" s="398" t="n"/>
      <c r="F127" s="398" t="n"/>
      <c r="G127" s="398" t="n"/>
      <c r="H127" s="398" t="n"/>
      <c r="I127" s="398" t="n"/>
      <c r="J127" s="398" t="n"/>
      <c r="K127" s="398" t="n"/>
      <c r="L127" s="398" t="n"/>
      <c r="M127" s="398" t="n"/>
      <c r="N127" s="398" t="n"/>
      <c r="O127" s="398" t="n"/>
      <c r="P127" s="398" t="n"/>
      <c r="Q127" s="398" t="n"/>
      <c r="R127" s="398" t="n"/>
      <c r="S127" s="398" t="n"/>
      <c r="T127" s="398" t="n"/>
      <c r="U127" s="398" t="n"/>
      <c r="V127" s="398" t="n"/>
      <c r="W127" s="398" t="n"/>
      <c r="X127" s="398" t="n"/>
      <c r="Y127" s="398" t="n"/>
      <c r="Z127" s="398" t="n"/>
    </row>
    <row r="128">
      <c r="A128" s="398" t="n"/>
      <c r="B128" s="398" t="n"/>
      <c r="C128" s="398" t="n"/>
      <c r="D128" s="398" t="n"/>
      <c r="E128" s="398" t="n"/>
      <c r="F128" s="398" t="n"/>
      <c r="G128" s="398" t="n"/>
      <c r="H128" s="398" t="n"/>
      <c r="I128" s="398" t="n"/>
      <c r="J128" s="398" t="n"/>
      <c r="K128" s="398" t="n"/>
      <c r="L128" s="398" t="n"/>
      <c r="M128" s="398" t="n"/>
      <c r="N128" s="398" t="n"/>
      <c r="O128" s="398" t="n"/>
      <c r="P128" s="398" t="n"/>
      <c r="Q128" s="398" t="n"/>
      <c r="R128" s="398" t="n"/>
      <c r="S128" s="398" t="n"/>
      <c r="T128" s="398" t="n"/>
      <c r="U128" s="398" t="n"/>
      <c r="V128" s="398" t="n"/>
      <c r="W128" s="398" t="n"/>
      <c r="X128" s="398" t="n"/>
      <c r="Y128" s="398" t="n"/>
      <c r="Z128" s="398" t="n"/>
    </row>
    <row r="129">
      <c r="A129" s="398" t="n"/>
      <c r="B129" s="398" t="n"/>
      <c r="C129" s="398" t="n"/>
      <c r="D129" s="398" t="n"/>
      <c r="E129" s="398" t="n"/>
      <c r="F129" s="398" t="n"/>
      <c r="G129" s="398" t="n"/>
      <c r="H129" s="398" t="n"/>
      <c r="I129" s="398" t="n"/>
      <c r="J129" s="398" t="n"/>
      <c r="K129" s="398" t="n"/>
      <c r="L129" s="398" t="n"/>
      <c r="M129" s="398" t="n"/>
      <c r="N129" s="398" t="n"/>
      <c r="O129" s="398" t="n"/>
      <c r="P129" s="398" t="n"/>
      <c r="Q129" s="398" t="n"/>
      <c r="R129" s="398" t="n"/>
      <c r="S129" s="398" t="n"/>
      <c r="T129" s="398" t="n"/>
      <c r="U129" s="398" t="n"/>
      <c r="V129" s="398" t="n"/>
      <c r="W129" s="398" t="n"/>
      <c r="X129" s="398" t="n"/>
      <c r="Y129" s="398" t="n"/>
      <c r="Z129" s="398" t="n"/>
    </row>
    <row r="130">
      <c r="A130" s="398" t="n"/>
      <c r="B130" s="398" t="n"/>
      <c r="C130" s="398" t="n"/>
      <c r="D130" s="398" t="n"/>
      <c r="E130" s="398" t="n"/>
      <c r="F130" s="398" t="n"/>
      <c r="G130" s="398" t="n"/>
      <c r="H130" s="398" t="n"/>
      <c r="I130" s="398" t="n"/>
      <c r="J130" s="398" t="n"/>
      <c r="K130" s="398" t="n"/>
      <c r="L130" s="398" t="n"/>
      <c r="M130" s="398" t="n"/>
      <c r="N130" s="398" t="n"/>
      <c r="O130" s="398" t="n"/>
      <c r="P130" s="398" t="n"/>
      <c r="Q130" s="398" t="n"/>
      <c r="R130" s="398" t="n"/>
      <c r="S130" s="398" t="n"/>
      <c r="T130" s="398" t="n"/>
      <c r="U130" s="398" t="n"/>
      <c r="V130" s="398" t="n"/>
      <c r="W130" s="398" t="n"/>
      <c r="X130" s="398" t="n"/>
      <c r="Y130" s="398" t="n"/>
      <c r="Z130" s="398" t="n"/>
    </row>
    <row r="131">
      <c r="A131" s="398" t="n"/>
      <c r="B131" s="398" t="n"/>
      <c r="C131" s="398" t="n"/>
      <c r="D131" s="398" t="n"/>
      <c r="E131" s="398" t="n"/>
      <c r="F131" s="398" t="n"/>
      <c r="G131" s="398" t="n"/>
      <c r="H131" s="398" t="n"/>
      <c r="I131" s="398" t="n"/>
      <c r="J131" s="398" t="n"/>
      <c r="K131" s="398" t="n"/>
      <c r="L131" s="398" t="n"/>
      <c r="M131" s="398" t="n"/>
      <c r="N131" s="398" t="n"/>
      <c r="O131" s="398" t="n"/>
      <c r="P131" s="398" t="n"/>
      <c r="Q131" s="398" t="n"/>
      <c r="R131" s="398" t="n"/>
      <c r="S131" s="398" t="n"/>
      <c r="T131" s="398" t="n"/>
      <c r="U131" s="398" t="n"/>
      <c r="V131" s="398" t="n"/>
      <c r="W131" s="398" t="n"/>
      <c r="X131" s="398" t="n"/>
      <c r="Y131" s="398" t="n"/>
      <c r="Z131" s="398" t="n"/>
    </row>
    <row r="132">
      <c r="A132" s="398" t="n"/>
      <c r="B132" s="398" t="n"/>
      <c r="C132" s="398" t="n"/>
      <c r="D132" s="398" t="n"/>
      <c r="E132" s="398" t="n"/>
      <c r="F132" s="398" t="n"/>
      <c r="G132" s="398" t="n"/>
      <c r="H132" s="398" t="n"/>
      <c r="I132" s="398" t="n"/>
      <c r="J132" s="398" t="n"/>
      <c r="K132" s="398" t="n"/>
      <c r="L132" s="398" t="n"/>
      <c r="M132" s="398" t="n"/>
      <c r="N132" s="398" t="n"/>
      <c r="O132" s="398" t="n"/>
      <c r="P132" s="398" t="n"/>
      <c r="Q132" s="398" t="n"/>
      <c r="R132" s="398" t="n"/>
      <c r="S132" s="398" t="n"/>
      <c r="T132" s="398" t="n"/>
      <c r="U132" s="398" t="n"/>
      <c r="V132" s="398" t="n"/>
      <c r="W132" s="398" t="n"/>
      <c r="X132" s="398" t="n"/>
      <c r="Y132" s="398" t="n"/>
      <c r="Z132" s="398" t="n"/>
    </row>
    <row r="133">
      <c r="A133" s="398" t="n"/>
      <c r="B133" s="398" t="n"/>
      <c r="C133" s="398" t="n"/>
      <c r="D133" s="398" t="n"/>
      <c r="E133" s="398" t="n"/>
      <c r="F133" s="398" t="n"/>
      <c r="G133" s="398" t="n"/>
      <c r="H133" s="398" t="n"/>
      <c r="I133" s="398" t="n"/>
      <c r="J133" s="398" t="n"/>
      <c r="K133" s="398" t="n"/>
      <c r="L133" s="398" t="n"/>
      <c r="M133" s="398" t="n"/>
      <c r="N133" s="398" t="n"/>
      <c r="O133" s="398" t="n"/>
      <c r="P133" s="398" t="n"/>
      <c r="Q133" s="398" t="n"/>
      <c r="R133" s="398" t="n"/>
      <c r="S133" s="398" t="n"/>
      <c r="T133" s="398" t="n"/>
      <c r="U133" s="398" t="n"/>
      <c r="V133" s="398" t="n"/>
      <c r="W133" s="398" t="n"/>
      <c r="X133" s="398" t="n"/>
      <c r="Y133" s="398" t="n"/>
      <c r="Z133" s="398" t="n"/>
    </row>
    <row r="134">
      <c r="A134" s="398" t="n"/>
      <c r="B134" s="398" t="n"/>
      <c r="C134" s="398" t="n"/>
      <c r="D134" s="398" t="n"/>
      <c r="E134" s="398" t="n"/>
      <c r="F134" s="398" t="n"/>
      <c r="G134" s="398" t="n"/>
      <c r="H134" s="398" t="n"/>
      <c r="I134" s="398" t="n"/>
      <c r="J134" s="398" t="n"/>
      <c r="K134" s="398" t="n"/>
      <c r="L134" s="398" t="n"/>
      <c r="M134" s="398" t="n"/>
      <c r="N134" s="398" t="n"/>
      <c r="O134" s="398" t="n"/>
      <c r="P134" s="398" t="n"/>
      <c r="Q134" s="398" t="n"/>
      <c r="R134" s="398" t="n"/>
      <c r="S134" s="398" t="n"/>
      <c r="T134" s="398" t="n"/>
      <c r="U134" s="398" t="n"/>
      <c r="V134" s="398" t="n"/>
      <c r="W134" s="398" t="n"/>
      <c r="X134" s="398" t="n"/>
      <c r="Y134" s="398" t="n"/>
      <c r="Z134" s="398" t="n"/>
    </row>
    <row r="135">
      <c r="A135" s="398" t="n"/>
      <c r="B135" s="398" t="n"/>
      <c r="C135" s="398" t="n"/>
      <c r="D135" s="398" t="n"/>
      <c r="E135" s="398" t="n"/>
      <c r="F135" s="398" t="n"/>
      <c r="G135" s="398" t="n"/>
      <c r="H135" s="398" t="n"/>
      <c r="I135" s="398" t="n"/>
      <c r="J135" s="398" t="n"/>
      <c r="K135" s="398" t="n"/>
      <c r="L135" s="398" t="n"/>
      <c r="M135" s="398" t="n"/>
      <c r="N135" s="398" t="n"/>
      <c r="O135" s="398" t="n"/>
      <c r="P135" s="398" t="n"/>
      <c r="Q135" s="398" t="n"/>
      <c r="R135" s="398" t="n"/>
      <c r="S135" s="398" t="n"/>
      <c r="T135" s="398" t="n"/>
      <c r="U135" s="398" t="n"/>
      <c r="V135" s="398" t="n"/>
      <c r="W135" s="398" t="n"/>
      <c r="X135" s="398" t="n"/>
      <c r="Y135" s="398" t="n"/>
      <c r="Z135" s="398" t="n"/>
    </row>
    <row r="136">
      <c r="A136" s="398" t="n"/>
      <c r="B136" s="398" t="n"/>
      <c r="C136" s="398" t="n"/>
      <c r="D136" s="398" t="n"/>
      <c r="E136" s="398" t="n"/>
      <c r="F136" s="398" t="n"/>
      <c r="G136" s="398" t="n"/>
      <c r="H136" s="398" t="n"/>
      <c r="I136" s="398" t="n"/>
      <c r="J136" s="398" t="n"/>
      <c r="K136" s="398" t="n"/>
      <c r="L136" s="398" t="n"/>
      <c r="M136" s="398" t="n"/>
      <c r="N136" s="398" t="n"/>
      <c r="O136" s="398" t="n"/>
      <c r="P136" s="398" t="n"/>
      <c r="Q136" s="398" t="n"/>
      <c r="R136" s="398" t="n"/>
      <c r="S136" s="398" t="n"/>
      <c r="T136" s="398" t="n"/>
      <c r="U136" s="398" t="n"/>
      <c r="V136" s="398" t="n"/>
      <c r="W136" s="398" t="n"/>
      <c r="X136" s="398" t="n"/>
      <c r="Y136" s="398" t="n"/>
      <c r="Z136" s="398" t="n"/>
    </row>
    <row r="137">
      <c r="A137" s="398" t="n"/>
      <c r="B137" s="398" t="n"/>
      <c r="C137" s="398" t="n"/>
      <c r="D137" s="398" t="n"/>
      <c r="E137" s="398" t="n"/>
      <c r="F137" s="398" t="n"/>
      <c r="G137" s="398" t="n"/>
      <c r="H137" s="398" t="n"/>
      <c r="I137" s="398" t="n"/>
      <c r="J137" s="398" t="n"/>
      <c r="K137" s="398" t="n"/>
      <c r="L137" s="398" t="n"/>
      <c r="M137" s="398" t="n"/>
      <c r="N137" s="398" t="n"/>
      <c r="O137" s="398" t="n"/>
      <c r="P137" s="398" t="n"/>
      <c r="Q137" s="398" t="n"/>
      <c r="R137" s="398" t="n"/>
      <c r="S137" s="398" t="n"/>
      <c r="T137" s="398" t="n"/>
      <c r="U137" s="398" t="n"/>
      <c r="V137" s="398" t="n"/>
      <c r="W137" s="398" t="n"/>
      <c r="X137" s="398" t="n"/>
      <c r="Y137" s="398" t="n"/>
      <c r="Z137" s="398" t="n"/>
    </row>
    <row r="138">
      <c r="A138" s="398" t="n"/>
      <c r="B138" s="398" t="n"/>
      <c r="C138" s="398" t="n"/>
      <c r="D138" s="398" t="n"/>
      <c r="E138" s="398" t="n"/>
      <c r="F138" s="398" t="n"/>
      <c r="G138" s="398" t="n"/>
      <c r="H138" s="398" t="n"/>
      <c r="I138" s="398" t="n"/>
      <c r="J138" s="398" t="n"/>
      <c r="K138" s="398" t="n"/>
      <c r="L138" s="398" t="n"/>
      <c r="M138" s="398" t="n"/>
      <c r="N138" s="398" t="n"/>
      <c r="O138" s="398" t="n"/>
      <c r="P138" s="398" t="n"/>
      <c r="Q138" s="398" t="n"/>
      <c r="R138" s="398" t="n"/>
      <c r="S138" s="398" t="n"/>
      <c r="T138" s="398" t="n"/>
      <c r="U138" s="398" t="n"/>
      <c r="V138" s="398" t="n"/>
      <c r="W138" s="398" t="n"/>
      <c r="X138" s="398" t="n"/>
      <c r="Y138" s="398" t="n"/>
      <c r="Z138" s="398" t="n"/>
    </row>
    <row r="139">
      <c r="A139" s="398" t="n"/>
      <c r="B139" s="398" t="n"/>
      <c r="C139" s="398" t="n"/>
      <c r="D139" s="398" t="n"/>
      <c r="E139" s="398" t="n"/>
      <c r="F139" s="398" t="n"/>
      <c r="G139" s="398" t="n"/>
      <c r="H139" s="398" t="n"/>
      <c r="I139" s="398" t="n"/>
      <c r="J139" s="398" t="n"/>
      <c r="K139" s="398" t="n"/>
      <c r="L139" s="398" t="n"/>
      <c r="M139" s="398" t="n"/>
      <c r="N139" s="398" t="n"/>
      <c r="O139" s="398" t="n"/>
      <c r="P139" s="398" t="n"/>
      <c r="Q139" s="398" t="n"/>
      <c r="R139" s="398" t="n"/>
      <c r="S139" s="398" t="n"/>
      <c r="T139" s="398" t="n"/>
      <c r="U139" s="398" t="n"/>
      <c r="V139" s="398" t="n"/>
      <c r="W139" s="398" t="n"/>
      <c r="X139" s="398" t="n"/>
      <c r="Y139" s="398" t="n"/>
      <c r="Z139" s="398" t="n"/>
    </row>
    <row r="140">
      <c r="A140" s="398" t="n"/>
      <c r="B140" s="398" t="n"/>
      <c r="C140" s="398" t="n"/>
      <c r="D140" s="398" t="n"/>
      <c r="E140" s="398" t="n"/>
      <c r="F140" s="398" t="n"/>
      <c r="G140" s="398" t="n"/>
      <c r="H140" s="398" t="n"/>
      <c r="I140" s="398" t="n"/>
      <c r="J140" s="398" t="n"/>
      <c r="K140" s="398" t="n"/>
      <c r="L140" s="398" t="n"/>
      <c r="M140" s="398" t="n"/>
      <c r="N140" s="398" t="n"/>
      <c r="O140" s="398" t="n"/>
      <c r="P140" s="398" t="n"/>
      <c r="Q140" s="398" t="n"/>
      <c r="R140" s="398" t="n"/>
      <c r="S140" s="398" t="n"/>
      <c r="T140" s="398" t="n"/>
      <c r="U140" s="398" t="n"/>
      <c r="V140" s="398" t="n"/>
      <c r="W140" s="398" t="n"/>
      <c r="X140" s="398" t="n"/>
      <c r="Y140" s="398" t="n"/>
      <c r="Z140" s="398" t="n"/>
    </row>
    <row r="141">
      <c r="A141" s="398" t="n"/>
      <c r="B141" s="398" t="n"/>
      <c r="C141" s="398" t="n"/>
      <c r="D141" s="398" t="n"/>
      <c r="E141" s="398" t="n"/>
      <c r="F141" s="398" t="n"/>
      <c r="G141" s="398" t="n"/>
      <c r="H141" s="398" t="n"/>
      <c r="I141" s="398" t="n"/>
      <c r="J141" s="398" t="n"/>
      <c r="K141" s="398" t="n"/>
      <c r="L141" s="398" t="n"/>
      <c r="M141" s="398" t="n"/>
      <c r="N141" s="398" t="n"/>
      <c r="O141" s="398" t="n"/>
      <c r="P141" s="398" t="n"/>
      <c r="Q141" s="398" t="n"/>
      <c r="R141" s="398" t="n"/>
      <c r="S141" s="398" t="n"/>
      <c r="T141" s="398" t="n"/>
      <c r="U141" s="398" t="n"/>
      <c r="V141" s="398" t="n"/>
      <c r="W141" s="398" t="n"/>
      <c r="X141" s="398" t="n"/>
      <c r="Y141" s="398" t="n"/>
      <c r="Z141" s="398" t="n"/>
    </row>
    <row r="142">
      <c r="A142" s="398" t="n"/>
      <c r="B142" s="398" t="n"/>
      <c r="C142" s="398" t="n"/>
      <c r="D142" s="398" t="n"/>
      <c r="E142" s="398" t="n"/>
      <c r="F142" s="398" t="n"/>
      <c r="G142" s="398" t="n"/>
      <c r="H142" s="398" t="n"/>
      <c r="I142" s="398" t="n"/>
      <c r="J142" s="398" t="n"/>
      <c r="K142" s="398" t="n"/>
      <c r="L142" s="398" t="n"/>
      <c r="M142" s="398" t="n"/>
      <c r="N142" s="398" t="n"/>
      <c r="O142" s="398" t="n"/>
      <c r="P142" s="398" t="n"/>
      <c r="Q142" s="398" t="n"/>
      <c r="R142" s="398" t="n"/>
      <c r="S142" s="398" t="n"/>
      <c r="T142" s="398" t="n"/>
      <c r="U142" s="398" t="n"/>
      <c r="V142" s="398" t="n"/>
      <c r="W142" s="398" t="n"/>
      <c r="X142" s="398" t="n"/>
      <c r="Y142" s="398" t="n"/>
      <c r="Z142" s="398" t="n"/>
    </row>
    <row r="143">
      <c r="A143" s="398" t="n"/>
      <c r="B143" s="398" t="n"/>
      <c r="C143" s="398" t="n"/>
      <c r="D143" s="398" t="n"/>
      <c r="E143" s="398" t="n"/>
      <c r="F143" s="398" t="n"/>
      <c r="G143" s="398" t="n"/>
      <c r="H143" s="398" t="n"/>
      <c r="I143" s="398" t="n"/>
      <c r="J143" s="398" t="n"/>
      <c r="K143" s="398" t="n"/>
      <c r="L143" s="398" t="n"/>
      <c r="M143" s="398" t="n"/>
      <c r="N143" s="398" t="n"/>
      <c r="O143" s="398" t="n"/>
      <c r="P143" s="398" t="n"/>
      <c r="Q143" s="398" t="n"/>
      <c r="R143" s="398" t="n"/>
      <c r="S143" s="398" t="n"/>
      <c r="T143" s="398" t="n"/>
      <c r="U143" s="398" t="n"/>
      <c r="V143" s="398" t="n"/>
      <c r="W143" s="398" t="n"/>
      <c r="X143" s="398" t="n"/>
      <c r="Y143" s="398" t="n"/>
      <c r="Z143" s="398" t="n"/>
    </row>
    <row r="144">
      <c r="A144" s="398" t="n"/>
      <c r="B144" s="398" t="n"/>
      <c r="C144" s="398" t="n"/>
      <c r="D144" s="398" t="n"/>
      <c r="E144" s="398" t="n"/>
      <c r="F144" s="398" t="n"/>
      <c r="G144" s="398" t="n"/>
      <c r="H144" s="398" t="n"/>
      <c r="I144" s="398" t="n"/>
      <c r="J144" s="398" t="n"/>
      <c r="K144" s="398" t="n"/>
      <c r="L144" s="398" t="n"/>
      <c r="M144" s="398" t="n"/>
      <c r="N144" s="398" t="n"/>
      <c r="O144" s="398" t="n"/>
      <c r="P144" s="398" t="n"/>
      <c r="Q144" s="398" t="n"/>
      <c r="R144" s="398" t="n"/>
      <c r="S144" s="398" t="n"/>
      <c r="T144" s="398" t="n"/>
      <c r="U144" s="398" t="n"/>
      <c r="V144" s="398" t="n"/>
      <c r="W144" s="398" t="n"/>
      <c r="X144" s="398" t="n"/>
      <c r="Y144" s="398" t="n"/>
      <c r="Z144" s="398" t="n"/>
    </row>
    <row r="145">
      <c r="A145" s="398" t="n"/>
      <c r="B145" s="398" t="n"/>
      <c r="C145" s="398" t="n"/>
      <c r="D145" s="398" t="n"/>
      <c r="E145" s="398" t="n"/>
      <c r="F145" s="398" t="n"/>
      <c r="G145" s="398" t="n"/>
      <c r="H145" s="398" t="n"/>
      <c r="I145" s="398" t="n"/>
      <c r="J145" s="398" t="n"/>
      <c r="K145" s="398" t="n"/>
      <c r="L145" s="398" t="n"/>
      <c r="M145" s="398" t="n"/>
      <c r="N145" s="398" t="n"/>
      <c r="O145" s="398" t="n"/>
      <c r="P145" s="398" t="n"/>
      <c r="Q145" s="398" t="n"/>
      <c r="R145" s="398" t="n"/>
      <c r="S145" s="398" t="n"/>
      <c r="T145" s="398" t="n"/>
      <c r="U145" s="398" t="n"/>
      <c r="V145" s="398" t="n"/>
      <c r="W145" s="398" t="n"/>
      <c r="X145" s="398" t="n"/>
      <c r="Y145" s="398" t="n"/>
      <c r="Z145" s="398" t="n"/>
    </row>
    <row r="146">
      <c r="A146" s="398" t="n"/>
      <c r="B146" s="398" t="n"/>
      <c r="C146" s="398" t="n"/>
      <c r="D146" s="398" t="n"/>
      <c r="E146" s="398" t="n"/>
      <c r="F146" s="398" t="n"/>
      <c r="G146" s="398" t="n"/>
      <c r="H146" s="398" t="n"/>
      <c r="I146" s="398" t="n"/>
      <c r="J146" s="398" t="n"/>
      <c r="K146" s="398" t="n"/>
      <c r="L146" s="398" t="n"/>
      <c r="M146" s="398" t="n"/>
      <c r="N146" s="398" t="n"/>
      <c r="O146" s="398" t="n"/>
      <c r="P146" s="398" t="n"/>
      <c r="Q146" s="398" t="n"/>
      <c r="R146" s="398" t="n"/>
      <c r="S146" s="398" t="n"/>
      <c r="T146" s="398" t="n"/>
      <c r="U146" s="398" t="n"/>
      <c r="V146" s="398" t="n"/>
      <c r="W146" s="398" t="n"/>
      <c r="X146" s="398" t="n"/>
      <c r="Y146" s="398" t="n"/>
      <c r="Z146" s="398" t="n"/>
    </row>
    <row r="147">
      <c r="A147" s="398" t="n"/>
      <c r="B147" s="398" t="n"/>
      <c r="C147" s="398" t="n"/>
      <c r="D147" s="398" t="n"/>
      <c r="E147" s="398" t="n"/>
      <c r="F147" s="398" t="n"/>
      <c r="G147" s="398" t="n"/>
      <c r="H147" s="398" t="n"/>
      <c r="I147" s="398" t="n"/>
      <c r="J147" s="398" t="n"/>
      <c r="K147" s="398" t="n"/>
      <c r="L147" s="398" t="n"/>
      <c r="M147" s="398" t="n"/>
      <c r="N147" s="398" t="n"/>
      <c r="O147" s="398" t="n"/>
      <c r="P147" s="398" t="n"/>
      <c r="Q147" s="398" t="n"/>
      <c r="R147" s="398" t="n"/>
      <c r="S147" s="398" t="n"/>
      <c r="T147" s="398" t="n"/>
      <c r="U147" s="398" t="n"/>
      <c r="V147" s="398" t="n"/>
      <c r="W147" s="398" t="n"/>
      <c r="X147" s="398" t="n"/>
      <c r="Y147" s="398" t="n"/>
      <c r="Z147" s="398" t="n"/>
    </row>
    <row r="148">
      <c r="A148" s="398" t="n"/>
      <c r="B148" s="398" t="n"/>
      <c r="C148" s="398" t="n"/>
      <c r="D148" s="398" t="n"/>
      <c r="E148" s="398" t="n"/>
      <c r="F148" s="398" t="n"/>
      <c r="G148" s="398" t="n"/>
      <c r="H148" s="398" t="n"/>
      <c r="I148" s="398" t="n"/>
      <c r="J148" s="398" t="n"/>
      <c r="K148" s="398" t="n"/>
      <c r="L148" s="398" t="n"/>
      <c r="M148" s="398" t="n"/>
      <c r="N148" s="398" t="n"/>
      <c r="O148" s="398" t="n"/>
      <c r="P148" s="398" t="n"/>
      <c r="Q148" s="398" t="n"/>
      <c r="R148" s="398" t="n"/>
      <c r="S148" s="398" t="n"/>
      <c r="T148" s="398" t="n"/>
      <c r="U148" s="398" t="n"/>
      <c r="V148" s="398" t="n"/>
      <c r="W148" s="398" t="n"/>
      <c r="X148" s="398" t="n"/>
      <c r="Y148" s="398" t="n"/>
      <c r="Z148" s="398" t="n"/>
    </row>
    <row r="149">
      <c r="A149" s="398" t="n"/>
      <c r="B149" s="398" t="n"/>
      <c r="C149" s="398" t="n"/>
      <c r="D149" s="398" t="n"/>
      <c r="E149" s="398" t="n"/>
      <c r="F149" s="398" t="n"/>
      <c r="G149" s="398" t="n"/>
      <c r="H149" s="398" t="n"/>
      <c r="I149" s="398" t="n"/>
      <c r="J149" s="398" t="n"/>
      <c r="K149" s="398" t="n"/>
      <c r="L149" s="398" t="n"/>
      <c r="M149" s="398" t="n"/>
      <c r="N149" s="398" t="n"/>
      <c r="O149" s="398" t="n"/>
      <c r="P149" s="398" t="n"/>
      <c r="Q149" s="398" t="n"/>
      <c r="R149" s="398" t="n"/>
      <c r="S149" s="398" t="n"/>
      <c r="T149" s="398" t="n"/>
      <c r="U149" s="398" t="n"/>
      <c r="V149" s="398" t="n"/>
      <c r="W149" s="398" t="n"/>
      <c r="X149" s="398" t="n"/>
      <c r="Y149" s="398" t="n"/>
      <c r="Z149" s="398" t="n"/>
    </row>
    <row r="150">
      <c r="A150" s="398" t="n"/>
      <c r="B150" s="398" t="n"/>
      <c r="C150" s="398" t="n"/>
      <c r="D150" s="398" t="n"/>
      <c r="E150" s="398" t="n"/>
      <c r="F150" s="398" t="n"/>
      <c r="G150" s="398" t="n"/>
      <c r="H150" s="398" t="n"/>
      <c r="I150" s="398" t="n"/>
      <c r="J150" s="398" t="n"/>
      <c r="K150" s="398" t="n"/>
      <c r="L150" s="398" t="n"/>
      <c r="M150" s="398" t="n"/>
      <c r="N150" s="398" t="n"/>
      <c r="O150" s="398" t="n"/>
      <c r="P150" s="398" t="n"/>
      <c r="Q150" s="398" t="n"/>
      <c r="R150" s="398" t="n"/>
      <c r="S150" s="398" t="n"/>
      <c r="T150" s="398" t="n"/>
      <c r="U150" s="398" t="n"/>
      <c r="V150" s="398" t="n"/>
      <c r="W150" s="398" t="n"/>
      <c r="X150" s="398" t="n"/>
      <c r="Y150" s="398" t="n"/>
      <c r="Z150" s="398" t="n"/>
    </row>
    <row r="151">
      <c r="A151" s="398" t="n"/>
      <c r="B151" s="398" t="n"/>
      <c r="C151" s="398" t="n"/>
      <c r="D151" s="398" t="n"/>
      <c r="E151" s="398" t="n"/>
      <c r="F151" s="398" t="n"/>
      <c r="G151" s="398" t="n"/>
      <c r="H151" s="398" t="n"/>
      <c r="I151" s="398" t="n"/>
      <c r="J151" s="398" t="n"/>
      <c r="K151" s="398" t="n"/>
      <c r="L151" s="398" t="n"/>
      <c r="M151" s="398" t="n"/>
      <c r="N151" s="398" t="n"/>
      <c r="O151" s="398" t="n"/>
      <c r="P151" s="398" t="n"/>
      <c r="Q151" s="398" t="n"/>
      <c r="R151" s="398" t="n"/>
      <c r="S151" s="398" t="n"/>
      <c r="T151" s="398" t="n"/>
      <c r="U151" s="398" t="n"/>
      <c r="V151" s="398" t="n"/>
      <c r="W151" s="398" t="n"/>
      <c r="X151" s="398" t="n"/>
      <c r="Y151" s="398" t="n"/>
      <c r="Z151" s="398" t="n"/>
    </row>
    <row r="152">
      <c r="A152" s="398" t="n"/>
      <c r="B152" s="398" t="n"/>
      <c r="C152" s="398" t="n"/>
      <c r="D152" s="398" t="n"/>
      <c r="E152" s="398" t="n"/>
      <c r="F152" s="398" t="n"/>
      <c r="G152" s="398" t="n"/>
      <c r="H152" s="398" t="n"/>
      <c r="I152" s="398" t="n"/>
      <c r="J152" s="398" t="n"/>
      <c r="K152" s="398" t="n"/>
      <c r="L152" s="398" t="n"/>
      <c r="M152" s="398" t="n"/>
      <c r="N152" s="398" t="n"/>
      <c r="O152" s="398" t="n"/>
      <c r="P152" s="398" t="n"/>
      <c r="Q152" s="398" t="n"/>
      <c r="R152" s="398" t="n"/>
      <c r="S152" s="398" t="n"/>
      <c r="T152" s="398" t="n"/>
      <c r="U152" s="398" t="n"/>
      <c r="V152" s="398" t="n"/>
      <c r="W152" s="398" t="n"/>
      <c r="X152" s="398" t="n"/>
      <c r="Y152" s="398" t="n"/>
      <c r="Z152" s="398" t="n"/>
    </row>
    <row r="153">
      <c r="A153" s="398" t="n"/>
      <c r="B153" s="398" t="n"/>
      <c r="C153" s="398" t="n"/>
      <c r="D153" s="398" t="n"/>
      <c r="E153" s="398" t="n"/>
      <c r="F153" s="398" t="n"/>
      <c r="G153" s="398" t="n"/>
      <c r="H153" s="398" t="n"/>
      <c r="I153" s="398" t="n"/>
      <c r="J153" s="398" t="n"/>
      <c r="K153" s="398" t="n"/>
      <c r="L153" s="398" t="n"/>
      <c r="M153" s="398" t="n"/>
      <c r="N153" s="398" t="n"/>
      <c r="O153" s="398" t="n"/>
      <c r="P153" s="398" t="n"/>
      <c r="Q153" s="398" t="n"/>
      <c r="R153" s="398" t="n"/>
      <c r="S153" s="398" t="n"/>
      <c r="T153" s="398" t="n"/>
      <c r="U153" s="398" t="n"/>
      <c r="V153" s="398" t="n"/>
      <c r="W153" s="398" t="n"/>
      <c r="X153" s="398" t="n"/>
      <c r="Y153" s="398" t="n"/>
      <c r="Z153" s="398" t="n"/>
    </row>
    <row r="154">
      <c r="A154" s="398" t="n"/>
      <c r="B154" s="398" t="n"/>
      <c r="C154" s="398" t="n"/>
      <c r="D154" s="398" t="n"/>
      <c r="E154" s="398" t="n"/>
      <c r="F154" s="398" t="n"/>
      <c r="G154" s="398" t="n"/>
      <c r="H154" s="398" t="n"/>
      <c r="I154" s="398" t="n"/>
      <c r="J154" s="398" t="n"/>
      <c r="K154" s="398" t="n"/>
      <c r="L154" s="398" t="n"/>
      <c r="M154" s="398" t="n"/>
      <c r="N154" s="398" t="n"/>
      <c r="O154" s="398" t="n"/>
      <c r="P154" s="398" t="n"/>
      <c r="Q154" s="398" t="n"/>
      <c r="R154" s="398" t="n"/>
      <c r="S154" s="398" t="n"/>
      <c r="T154" s="398" t="n"/>
      <c r="U154" s="398" t="n"/>
      <c r="V154" s="398" t="n"/>
      <c r="W154" s="398" t="n"/>
      <c r="X154" s="398" t="n"/>
      <c r="Y154" s="398" t="n"/>
      <c r="Z154" s="398" t="n"/>
    </row>
    <row r="155">
      <c r="A155" s="398" t="n"/>
      <c r="B155" s="398" t="n"/>
      <c r="C155" s="398" t="n"/>
      <c r="D155" s="398" t="n"/>
      <c r="E155" s="398" t="n"/>
      <c r="F155" s="398" t="n"/>
      <c r="G155" s="398" t="n"/>
      <c r="H155" s="398" t="n"/>
      <c r="I155" s="398" t="n"/>
      <c r="J155" s="398" t="n"/>
      <c r="K155" s="398" t="n"/>
      <c r="L155" s="398" t="n"/>
      <c r="M155" s="398" t="n"/>
      <c r="N155" s="398" t="n"/>
      <c r="O155" s="398" t="n"/>
      <c r="P155" s="398" t="n"/>
      <c r="Q155" s="398" t="n"/>
      <c r="R155" s="398" t="n"/>
      <c r="S155" s="398" t="n"/>
      <c r="T155" s="398" t="n"/>
      <c r="U155" s="398" t="n"/>
      <c r="V155" s="398" t="n"/>
      <c r="W155" s="398" t="n"/>
      <c r="X155" s="398" t="n"/>
      <c r="Y155" s="398" t="n"/>
      <c r="Z155" s="398" t="n"/>
    </row>
    <row r="156">
      <c r="A156" s="398" t="n"/>
      <c r="B156" s="398" t="n"/>
      <c r="C156" s="398" t="n"/>
      <c r="D156" s="398" t="n"/>
      <c r="E156" s="398" t="n"/>
      <c r="F156" s="398" t="n"/>
      <c r="G156" s="398" t="n"/>
      <c r="H156" s="398" t="n"/>
      <c r="I156" s="398" t="n"/>
      <c r="J156" s="398" t="n"/>
      <c r="K156" s="398" t="n"/>
      <c r="L156" s="398" t="n"/>
      <c r="M156" s="398" t="n"/>
      <c r="N156" s="398" t="n"/>
      <c r="O156" s="398" t="n"/>
      <c r="P156" s="398" t="n"/>
      <c r="Q156" s="398" t="n"/>
      <c r="R156" s="398" t="n"/>
      <c r="S156" s="398" t="n"/>
      <c r="T156" s="398" t="n"/>
      <c r="U156" s="398" t="n"/>
      <c r="V156" s="398" t="n"/>
      <c r="W156" s="398" t="n"/>
      <c r="X156" s="398" t="n"/>
      <c r="Y156" s="398" t="n"/>
      <c r="Z156" s="398" t="n"/>
    </row>
    <row r="157">
      <c r="A157" s="398" t="n"/>
      <c r="B157" s="398" t="n"/>
      <c r="C157" s="398" t="n"/>
      <c r="D157" s="398" t="n"/>
      <c r="E157" s="398" t="n"/>
      <c r="F157" s="398" t="n"/>
      <c r="G157" s="398" t="n"/>
      <c r="H157" s="398" t="n"/>
      <c r="I157" s="398" t="n"/>
      <c r="J157" s="398" t="n"/>
      <c r="K157" s="398" t="n"/>
      <c r="L157" s="398" t="n"/>
      <c r="M157" s="398" t="n"/>
      <c r="N157" s="398" t="n"/>
      <c r="O157" s="398" t="n"/>
      <c r="P157" s="398" t="n"/>
      <c r="Q157" s="398" t="n"/>
      <c r="R157" s="398" t="n"/>
      <c r="S157" s="398" t="n"/>
      <c r="T157" s="398" t="n"/>
      <c r="U157" s="398" t="n"/>
      <c r="V157" s="398" t="n"/>
      <c r="W157" s="398" t="n"/>
      <c r="X157" s="398" t="n"/>
      <c r="Y157" s="398" t="n"/>
      <c r="Z157" s="398" t="n"/>
    </row>
    <row r="158">
      <c r="A158" s="398" t="n"/>
      <c r="B158" s="398" t="n"/>
      <c r="C158" s="398" t="n"/>
      <c r="D158" s="398" t="n"/>
      <c r="E158" s="398" t="n"/>
      <c r="F158" s="398" t="n"/>
      <c r="G158" s="398" t="n"/>
      <c r="H158" s="398" t="n"/>
      <c r="I158" s="398" t="n"/>
      <c r="J158" s="398" t="n"/>
      <c r="K158" s="398" t="n"/>
      <c r="L158" s="398" t="n"/>
      <c r="M158" s="398" t="n"/>
      <c r="N158" s="398" t="n"/>
      <c r="O158" s="398" t="n"/>
      <c r="P158" s="398" t="n"/>
      <c r="Q158" s="398" t="n"/>
      <c r="R158" s="398" t="n"/>
      <c r="S158" s="398" t="n"/>
      <c r="T158" s="398" t="n"/>
      <c r="U158" s="398" t="n"/>
      <c r="V158" s="398" t="n"/>
      <c r="W158" s="398" t="n"/>
      <c r="X158" s="398" t="n"/>
      <c r="Y158" s="398" t="n"/>
      <c r="Z158" s="398" t="n"/>
    </row>
    <row r="159">
      <c r="A159" s="398" t="n"/>
      <c r="B159" s="398" t="n"/>
      <c r="C159" s="398" t="n"/>
      <c r="D159" s="398" t="n"/>
      <c r="E159" s="398" t="n"/>
      <c r="F159" s="398" t="n"/>
      <c r="G159" s="398" t="n"/>
      <c r="H159" s="398" t="n"/>
      <c r="I159" s="398" t="n"/>
      <c r="J159" s="398" t="n"/>
      <c r="K159" s="398" t="n"/>
      <c r="L159" s="398" t="n"/>
      <c r="M159" s="398" t="n"/>
      <c r="N159" s="398" t="n"/>
      <c r="O159" s="398" t="n"/>
      <c r="P159" s="398" t="n"/>
      <c r="Q159" s="398" t="n"/>
      <c r="R159" s="398" t="n"/>
      <c r="S159" s="398" t="n"/>
      <c r="T159" s="398" t="n"/>
      <c r="U159" s="398" t="n"/>
      <c r="V159" s="398" t="n"/>
      <c r="W159" s="398" t="n"/>
      <c r="X159" s="398" t="n"/>
      <c r="Y159" s="398" t="n"/>
      <c r="Z159" s="398" t="n"/>
    </row>
    <row r="160">
      <c r="A160" s="398" t="n"/>
      <c r="B160" s="398" t="n"/>
      <c r="C160" s="398" t="n"/>
      <c r="D160" s="398" t="n"/>
      <c r="E160" s="398" t="n"/>
      <c r="F160" s="398" t="n"/>
      <c r="G160" s="398" t="n"/>
      <c r="H160" s="398" t="n"/>
      <c r="I160" s="398" t="n"/>
      <c r="J160" s="398" t="n"/>
      <c r="K160" s="398" t="n"/>
      <c r="L160" s="398" t="n"/>
      <c r="M160" s="398" t="n"/>
      <c r="N160" s="398" t="n"/>
      <c r="O160" s="398" t="n"/>
      <c r="P160" s="398" t="n"/>
      <c r="Q160" s="398" t="n"/>
      <c r="R160" s="398" t="n"/>
      <c r="S160" s="398" t="n"/>
      <c r="T160" s="398" t="n"/>
      <c r="U160" s="398" t="n"/>
      <c r="V160" s="398" t="n"/>
      <c r="W160" s="398" t="n"/>
      <c r="X160" s="398" t="n"/>
      <c r="Y160" s="398" t="n"/>
      <c r="Z160" s="398" t="n"/>
    </row>
    <row r="161">
      <c r="A161" s="398" t="n"/>
      <c r="B161" s="398" t="n"/>
      <c r="C161" s="398" t="n"/>
      <c r="D161" s="398" t="n"/>
      <c r="E161" s="398" t="n"/>
      <c r="F161" s="398" t="n"/>
      <c r="G161" s="398" t="n"/>
      <c r="H161" s="398" t="n"/>
      <c r="I161" s="398" t="n"/>
      <c r="J161" s="398" t="n"/>
      <c r="K161" s="398" t="n"/>
      <c r="L161" s="398" t="n"/>
      <c r="M161" s="398" t="n"/>
      <c r="N161" s="398" t="n"/>
      <c r="O161" s="398" t="n"/>
      <c r="P161" s="398" t="n"/>
      <c r="Q161" s="398" t="n"/>
      <c r="R161" s="398" t="n"/>
      <c r="S161" s="398" t="n"/>
      <c r="T161" s="398" t="n"/>
      <c r="U161" s="398" t="n"/>
      <c r="V161" s="398" t="n"/>
      <c r="W161" s="398" t="n"/>
      <c r="X161" s="398" t="n"/>
      <c r="Y161" s="398" t="n"/>
      <c r="Z161" s="398" t="n"/>
    </row>
    <row r="162">
      <c r="A162" s="398" t="n"/>
      <c r="B162" s="398" t="n"/>
      <c r="C162" s="398" t="n"/>
      <c r="D162" s="398" t="n"/>
      <c r="E162" s="398" t="n"/>
      <c r="F162" s="398" t="n"/>
      <c r="G162" s="398" t="n"/>
      <c r="H162" s="398" t="n"/>
      <c r="I162" s="398" t="n"/>
      <c r="J162" s="398" t="n"/>
      <c r="K162" s="398" t="n"/>
      <c r="L162" s="398" t="n"/>
      <c r="M162" s="398" t="n"/>
      <c r="N162" s="398" t="n"/>
      <c r="O162" s="398" t="n"/>
      <c r="P162" s="398" t="n"/>
      <c r="Q162" s="398" t="n"/>
      <c r="R162" s="398" t="n"/>
      <c r="S162" s="398" t="n"/>
      <c r="T162" s="398" t="n"/>
      <c r="U162" s="398" t="n"/>
      <c r="V162" s="398" t="n"/>
      <c r="W162" s="398" t="n"/>
      <c r="X162" s="398" t="n"/>
      <c r="Y162" s="398" t="n"/>
      <c r="Z162" s="398" t="n"/>
    </row>
    <row r="163">
      <c r="A163" s="398" t="n"/>
      <c r="B163" s="398" t="n"/>
      <c r="C163" s="398" t="n"/>
      <c r="D163" s="398" t="n"/>
      <c r="E163" s="398" t="n"/>
      <c r="F163" s="398" t="n"/>
      <c r="G163" s="398" t="n"/>
      <c r="H163" s="398" t="n"/>
      <c r="I163" s="398" t="n"/>
      <c r="J163" s="398" t="n"/>
      <c r="K163" s="398" t="n"/>
      <c r="L163" s="398" t="n"/>
      <c r="M163" s="398" t="n"/>
      <c r="N163" s="398" t="n"/>
      <c r="O163" s="398" t="n"/>
      <c r="P163" s="398" t="n"/>
      <c r="Q163" s="398" t="n"/>
      <c r="R163" s="398" t="n"/>
      <c r="S163" s="398" t="n"/>
      <c r="T163" s="398" t="n"/>
      <c r="U163" s="398" t="n"/>
      <c r="V163" s="398" t="n"/>
      <c r="W163" s="398" t="n"/>
      <c r="X163" s="398" t="n"/>
      <c r="Y163" s="398" t="n"/>
      <c r="Z163" s="398" t="n"/>
    </row>
    <row r="164">
      <c r="A164" s="398" t="n"/>
      <c r="B164" s="398" t="n"/>
      <c r="C164" s="398" t="n"/>
      <c r="D164" s="398" t="n"/>
      <c r="E164" s="398" t="n"/>
      <c r="F164" s="398" t="n"/>
      <c r="G164" s="398" t="n"/>
      <c r="H164" s="398" t="n"/>
      <c r="I164" s="398" t="n"/>
      <c r="J164" s="398" t="n"/>
      <c r="K164" s="398" t="n"/>
      <c r="L164" s="398" t="n"/>
      <c r="M164" s="398" t="n"/>
      <c r="N164" s="398" t="n"/>
      <c r="O164" s="398" t="n"/>
      <c r="P164" s="398" t="n"/>
      <c r="Q164" s="398" t="n"/>
      <c r="R164" s="398" t="n"/>
      <c r="S164" s="398" t="n"/>
      <c r="T164" s="398" t="n"/>
      <c r="U164" s="398" t="n"/>
      <c r="V164" s="398" t="n"/>
      <c r="W164" s="398" t="n"/>
      <c r="X164" s="398" t="n"/>
      <c r="Y164" s="398" t="n"/>
      <c r="Z164" s="398" t="n"/>
    </row>
    <row r="165">
      <c r="A165" s="398" t="n"/>
      <c r="B165" s="398" t="n"/>
      <c r="C165" s="398" t="n"/>
      <c r="D165" s="398" t="n"/>
      <c r="E165" s="398" t="n"/>
      <c r="F165" s="398" t="n"/>
      <c r="G165" s="398" t="n"/>
      <c r="H165" s="398" t="n"/>
      <c r="I165" s="398" t="n"/>
      <c r="J165" s="398" t="n"/>
      <c r="K165" s="398" t="n"/>
      <c r="L165" s="398" t="n"/>
      <c r="M165" s="398" t="n"/>
      <c r="N165" s="398" t="n"/>
      <c r="O165" s="398" t="n"/>
      <c r="P165" s="398" t="n"/>
      <c r="Q165" s="398" t="n"/>
      <c r="R165" s="398" t="n"/>
      <c r="S165" s="398" t="n"/>
      <c r="T165" s="398" t="n"/>
      <c r="U165" s="398" t="n"/>
      <c r="V165" s="398" t="n"/>
      <c r="W165" s="398" t="n"/>
      <c r="X165" s="398" t="n"/>
      <c r="Y165" s="398" t="n"/>
      <c r="Z165" s="398" t="n"/>
    </row>
    <row r="166">
      <c r="A166" s="398" t="n"/>
      <c r="B166" s="398" t="n"/>
      <c r="C166" s="398" t="n"/>
      <c r="D166" s="398" t="n"/>
      <c r="E166" s="398" t="n"/>
      <c r="F166" s="398" t="n"/>
      <c r="G166" s="398" t="n"/>
      <c r="H166" s="398" t="n"/>
      <c r="I166" s="398" t="n"/>
      <c r="J166" s="398" t="n"/>
      <c r="K166" s="398" t="n"/>
      <c r="L166" s="398" t="n"/>
      <c r="M166" s="398" t="n"/>
      <c r="N166" s="398" t="n"/>
      <c r="O166" s="398" t="n"/>
      <c r="P166" s="398" t="n"/>
      <c r="Q166" s="398" t="n"/>
      <c r="R166" s="398" t="n"/>
      <c r="S166" s="398" t="n"/>
      <c r="T166" s="398" t="n"/>
      <c r="U166" s="398" t="n"/>
      <c r="V166" s="398" t="n"/>
      <c r="W166" s="398" t="n"/>
      <c r="X166" s="398" t="n"/>
      <c r="Y166" s="398" t="n"/>
      <c r="Z166" s="398" t="n"/>
    </row>
    <row r="167">
      <c r="A167" s="398" t="n"/>
      <c r="B167" s="398" t="n"/>
      <c r="C167" s="398" t="n"/>
      <c r="D167" s="398" t="n"/>
      <c r="E167" s="398" t="n"/>
      <c r="F167" s="398" t="n"/>
      <c r="G167" s="398" t="n"/>
      <c r="H167" s="398" t="n"/>
      <c r="I167" s="398" t="n"/>
      <c r="J167" s="398" t="n"/>
      <c r="K167" s="398" t="n"/>
      <c r="L167" s="398" t="n"/>
      <c r="M167" s="398" t="n"/>
      <c r="N167" s="398" t="n"/>
      <c r="O167" s="398" t="n"/>
      <c r="P167" s="398" t="n"/>
      <c r="Q167" s="398" t="n"/>
      <c r="R167" s="398" t="n"/>
      <c r="S167" s="398" t="n"/>
      <c r="T167" s="398" t="n"/>
      <c r="U167" s="398" t="n"/>
      <c r="V167" s="398" t="n"/>
      <c r="W167" s="398" t="n"/>
      <c r="X167" s="398" t="n"/>
      <c r="Y167" s="398" t="n"/>
      <c r="Z167" s="398" t="n"/>
    </row>
    <row r="168">
      <c r="A168" s="398" t="n"/>
      <c r="B168" s="398" t="n"/>
      <c r="C168" s="398" t="n"/>
      <c r="D168" s="398" t="n"/>
      <c r="E168" s="398" t="n"/>
      <c r="F168" s="398" t="n"/>
      <c r="G168" s="398" t="n"/>
      <c r="H168" s="398" t="n"/>
      <c r="I168" s="398" t="n"/>
      <c r="J168" s="398" t="n"/>
      <c r="K168" s="398" t="n"/>
      <c r="L168" s="398" t="n"/>
      <c r="M168" s="398" t="n"/>
      <c r="N168" s="398" t="n"/>
      <c r="O168" s="398" t="n"/>
      <c r="P168" s="398" t="n"/>
      <c r="Q168" s="398" t="n"/>
      <c r="R168" s="398" t="n"/>
      <c r="S168" s="398" t="n"/>
      <c r="T168" s="398" t="n"/>
      <c r="U168" s="398" t="n"/>
      <c r="V168" s="398" t="n"/>
      <c r="W168" s="398" t="n"/>
      <c r="X168" s="398" t="n"/>
      <c r="Y168" s="398" t="n"/>
      <c r="Z168" s="398" t="n"/>
    </row>
    <row r="169">
      <c r="A169" s="398" t="n"/>
      <c r="B169" s="398" t="n"/>
      <c r="C169" s="398" t="n"/>
      <c r="D169" s="398" t="n"/>
      <c r="E169" s="398" t="n"/>
      <c r="F169" s="398" t="n"/>
      <c r="G169" s="398" t="n"/>
      <c r="H169" s="398" t="n"/>
      <c r="I169" s="398" t="n"/>
      <c r="J169" s="398" t="n"/>
      <c r="K169" s="398" t="n"/>
      <c r="L169" s="398" t="n"/>
      <c r="M169" s="398" t="n"/>
      <c r="N169" s="398" t="n"/>
      <c r="O169" s="398" t="n"/>
      <c r="P169" s="398" t="n"/>
      <c r="Q169" s="398" t="n"/>
      <c r="R169" s="398" t="n"/>
      <c r="S169" s="398" t="n"/>
      <c r="T169" s="398" t="n"/>
      <c r="U169" s="398" t="n"/>
      <c r="V169" s="398" t="n"/>
      <c r="W169" s="398" t="n"/>
      <c r="X169" s="398" t="n"/>
      <c r="Y169" s="398" t="n"/>
      <c r="Z169" s="398" t="n"/>
    </row>
    <row r="170">
      <c r="A170" s="398" t="n"/>
      <c r="B170" s="398" t="n"/>
      <c r="C170" s="398" t="n"/>
      <c r="D170" s="398" t="n"/>
      <c r="E170" s="398" t="n"/>
      <c r="F170" s="398" t="n"/>
      <c r="G170" s="398" t="n"/>
      <c r="H170" s="398" t="n"/>
      <c r="I170" s="398" t="n"/>
      <c r="J170" s="398" t="n"/>
      <c r="K170" s="398" t="n"/>
      <c r="L170" s="398" t="n"/>
      <c r="M170" s="398" t="n"/>
      <c r="N170" s="398" t="n"/>
      <c r="O170" s="398" t="n"/>
      <c r="P170" s="398" t="n"/>
      <c r="Q170" s="398" t="n"/>
      <c r="R170" s="398" t="n"/>
      <c r="S170" s="398" t="n"/>
      <c r="T170" s="398" t="n"/>
      <c r="U170" s="398" t="n"/>
      <c r="V170" s="398" t="n"/>
      <c r="W170" s="398" t="n"/>
      <c r="X170" s="398" t="n"/>
      <c r="Y170" s="398" t="n"/>
      <c r="Z170" s="398" t="n"/>
    </row>
    <row r="171">
      <c r="A171" s="398" t="n"/>
      <c r="B171" s="398" t="n"/>
      <c r="C171" s="398" t="n"/>
      <c r="D171" s="398" t="n"/>
      <c r="E171" s="398" t="n"/>
      <c r="F171" s="398" t="n"/>
      <c r="G171" s="398" t="n"/>
      <c r="H171" s="398" t="n"/>
      <c r="I171" s="398" t="n"/>
      <c r="J171" s="398" t="n"/>
      <c r="K171" s="398" t="n"/>
      <c r="L171" s="398" t="n"/>
      <c r="M171" s="398" t="n"/>
      <c r="N171" s="398" t="n"/>
      <c r="O171" s="398" t="n"/>
      <c r="P171" s="398" t="n"/>
      <c r="Q171" s="398" t="n"/>
      <c r="R171" s="398" t="n"/>
      <c r="S171" s="398" t="n"/>
      <c r="T171" s="398" t="n"/>
      <c r="U171" s="398" t="n"/>
      <c r="V171" s="398" t="n"/>
      <c r="W171" s="398" t="n"/>
      <c r="X171" s="398" t="n"/>
      <c r="Y171" s="398" t="n"/>
      <c r="Z171" s="398" t="n"/>
    </row>
    <row r="172">
      <c r="A172" s="398" t="n"/>
      <c r="B172" s="398" t="n"/>
      <c r="C172" s="398" t="n"/>
      <c r="D172" s="398" t="n"/>
      <c r="E172" s="398" t="n"/>
      <c r="F172" s="398" t="n"/>
      <c r="G172" s="398" t="n"/>
      <c r="H172" s="398" t="n"/>
      <c r="I172" s="398" t="n"/>
      <c r="J172" s="398" t="n"/>
      <c r="K172" s="398" t="n"/>
      <c r="L172" s="398" t="n"/>
      <c r="M172" s="398" t="n"/>
      <c r="N172" s="398" t="n"/>
      <c r="O172" s="398" t="n"/>
      <c r="P172" s="398" t="n"/>
      <c r="Q172" s="398" t="n"/>
      <c r="R172" s="398" t="n"/>
      <c r="S172" s="398" t="n"/>
      <c r="T172" s="398" t="n"/>
      <c r="U172" s="398" t="n"/>
      <c r="V172" s="398" t="n"/>
      <c r="W172" s="398" t="n"/>
      <c r="X172" s="398" t="n"/>
      <c r="Y172" s="398" t="n"/>
      <c r="Z172" s="398" t="n"/>
    </row>
    <row r="173">
      <c r="A173" s="398" t="n"/>
      <c r="B173" s="398" t="n"/>
      <c r="C173" s="398" t="n"/>
      <c r="D173" s="398" t="n"/>
      <c r="E173" s="398" t="n"/>
      <c r="F173" s="398" t="n"/>
      <c r="G173" s="398" t="n"/>
      <c r="H173" s="398" t="n"/>
      <c r="I173" s="398" t="n"/>
      <c r="J173" s="398" t="n"/>
      <c r="K173" s="398" t="n"/>
      <c r="L173" s="398" t="n"/>
      <c r="M173" s="398" t="n"/>
      <c r="N173" s="398" t="n"/>
      <c r="O173" s="398" t="n"/>
      <c r="P173" s="398" t="n"/>
      <c r="Q173" s="398" t="n"/>
      <c r="R173" s="398" t="n"/>
      <c r="S173" s="398" t="n"/>
      <c r="T173" s="398" t="n"/>
      <c r="U173" s="398" t="n"/>
      <c r="V173" s="398" t="n"/>
      <c r="W173" s="398" t="n"/>
      <c r="X173" s="398" t="n"/>
      <c r="Y173" s="398" t="n"/>
      <c r="Z173" s="398" t="n"/>
    </row>
    <row r="174">
      <c r="A174" s="398" t="n"/>
      <c r="B174" s="398" t="n"/>
      <c r="C174" s="398" t="n"/>
      <c r="D174" s="398" t="n"/>
      <c r="E174" s="398" t="n"/>
      <c r="F174" s="398" t="n"/>
      <c r="G174" s="398" t="n"/>
      <c r="H174" s="398" t="n"/>
      <c r="I174" s="398" t="n"/>
      <c r="J174" s="398" t="n"/>
      <c r="K174" s="398" t="n"/>
      <c r="L174" s="398" t="n"/>
      <c r="M174" s="398" t="n"/>
      <c r="N174" s="398" t="n"/>
      <c r="O174" s="398" t="n"/>
      <c r="P174" s="398" t="n"/>
      <c r="Q174" s="398" t="n"/>
      <c r="R174" s="398" t="n"/>
      <c r="S174" s="398" t="n"/>
      <c r="T174" s="398" t="n"/>
      <c r="U174" s="398" t="n"/>
      <c r="V174" s="398" t="n"/>
      <c r="W174" s="398" t="n"/>
      <c r="X174" s="398" t="n"/>
      <c r="Y174" s="398" t="n"/>
      <c r="Z174" s="398" t="n"/>
    </row>
    <row r="175">
      <c r="A175" s="398" t="n"/>
      <c r="B175" s="398" t="n"/>
      <c r="C175" s="398" t="n"/>
      <c r="D175" s="398" t="n"/>
      <c r="E175" s="398" t="n"/>
      <c r="F175" s="398" t="n"/>
      <c r="G175" s="398" t="n"/>
      <c r="H175" s="398" t="n"/>
      <c r="I175" s="398" t="n"/>
      <c r="J175" s="398" t="n"/>
      <c r="K175" s="398" t="n"/>
      <c r="L175" s="398" t="n"/>
      <c r="M175" s="398" t="n"/>
      <c r="N175" s="398" t="n"/>
      <c r="O175" s="398" t="n"/>
      <c r="P175" s="398" t="n"/>
      <c r="Q175" s="398" t="n"/>
      <c r="R175" s="398" t="n"/>
      <c r="S175" s="398" t="n"/>
      <c r="T175" s="398" t="n"/>
      <c r="U175" s="398" t="n"/>
      <c r="V175" s="398" t="n"/>
      <c r="W175" s="398" t="n"/>
      <c r="X175" s="398" t="n"/>
      <c r="Y175" s="398" t="n"/>
      <c r="Z175" s="398" t="n"/>
    </row>
    <row r="176">
      <c r="A176" s="398" t="n"/>
      <c r="B176" s="398" t="n"/>
      <c r="C176" s="398" t="n"/>
      <c r="D176" s="398" t="n"/>
      <c r="E176" s="398" t="n"/>
      <c r="F176" s="398" t="n"/>
      <c r="G176" s="398" t="n"/>
      <c r="H176" s="398" t="n"/>
      <c r="I176" s="398" t="n"/>
      <c r="J176" s="398" t="n"/>
      <c r="K176" s="398" t="n"/>
      <c r="L176" s="398" t="n"/>
      <c r="M176" s="398" t="n"/>
      <c r="N176" s="398" t="n"/>
      <c r="O176" s="398" t="n"/>
      <c r="P176" s="398" t="n"/>
      <c r="Q176" s="398" t="n"/>
      <c r="R176" s="398" t="n"/>
      <c r="S176" s="398" t="n"/>
      <c r="T176" s="398" t="n"/>
      <c r="U176" s="398" t="n"/>
      <c r="V176" s="398" t="n"/>
      <c r="W176" s="398" t="n"/>
      <c r="X176" s="398" t="n"/>
      <c r="Y176" s="398" t="n"/>
      <c r="Z176" s="398" t="n"/>
    </row>
    <row r="177">
      <c r="A177" s="398" t="n"/>
      <c r="B177" s="398" t="n"/>
      <c r="C177" s="398" t="n"/>
      <c r="D177" s="398" t="n"/>
      <c r="E177" s="398" t="n"/>
      <c r="F177" s="398" t="n"/>
      <c r="G177" s="398" t="n"/>
      <c r="H177" s="398" t="n"/>
      <c r="I177" s="398" t="n"/>
      <c r="J177" s="398" t="n"/>
      <c r="K177" s="398" t="n"/>
      <c r="L177" s="398" t="n"/>
      <c r="M177" s="398" t="n"/>
      <c r="N177" s="398" t="n"/>
      <c r="O177" s="398" t="n"/>
      <c r="P177" s="398" t="n"/>
      <c r="Q177" s="398" t="n"/>
      <c r="R177" s="398" t="n"/>
      <c r="S177" s="398" t="n"/>
      <c r="T177" s="398" t="n"/>
      <c r="U177" s="398" t="n"/>
      <c r="V177" s="398" t="n"/>
      <c r="W177" s="398" t="n"/>
      <c r="X177" s="398" t="n"/>
      <c r="Y177" s="398" t="n"/>
      <c r="Z177" s="398" t="n"/>
    </row>
    <row r="178">
      <c r="A178" s="398" t="n"/>
      <c r="B178" s="398" t="n"/>
      <c r="C178" s="398" t="n"/>
      <c r="D178" s="398" t="n"/>
      <c r="E178" s="398" t="n"/>
      <c r="F178" s="398" t="n"/>
      <c r="G178" s="398" t="n"/>
      <c r="H178" s="398" t="n"/>
      <c r="I178" s="398" t="n"/>
      <c r="J178" s="398" t="n"/>
      <c r="K178" s="398" t="n"/>
      <c r="L178" s="398" t="n"/>
      <c r="M178" s="398" t="n"/>
      <c r="N178" s="398" t="n"/>
      <c r="O178" s="398" t="n"/>
      <c r="P178" s="398" t="n"/>
      <c r="Q178" s="398" t="n"/>
      <c r="R178" s="398" t="n"/>
      <c r="S178" s="398" t="n"/>
      <c r="T178" s="398" t="n"/>
      <c r="U178" s="398" t="n"/>
      <c r="V178" s="398" t="n"/>
      <c r="W178" s="398" t="n"/>
      <c r="X178" s="398" t="n"/>
      <c r="Y178" s="398" t="n"/>
      <c r="Z178" s="398" t="n"/>
    </row>
    <row r="179">
      <c r="A179" s="398" t="n"/>
      <c r="B179" s="398" t="n"/>
      <c r="C179" s="398" t="n"/>
      <c r="D179" s="398" t="n"/>
      <c r="E179" s="398" t="n"/>
      <c r="F179" s="398" t="n"/>
      <c r="G179" s="398" t="n"/>
      <c r="H179" s="398" t="n"/>
      <c r="I179" s="398" t="n"/>
      <c r="J179" s="398" t="n"/>
      <c r="K179" s="398" t="n"/>
      <c r="L179" s="398" t="n"/>
      <c r="M179" s="398" t="n"/>
      <c r="N179" s="398" t="n"/>
      <c r="O179" s="398" t="n"/>
      <c r="P179" s="398" t="n"/>
      <c r="Q179" s="398" t="n"/>
      <c r="R179" s="398" t="n"/>
      <c r="S179" s="398" t="n"/>
      <c r="T179" s="398" t="n"/>
      <c r="U179" s="398" t="n"/>
      <c r="V179" s="398" t="n"/>
      <c r="W179" s="398" t="n"/>
      <c r="X179" s="398" t="n"/>
      <c r="Y179" s="398" t="n"/>
      <c r="Z179" s="398" t="n"/>
    </row>
    <row r="180">
      <c r="A180" s="398" t="n"/>
      <c r="B180" s="398" t="n"/>
      <c r="C180" s="398" t="n"/>
      <c r="D180" s="398" t="n"/>
      <c r="E180" s="398" t="n"/>
      <c r="F180" s="398" t="n"/>
      <c r="G180" s="398" t="n"/>
      <c r="H180" s="398" t="n"/>
      <c r="I180" s="398" t="n"/>
      <c r="J180" s="398" t="n"/>
      <c r="K180" s="398" t="n"/>
      <c r="L180" s="398" t="n"/>
      <c r="M180" s="398" t="n"/>
      <c r="N180" s="398" t="n"/>
      <c r="O180" s="398" t="n"/>
      <c r="P180" s="398" t="n"/>
      <c r="Q180" s="398" t="n"/>
      <c r="R180" s="398" t="n"/>
      <c r="S180" s="398" t="n"/>
      <c r="T180" s="398" t="n"/>
      <c r="U180" s="398" t="n"/>
      <c r="V180" s="398" t="n"/>
      <c r="W180" s="398" t="n"/>
      <c r="X180" s="398" t="n"/>
      <c r="Y180" s="398" t="n"/>
      <c r="Z180" s="398" t="n"/>
    </row>
    <row r="181">
      <c r="A181" s="398" t="n"/>
      <c r="B181" s="398" t="n"/>
      <c r="C181" s="398" t="n"/>
      <c r="D181" s="398" t="n"/>
      <c r="E181" s="398" t="n"/>
      <c r="F181" s="398" t="n"/>
      <c r="G181" s="398" t="n"/>
      <c r="H181" s="398" t="n"/>
      <c r="I181" s="398" t="n"/>
      <c r="J181" s="398" t="n"/>
      <c r="K181" s="398" t="n"/>
      <c r="L181" s="398" t="n"/>
      <c r="M181" s="398" t="n"/>
      <c r="N181" s="398" t="n"/>
      <c r="O181" s="398" t="n"/>
      <c r="P181" s="398" t="n"/>
      <c r="Q181" s="398" t="n"/>
      <c r="R181" s="398" t="n"/>
      <c r="S181" s="398" t="n"/>
      <c r="T181" s="398" t="n"/>
      <c r="U181" s="398" t="n"/>
      <c r="V181" s="398" t="n"/>
      <c r="W181" s="398" t="n"/>
      <c r="X181" s="398" t="n"/>
      <c r="Y181" s="398" t="n"/>
      <c r="Z181" s="398" t="n"/>
    </row>
    <row r="182">
      <c r="A182" s="398" t="n"/>
      <c r="B182" s="398" t="n"/>
      <c r="C182" s="398" t="n"/>
      <c r="D182" s="398" t="n"/>
      <c r="E182" s="398" t="n"/>
      <c r="F182" s="398" t="n"/>
      <c r="G182" s="398" t="n"/>
      <c r="H182" s="398" t="n"/>
      <c r="I182" s="398" t="n"/>
      <c r="J182" s="398" t="n"/>
      <c r="K182" s="398" t="n"/>
      <c r="L182" s="398" t="n"/>
      <c r="M182" s="398" t="n"/>
      <c r="N182" s="398" t="n"/>
      <c r="O182" s="398" t="n"/>
      <c r="P182" s="398" t="n"/>
      <c r="Q182" s="398" t="n"/>
      <c r="R182" s="398" t="n"/>
      <c r="S182" s="398" t="n"/>
      <c r="T182" s="398" t="n"/>
      <c r="U182" s="398" t="n"/>
      <c r="V182" s="398" t="n"/>
      <c r="W182" s="398" t="n"/>
      <c r="X182" s="398" t="n"/>
      <c r="Y182" s="398" t="n"/>
      <c r="Z182" s="398" t="n"/>
    </row>
    <row r="183">
      <c r="A183" s="398" t="n"/>
      <c r="B183" s="398" t="n"/>
      <c r="C183" s="398" t="n"/>
      <c r="D183" s="398" t="n"/>
      <c r="E183" s="398" t="n"/>
      <c r="F183" s="398" t="n"/>
      <c r="G183" s="398" t="n"/>
      <c r="H183" s="398" t="n"/>
      <c r="I183" s="398" t="n"/>
      <c r="J183" s="398" t="n"/>
      <c r="K183" s="398" t="n"/>
      <c r="L183" s="398" t="n"/>
      <c r="M183" s="398" t="n"/>
      <c r="N183" s="398" t="n"/>
      <c r="O183" s="398" t="n"/>
      <c r="P183" s="398" t="n"/>
      <c r="Q183" s="398" t="n"/>
      <c r="R183" s="398" t="n"/>
      <c r="S183" s="398" t="n"/>
      <c r="T183" s="398" t="n"/>
      <c r="U183" s="398" t="n"/>
      <c r="V183" s="398" t="n"/>
      <c r="W183" s="398" t="n"/>
      <c r="X183" s="398" t="n"/>
      <c r="Y183" s="398" t="n"/>
      <c r="Z183" s="398" t="n"/>
    </row>
    <row r="184">
      <c r="A184" s="398" t="n"/>
      <c r="B184" s="398" t="n"/>
      <c r="C184" s="398" t="n"/>
      <c r="D184" s="398" t="n"/>
      <c r="E184" s="398" t="n"/>
      <c r="F184" s="398" t="n"/>
      <c r="G184" s="398" t="n"/>
      <c r="H184" s="398" t="n"/>
      <c r="I184" s="398" t="n"/>
      <c r="J184" s="398" t="n"/>
      <c r="K184" s="398" t="n"/>
      <c r="L184" s="398" t="n"/>
      <c r="M184" s="398" t="n"/>
      <c r="N184" s="398" t="n"/>
      <c r="O184" s="398" t="n"/>
      <c r="P184" s="398" t="n"/>
      <c r="Q184" s="398" t="n"/>
      <c r="R184" s="398" t="n"/>
      <c r="S184" s="398" t="n"/>
      <c r="T184" s="398" t="n"/>
      <c r="U184" s="398" t="n"/>
      <c r="V184" s="398" t="n"/>
      <c r="W184" s="398" t="n"/>
      <c r="X184" s="398" t="n"/>
      <c r="Y184" s="398" t="n"/>
      <c r="Z184" s="398" t="n"/>
    </row>
    <row r="185">
      <c r="A185" s="398" t="n"/>
      <c r="B185" s="398" t="n"/>
      <c r="C185" s="398" t="n"/>
      <c r="D185" s="398" t="n"/>
      <c r="E185" s="398" t="n"/>
      <c r="F185" s="398" t="n"/>
      <c r="G185" s="398" t="n"/>
      <c r="H185" s="398" t="n"/>
      <c r="I185" s="398" t="n"/>
      <c r="J185" s="398" t="n"/>
      <c r="K185" s="398" t="n"/>
      <c r="L185" s="398" t="n"/>
      <c r="M185" s="398" t="n"/>
      <c r="N185" s="398" t="n"/>
      <c r="O185" s="398" t="n"/>
      <c r="P185" s="398" t="n"/>
      <c r="Q185" s="398" t="n"/>
      <c r="R185" s="398" t="n"/>
      <c r="S185" s="398" t="n"/>
      <c r="T185" s="398" t="n"/>
      <c r="U185" s="398" t="n"/>
      <c r="V185" s="398" t="n"/>
      <c r="W185" s="398" t="n"/>
      <c r="X185" s="398" t="n"/>
      <c r="Y185" s="398" t="n"/>
      <c r="Z185" s="398" t="n"/>
    </row>
    <row r="186">
      <c r="A186" s="398" t="n"/>
      <c r="B186" s="398" t="n"/>
      <c r="C186" s="398" t="n"/>
      <c r="D186" s="398" t="n"/>
      <c r="E186" s="398" t="n"/>
      <c r="F186" s="398" t="n"/>
      <c r="G186" s="398" t="n"/>
      <c r="H186" s="398" t="n"/>
      <c r="I186" s="398" t="n"/>
      <c r="J186" s="398" t="n"/>
      <c r="K186" s="398" t="n"/>
      <c r="L186" s="398" t="n"/>
      <c r="M186" s="398" t="n"/>
      <c r="N186" s="398" t="n"/>
      <c r="O186" s="398" t="n"/>
      <c r="P186" s="398" t="n"/>
      <c r="Q186" s="398" t="n"/>
      <c r="R186" s="398" t="n"/>
      <c r="S186" s="398" t="n"/>
      <c r="T186" s="398" t="n"/>
      <c r="U186" s="398" t="n"/>
      <c r="V186" s="398" t="n"/>
      <c r="W186" s="398" t="n"/>
      <c r="X186" s="398" t="n"/>
      <c r="Y186" s="398" t="n"/>
      <c r="Z186" s="398" t="n"/>
    </row>
    <row r="187">
      <c r="A187" s="398" t="n"/>
      <c r="B187" s="398" t="n"/>
      <c r="C187" s="398" t="n"/>
      <c r="D187" s="398" t="n"/>
      <c r="E187" s="398" t="n"/>
      <c r="F187" s="398" t="n"/>
      <c r="G187" s="398" t="n"/>
      <c r="H187" s="398" t="n"/>
      <c r="I187" s="398" t="n"/>
      <c r="J187" s="398" t="n"/>
      <c r="K187" s="398" t="n"/>
      <c r="L187" s="398" t="n"/>
      <c r="M187" s="398" t="n"/>
      <c r="N187" s="398" t="n"/>
      <c r="O187" s="398" t="n"/>
      <c r="P187" s="398" t="n"/>
      <c r="Q187" s="398" t="n"/>
      <c r="R187" s="398" t="n"/>
      <c r="S187" s="398" t="n"/>
      <c r="T187" s="398" t="n"/>
      <c r="U187" s="398" t="n"/>
      <c r="V187" s="398" t="n"/>
      <c r="W187" s="398" t="n"/>
      <c r="X187" s="398" t="n"/>
      <c r="Y187" s="398" t="n"/>
      <c r="Z187" s="398" t="n"/>
    </row>
    <row r="188">
      <c r="A188" s="398" t="n"/>
      <c r="B188" s="398" t="n"/>
      <c r="C188" s="398" t="n"/>
      <c r="D188" s="398" t="n"/>
      <c r="E188" s="398" t="n"/>
      <c r="F188" s="398" t="n"/>
      <c r="G188" s="398" t="n"/>
      <c r="H188" s="398" t="n"/>
      <c r="I188" s="398" t="n"/>
      <c r="J188" s="398" t="n"/>
      <c r="K188" s="398" t="n"/>
      <c r="L188" s="398" t="n"/>
      <c r="M188" s="398" t="n"/>
      <c r="N188" s="398" t="n"/>
      <c r="O188" s="398" t="n"/>
      <c r="P188" s="398" t="n"/>
      <c r="Q188" s="398" t="n"/>
      <c r="R188" s="398" t="n"/>
      <c r="S188" s="398" t="n"/>
      <c r="T188" s="398" t="n"/>
      <c r="U188" s="398" t="n"/>
      <c r="V188" s="398" t="n"/>
      <c r="W188" s="398" t="n"/>
      <c r="X188" s="398" t="n"/>
      <c r="Y188" s="398" t="n"/>
      <c r="Z188" s="398" t="n"/>
    </row>
    <row r="189">
      <c r="A189" s="398" t="n"/>
      <c r="B189" s="398" t="n"/>
      <c r="C189" s="398" t="n"/>
      <c r="D189" s="398" t="n"/>
      <c r="E189" s="398" t="n"/>
      <c r="F189" s="398" t="n"/>
      <c r="G189" s="398" t="n"/>
      <c r="H189" s="398" t="n"/>
      <c r="I189" s="398" t="n"/>
      <c r="J189" s="398" t="n"/>
      <c r="K189" s="398" t="n"/>
      <c r="L189" s="398" t="n"/>
      <c r="M189" s="398" t="n"/>
      <c r="N189" s="398" t="n"/>
      <c r="O189" s="398" t="n"/>
      <c r="P189" s="398" t="n"/>
      <c r="Q189" s="398" t="n"/>
      <c r="R189" s="398" t="n"/>
      <c r="S189" s="398" t="n"/>
      <c r="T189" s="398" t="n"/>
      <c r="U189" s="398" t="n"/>
      <c r="V189" s="398" t="n"/>
      <c r="W189" s="398" t="n"/>
      <c r="X189" s="398" t="n"/>
      <c r="Y189" s="398" t="n"/>
      <c r="Z189" s="398" t="n"/>
    </row>
    <row r="190">
      <c r="A190" s="398" t="n"/>
      <c r="B190" s="398" t="n"/>
      <c r="C190" s="398" t="n"/>
      <c r="D190" s="398" t="n"/>
      <c r="E190" s="398" t="n"/>
      <c r="F190" s="398" t="n"/>
      <c r="G190" s="398" t="n"/>
      <c r="H190" s="398" t="n"/>
      <c r="I190" s="398" t="n"/>
      <c r="J190" s="398" t="n"/>
      <c r="K190" s="398" t="n"/>
      <c r="L190" s="398" t="n"/>
      <c r="M190" s="398" t="n"/>
      <c r="N190" s="398" t="n"/>
      <c r="O190" s="398" t="n"/>
      <c r="P190" s="398" t="n"/>
      <c r="Q190" s="398" t="n"/>
      <c r="R190" s="398" t="n"/>
      <c r="S190" s="398" t="n"/>
      <c r="T190" s="398" t="n"/>
      <c r="U190" s="398" t="n"/>
      <c r="V190" s="398" t="n"/>
      <c r="W190" s="398" t="n"/>
      <c r="X190" s="398" t="n"/>
      <c r="Y190" s="398" t="n"/>
      <c r="Z190" s="398" t="n"/>
    </row>
    <row r="191">
      <c r="A191" s="398" t="n"/>
      <c r="B191" s="398" t="n"/>
      <c r="C191" s="398" t="n"/>
      <c r="D191" s="398" t="n"/>
      <c r="E191" s="398" t="n"/>
      <c r="F191" s="398" t="n"/>
      <c r="G191" s="398" t="n"/>
      <c r="H191" s="398" t="n"/>
      <c r="I191" s="398" t="n"/>
      <c r="J191" s="398" t="n"/>
      <c r="K191" s="398" t="n"/>
      <c r="L191" s="398" t="n"/>
      <c r="M191" s="398" t="n"/>
      <c r="N191" s="398" t="n"/>
      <c r="O191" s="398" t="n"/>
      <c r="P191" s="398" t="n"/>
      <c r="Q191" s="398" t="n"/>
      <c r="R191" s="398" t="n"/>
      <c r="S191" s="398" t="n"/>
      <c r="T191" s="398" t="n"/>
      <c r="U191" s="398" t="n"/>
      <c r="V191" s="398" t="n"/>
      <c r="W191" s="398" t="n"/>
      <c r="X191" s="398" t="n"/>
      <c r="Y191" s="398" t="n"/>
      <c r="Z191" s="398" t="n"/>
    </row>
    <row r="192">
      <c r="A192" s="398" t="n"/>
      <c r="B192" s="398" t="n"/>
      <c r="C192" s="398" t="n"/>
      <c r="D192" s="398" t="n"/>
      <c r="E192" s="398" t="n"/>
      <c r="F192" s="398" t="n"/>
      <c r="G192" s="398" t="n"/>
      <c r="H192" s="398" t="n"/>
      <c r="I192" s="398" t="n"/>
      <c r="J192" s="398" t="n"/>
      <c r="K192" s="398" t="n"/>
      <c r="L192" s="398" t="n"/>
      <c r="M192" s="398" t="n"/>
      <c r="N192" s="398" t="n"/>
      <c r="O192" s="398" t="n"/>
      <c r="P192" s="398" t="n"/>
      <c r="Q192" s="398" t="n"/>
      <c r="R192" s="398" t="n"/>
      <c r="S192" s="398" t="n"/>
      <c r="T192" s="398" t="n"/>
      <c r="U192" s="398" t="n"/>
      <c r="V192" s="398" t="n"/>
      <c r="W192" s="398" t="n"/>
      <c r="X192" s="398" t="n"/>
      <c r="Y192" s="398" t="n"/>
      <c r="Z192" s="398" t="n"/>
    </row>
    <row r="193">
      <c r="A193" s="398" t="n"/>
      <c r="B193" s="398" t="n"/>
      <c r="C193" s="398" t="n"/>
      <c r="D193" s="398" t="n"/>
      <c r="E193" s="398" t="n"/>
      <c r="F193" s="398" t="n"/>
      <c r="G193" s="398" t="n"/>
      <c r="H193" s="398" t="n"/>
      <c r="I193" s="398" t="n"/>
      <c r="J193" s="398" t="n"/>
      <c r="K193" s="398" t="n"/>
      <c r="L193" s="398" t="n"/>
      <c r="M193" s="398" t="n"/>
      <c r="N193" s="398" t="n"/>
      <c r="O193" s="398" t="n"/>
      <c r="P193" s="398" t="n"/>
      <c r="Q193" s="398" t="n"/>
      <c r="R193" s="398" t="n"/>
      <c r="S193" s="398" t="n"/>
      <c r="T193" s="398" t="n"/>
      <c r="U193" s="398" t="n"/>
      <c r="V193" s="398" t="n"/>
      <c r="W193" s="398" t="n"/>
      <c r="X193" s="398" t="n"/>
      <c r="Y193" s="398" t="n"/>
      <c r="Z193" s="398" t="n"/>
    </row>
    <row r="194">
      <c r="A194" s="398" t="n"/>
      <c r="B194" s="398" t="n"/>
      <c r="C194" s="398" t="n"/>
      <c r="D194" s="398" t="n"/>
      <c r="E194" s="398" t="n"/>
      <c r="F194" s="398" t="n"/>
      <c r="G194" s="398" t="n"/>
      <c r="H194" s="398" t="n"/>
      <c r="I194" s="398" t="n"/>
      <c r="J194" s="398" t="n"/>
      <c r="K194" s="398" t="n"/>
      <c r="L194" s="398" t="n"/>
      <c r="M194" s="398" t="n"/>
      <c r="N194" s="398" t="n"/>
      <c r="O194" s="398" t="n"/>
      <c r="P194" s="398" t="n"/>
      <c r="Q194" s="398" t="n"/>
      <c r="R194" s="398" t="n"/>
      <c r="S194" s="398" t="n"/>
      <c r="T194" s="398" t="n"/>
      <c r="U194" s="398" t="n"/>
      <c r="V194" s="398" t="n"/>
      <c r="W194" s="398" t="n"/>
      <c r="X194" s="398" t="n"/>
      <c r="Y194" s="398" t="n"/>
      <c r="Z194" s="398" t="n"/>
    </row>
    <row r="195">
      <c r="A195" s="398" t="n"/>
      <c r="B195" s="398" t="n"/>
      <c r="C195" s="398" t="n"/>
      <c r="D195" s="398" t="n"/>
      <c r="E195" s="398" t="n"/>
      <c r="F195" s="398" t="n"/>
      <c r="G195" s="398" t="n"/>
      <c r="H195" s="398" t="n"/>
      <c r="I195" s="398" t="n"/>
      <c r="J195" s="398" t="n"/>
      <c r="K195" s="398" t="n"/>
      <c r="L195" s="398" t="n"/>
      <c r="M195" s="398" t="n"/>
      <c r="N195" s="398" t="n"/>
      <c r="O195" s="398" t="n"/>
      <c r="P195" s="398" t="n"/>
      <c r="Q195" s="398" t="n"/>
      <c r="R195" s="398" t="n"/>
      <c r="S195" s="398" t="n"/>
      <c r="T195" s="398" t="n"/>
      <c r="U195" s="398" t="n"/>
      <c r="V195" s="398" t="n"/>
      <c r="W195" s="398" t="n"/>
      <c r="X195" s="398" t="n"/>
      <c r="Y195" s="398" t="n"/>
      <c r="Z195" s="398" t="n"/>
    </row>
    <row r="196">
      <c r="A196" s="398" t="n"/>
      <c r="B196" s="398" t="n"/>
      <c r="C196" s="398" t="n"/>
      <c r="D196" s="398" t="n"/>
      <c r="E196" s="398" t="n"/>
      <c r="F196" s="398" t="n"/>
      <c r="G196" s="398" t="n"/>
      <c r="H196" s="398" t="n"/>
      <c r="I196" s="398" t="n"/>
      <c r="J196" s="398" t="n"/>
      <c r="K196" s="398" t="n"/>
      <c r="L196" s="398" t="n"/>
      <c r="M196" s="398" t="n"/>
      <c r="N196" s="398" t="n"/>
      <c r="O196" s="398" t="n"/>
      <c r="P196" s="398" t="n"/>
      <c r="Q196" s="398" t="n"/>
      <c r="R196" s="398" t="n"/>
      <c r="S196" s="398" t="n"/>
      <c r="T196" s="398" t="n"/>
      <c r="U196" s="398" t="n"/>
      <c r="V196" s="398" t="n"/>
      <c r="W196" s="398" t="n"/>
      <c r="X196" s="398" t="n"/>
      <c r="Y196" s="398" t="n"/>
      <c r="Z196" s="398" t="n"/>
    </row>
    <row r="197">
      <c r="A197" s="398" t="n"/>
      <c r="B197" s="398" t="n"/>
      <c r="C197" s="398" t="n"/>
      <c r="D197" s="398" t="n"/>
      <c r="E197" s="398" t="n"/>
      <c r="F197" s="398" t="n"/>
      <c r="G197" s="398" t="n"/>
      <c r="H197" s="398" t="n"/>
      <c r="I197" s="398" t="n"/>
      <c r="J197" s="398" t="n"/>
      <c r="K197" s="398" t="n"/>
      <c r="L197" s="398" t="n"/>
      <c r="M197" s="398" t="n"/>
      <c r="N197" s="398" t="n"/>
      <c r="O197" s="398" t="n"/>
      <c r="P197" s="398" t="n"/>
      <c r="Q197" s="398" t="n"/>
      <c r="R197" s="398" t="n"/>
      <c r="S197" s="398" t="n"/>
      <c r="T197" s="398" t="n"/>
      <c r="U197" s="398" t="n"/>
      <c r="V197" s="398" t="n"/>
      <c r="W197" s="398" t="n"/>
      <c r="X197" s="398" t="n"/>
      <c r="Y197" s="398" t="n"/>
      <c r="Z197" s="398" t="n"/>
    </row>
    <row r="198">
      <c r="A198" s="398" t="n"/>
      <c r="B198" s="398" t="n"/>
      <c r="C198" s="398" t="n"/>
      <c r="D198" s="398" t="n"/>
      <c r="E198" s="398" t="n"/>
      <c r="F198" s="398" t="n"/>
      <c r="G198" s="398" t="n"/>
      <c r="H198" s="398" t="n"/>
      <c r="I198" s="398" t="n"/>
      <c r="J198" s="398" t="n"/>
      <c r="K198" s="398" t="n"/>
      <c r="L198" s="398" t="n"/>
      <c r="M198" s="398" t="n"/>
      <c r="N198" s="398" t="n"/>
      <c r="O198" s="398" t="n"/>
      <c r="P198" s="398" t="n"/>
      <c r="Q198" s="398" t="n"/>
      <c r="R198" s="398" t="n"/>
      <c r="S198" s="398" t="n"/>
      <c r="T198" s="398" t="n"/>
      <c r="U198" s="398" t="n"/>
      <c r="V198" s="398" t="n"/>
      <c r="W198" s="398" t="n"/>
      <c r="X198" s="398" t="n"/>
      <c r="Y198" s="398" t="n"/>
      <c r="Z198" s="398" t="n"/>
    </row>
    <row r="199">
      <c r="A199" s="398" t="n"/>
      <c r="B199" s="398" t="n"/>
      <c r="C199" s="398" t="n"/>
      <c r="D199" s="398" t="n"/>
      <c r="E199" s="398" t="n"/>
      <c r="F199" s="398" t="n"/>
      <c r="G199" s="398" t="n"/>
      <c r="H199" s="398" t="n"/>
      <c r="I199" s="398" t="n"/>
      <c r="J199" s="398" t="n"/>
      <c r="K199" s="398" t="n"/>
      <c r="L199" s="398" t="n"/>
      <c r="M199" s="398" t="n"/>
      <c r="N199" s="398" t="n"/>
      <c r="O199" s="398" t="n"/>
      <c r="P199" s="398" t="n"/>
      <c r="Q199" s="398" t="n"/>
      <c r="R199" s="398" t="n"/>
      <c r="S199" s="398" t="n"/>
      <c r="T199" s="398" t="n"/>
      <c r="U199" s="398" t="n"/>
      <c r="V199" s="398" t="n"/>
      <c r="W199" s="398" t="n"/>
      <c r="X199" s="398" t="n"/>
      <c r="Y199" s="398" t="n"/>
      <c r="Z199" s="398" t="n"/>
    </row>
    <row r="200">
      <c r="A200" s="398" t="n"/>
      <c r="B200" s="398" t="n"/>
      <c r="C200" s="398" t="n"/>
      <c r="D200" s="398" t="n"/>
      <c r="E200" s="398" t="n"/>
      <c r="F200" s="398" t="n"/>
      <c r="G200" s="398" t="n"/>
      <c r="H200" s="398" t="n"/>
      <c r="I200" s="398" t="n"/>
      <c r="J200" s="398" t="n"/>
      <c r="K200" s="398" t="n"/>
      <c r="L200" s="398" t="n"/>
      <c r="M200" s="398" t="n"/>
      <c r="N200" s="398" t="n"/>
      <c r="O200" s="398" t="n"/>
      <c r="P200" s="398" t="n"/>
      <c r="Q200" s="398" t="n"/>
      <c r="R200" s="398" t="n"/>
      <c r="S200" s="398" t="n"/>
      <c r="T200" s="398" t="n"/>
      <c r="U200" s="398" t="n"/>
      <c r="V200" s="398" t="n"/>
      <c r="W200" s="398" t="n"/>
      <c r="X200" s="398" t="n"/>
      <c r="Y200" s="398" t="n"/>
      <c r="Z200" s="398" t="n"/>
    </row>
    <row r="201">
      <c r="A201" s="398" t="n"/>
      <c r="B201" s="398" t="n"/>
      <c r="C201" s="398" t="n"/>
      <c r="D201" s="398" t="n"/>
      <c r="E201" s="398" t="n"/>
      <c r="F201" s="398" t="n"/>
      <c r="G201" s="398" t="n"/>
      <c r="H201" s="398" t="n"/>
      <c r="I201" s="398" t="n"/>
      <c r="J201" s="398" t="n"/>
      <c r="K201" s="398" t="n"/>
      <c r="L201" s="398" t="n"/>
      <c r="M201" s="398" t="n"/>
      <c r="N201" s="398" t="n"/>
      <c r="O201" s="398" t="n"/>
      <c r="P201" s="398" t="n"/>
      <c r="Q201" s="398" t="n"/>
      <c r="R201" s="398" t="n"/>
      <c r="S201" s="398" t="n"/>
      <c r="T201" s="398" t="n"/>
      <c r="U201" s="398" t="n"/>
      <c r="V201" s="398" t="n"/>
      <c r="W201" s="398" t="n"/>
      <c r="X201" s="398" t="n"/>
      <c r="Y201" s="398" t="n"/>
      <c r="Z201" s="398" t="n"/>
    </row>
    <row r="202">
      <c r="A202" s="398" t="n"/>
      <c r="B202" s="398" t="n"/>
      <c r="C202" s="398" t="n"/>
      <c r="D202" s="398" t="n"/>
      <c r="E202" s="398" t="n"/>
      <c r="F202" s="398" t="n"/>
      <c r="G202" s="398" t="n"/>
      <c r="H202" s="398" t="n"/>
      <c r="I202" s="398" t="n"/>
      <c r="J202" s="398" t="n"/>
      <c r="K202" s="398" t="n"/>
      <c r="L202" s="398" t="n"/>
      <c r="M202" s="398" t="n"/>
      <c r="N202" s="398" t="n"/>
      <c r="O202" s="398" t="n"/>
      <c r="P202" s="398" t="n"/>
      <c r="Q202" s="398" t="n"/>
      <c r="R202" s="398" t="n"/>
      <c r="S202" s="398" t="n"/>
      <c r="T202" s="398" t="n"/>
      <c r="U202" s="398" t="n"/>
      <c r="V202" s="398" t="n"/>
      <c r="W202" s="398" t="n"/>
      <c r="X202" s="398" t="n"/>
      <c r="Y202" s="398" t="n"/>
      <c r="Z202" s="398" t="n"/>
    </row>
    <row r="203">
      <c r="A203" s="398" t="n"/>
      <c r="B203" s="398" t="n"/>
      <c r="C203" s="398" t="n"/>
      <c r="D203" s="398" t="n"/>
      <c r="E203" s="398" t="n"/>
      <c r="F203" s="398" t="n"/>
      <c r="G203" s="398" t="n"/>
      <c r="H203" s="398" t="n"/>
      <c r="I203" s="398" t="n"/>
      <c r="J203" s="398" t="n"/>
      <c r="K203" s="398" t="n"/>
      <c r="L203" s="398" t="n"/>
      <c r="M203" s="398" t="n"/>
      <c r="N203" s="398" t="n"/>
      <c r="O203" s="398" t="n"/>
      <c r="P203" s="398" t="n"/>
      <c r="Q203" s="398" t="n"/>
      <c r="R203" s="398" t="n"/>
      <c r="S203" s="398" t="n"/>
      <c r="T203" s="398" t="n"/>
      <c r="U203" s="398" t="n"/>
      <c r="V203" s="398" t="n"/>
      <c r="W203" s="398" t="n"/>
      <c r="X203" s="398" t="n"/>
      <c r="Y203" s="398" t="n"/>
      <c r="Z203" s="398" t="n"/>
    </row>
    <row r="204">
      <c r="A204" s="398" t="n"/>
      <c r="B204" s="398" t="n"/>
      <c r="C204" s="398" t="n"/>
      <c r="D204" s="398" t="n"/>
      <c r="E204" s="398" t="n"/>
      <c r="F204" s="398" t="n"/>
      <c r="G204" s="398" t="n"/>
      <c r="H204" s="398" t="n"/>
      <c r="I204" s="398" t="n"/>
      <c r="J204" s="398" t="n"/>
      <c r="K204" s="398" t="n"/>
      <c r="L204" s="398" t="n"/>
      <c r="M204" s="398" t="n"/>
      <c r="N204" s="398" t="n"/>
      <c r="O204" s="398" t="n"/>
      <c r="P204" s="398" t="n"/>
      <c r="Q204" s="398" t="n"/>
      <c r="R204" s="398" t="n"/>
      <c r="S204" s="398" t="n"/>
      <c r="T204" s="398" t="n"/>
      <c r="U204" s="398" t="n"/>
      <c r="V204" s="398" t="n"/>
      <c r="W204" s="398" t="n"/>
      <c r="X204" s="398" t="n"/>
      <c r="Y204" s="398" t="n"/>
      <c r="Z204" s="398" t="n"/>
    </row>
    <row r="205">
      <c r="A205" s="398" t="n"/>
      <c r="B205" s="398" t="n"/>
      <c r="C205" s="398" t="n"/>
      <c r="D205" s="398" t="n"/>
      <c r="E205" s="398" t="n"/>
      <c r="F205" s="398" t="n"/>
      <c r="G205" s="398" t="n"/>
      <c r="H205" s="398" t="n"/>
      <c r="I205" s="398" t="n"/>
      <c r="J205" s="398" t="n"/>
      <c r="K205" s="398" t="n"/>
      <c r="L205" s="398" t="n"/>
      <c r="M205" s="398" t="n"/>
      <c r="N205" s="398" t="n"/>
      <c r="O205" s="398" t="n"/>
      <c r="P205" s="398" t="n"/>
      <c r="Q205" s="398" t="n"/>
      <c r="R205" s="398" t="n"/>
      <c r="S205" s="398" t="n"/>
      <c r="T205" s="398" t="n"/>
      <c r="U205" s="398" t="n"/>
      <c r="V205" s="398" t="n"/>
      <c r="W205" s="398" t="n"/>
      <c r="X205" s="398" t="n"/>
      <c r="Y205" s="398" t="n"/>
      <c r="Z205" s="398" t="n"/>
    </row>
    <row r="206">
      <c r="A206" s="398" t="n"/>
      <c r="B206" s="398" t="n"/>
      <c r="C206" s="398" t="n"/>
      <c r="D206" s="398" t="n"/>
      <c r="E206" s="398" t="n"/>
      <c r="F206" s="398" t="n"/>
      <c r="G206" s="398" t="n"/>
      <c r="H206" s="398" t="n"/>
      <c r="I206" s="398" t="n"/>
      <c r="J206" s="398" t="n"/>
      <c r="K206" s="398" t="n"/>
      <c r="L206" s="398" t="n"/>
      <c r="M206" s="398" t="n"/>
      <c r="N206" s="398" t="n"/>
      <c r="O206" s="398" t="n"/>
      <c r="P206" s="398" t="n"/>
      <c r="Q206" s="398" t="n"/>
      <c r="R206" s="398" t="n"/>
      <c r="S206" s="398" t="n"/>
      <c r="T206" s="398" t="n"/>
      <c r="U206" s="398" t="n"/>
      <c r="V206" s="398" t="n"/>
      <c r="W206" s="398" t="n"/>
      <c r="X206" s="398" t="n"/>
      <c r="Y206" s="398" t="n"/>
      <c r="Z206" s="398" t="n"/>
    </row>
    <row r="207">
      <c r="A207" s="398" t="n"/>
      <c r="B207" s="398" t="n"/>
      <c r="C207" s="398" t="n"/>
      <c r="D207" s="398" t="n"/>
      <c r="E207" s="398" t="n"/>
      <c r="F207" s="398" t="n"/>
      <c r="G207" s="398" t="n"/>
      <c r="H207" s="398" t="n"/>
      <c r="I207" s="398" t="n"/>
      <c r="J207" s="398" t="n"/>
      <c r="K207" s="398" t="n"/>
      <c r="L207" s="398" t="n"/>
      <c r="M207" s="398" t="n"/>
      <c r="N207" s="398" t="n"/>
      <c r="O207" s="398" t="n"/>
      <c r="P207" s="398" t="n"/>
      <c r="Q207" s="398" t="n"/>
      <c r="R207" s="398" t="n"/>
      <c r="S207" s="398" t="n"/>
      <c r="T207" s="398" t="n"/>
      <c r="U207" s="398" t="n"/>
      <c r="V207" s="398" t="n"/>
      <c r="W207" s="398" t="n"/>
      <c r="X207" s="398" t="n"/>
      <c r="Y207" s="398" t="n"/>
      <c r="Z207" s="398" t="n"/>
    </row>
    <row r="208">
      <c r="A208" s="398" t="n"/>
      <c r="B208" s="398" t="n"/>
      <c r="C208" s="398" t="n"/>
      <c r="D208" s="398" t="n"/>
      <c r="E208" s="398" t="n"/>
      <c r="F208" s="398" t="n"/>
      <c r="G208" s="398" t="n"/>
      <c r="H208" s="398" t="n"/>
      <c r="I208" s="398" t="n"/>
      <c r="J208" s="398" t="n"/>
      <c r="K208" s="398" t="n"/>
      <c r="L208" s="398" t="n"/>
      <c r="M208" s="398" t="n"/>
      <c r="N208" s="398" t="n"/>
      <c r="O208" s="398" t="n"/>
      <c r="P208" s="398" t="n"/>
      <c r="Q208" s="398" t="n"/>
      <c r="R208" s="398" t="n"/>
      <c r="S208" s="398" t="n"/>
      <c r="T208" s="398" t="n"/>
      <c r="U208" s="398" t="n"/>
      <c r="V208" s="398" t="n"/>
      <c r="W208" s="398" t="n"/>
      <c r="X208" s="398" t="n"/>
      <c r="Y208" s="398" t="n"/>
      <c r="Z208" s="398" t="n"/>
    </row>
    <row r="209">
      <c r="A209" s="398" t="n"/>
      <c r="B209" s="398" t="n"/>
      <c r="C209" s="398" t="n"/>
      <c r="D209" s="398" t="n"/>
      <c r="E209" s="398" t="n"/>
      <c r="F209" s="398" t="n"/>
      <c r="G209" s="398" t="n"/>
      <c r="H209" s="398" t="n"/>
      <c r="I209" s="398" t="n"/>
      <c r="J209" s="398" t="n"/>
      <c r="K209" s="398" t="n"/>
      <c r="L209" s="398" t="n"/>
      <c r="M209" s="398" t="n"/>
      <c r="N209" s="398" t="n"/>
      <c r="O209" s="398" t="n"/>
      <c r="P209" s="398" t="n"/>
      <c r="Q209" s="398" t="n"/>
      <c r="R209" s="398" t="n"/>
      <c r="S209" s="398" t="n"/>
      <c r="T209" s="398" t="n"/>
      <c r="U209" s="398" t="n"/>
      <c r="V209" s="398" t="n"/>
      <c r="W209" s="398" t="n"/>
      <c r="X209" s="398" t="n"/>
      <c r="Y209" s="398" t="n"/>
      <c r="Z209" s="398" t="n"/>
    </row>
    <row r="210">
      <c r="A210" s="398" t="n"/>
      <c r="B210" s="398" t="n"/>
      <c r="C210" s="398" t="n"/>
      <c r="D210" s="398" t="n"/>
      <c r="E210" s="398" t="n"/>
      <c r="F210" s="398" t="n"/>
      <c r="G210" s="398" t="n"/>
      <c r="H210" s="398" t="n"/>
      <c r="I210" s="398" t="n"/>
      <c r="J210" s="398" t="n"/>
      <c r="K210" s="398" t="n"/>
      <c r="L210" s="398" t="n"/>
      <c r="M210" s="398" t="n"/>
      <c r="N210" s="398" t="n"/>
      <c r="O210" s="398" t="n"/>
      <c r="P210" s="398" t="n"/>
      <c r="Q210" s="398" t="n"/>
      <c r="R210" s="398" t="n"/>
      <c r="S210" s="398" t="n"/>
      <c r="T210" s="398" t="n"/>
      <c r="U210" s="398" t="n"/>
      <c r="V210" s="398" t="n"/>
      <c r="W210" s="398" t="n"/>
      <c r="X210" s="398" t="n"/>
      <c r="Y210" s="398" t="n"/>
      <c r="Z210" s="398" t="n"/>
    </row>
    <row r="211">
      <c r="A211" s="398" t="n"/>
      <c r="B211" s="398" t="n"/>
      <c r="C211" s="398" t="n"/>
      <c r="D211" s="398" t="n"/>
      <c r="E211" s="398" t="n"/>
      <c r="F211" s="398" t="n"/>
      <c r="G211" s="398" t="n"/>
      <c r="H211" s="398" t="n"/>
      <c r="I211" s="398" t="n"/>
      <c r="J211" s="398" t="n"/>
      <c r="K211" s="398" t="n"/>
      <c r="L211" s="398" t="n"/>
      <c r="M211" s="398" t="n"/>
      <c r="N211" s="398" t="n"/>
      <c r="O211" s="398" t="n"/>
      <c r="P211" s="398" t="n"/>
      <c r="Q211" s="398" t="n"/>
      <c r="R211" s="398" t="n"/>
      <c r="S211" s="398" t="n"/>
      <c r="T211" s="398" t="n"/>
      <c r="U211" s="398" t="n"/>
      <c r="V211" s="398" t="n"/>
      <c r="W211" s="398" t="n"/>
      <c r="X211" s="398" t="n"/>
      <c r="Y211" s="398" t="n"/>
      <c r="Z211" s="398" t="n"/>
    </row>
    <row r="212">
      <c r="A212" s="398" t="n"/>
      <c r="B212" s="398" t="n"/>
      <c r="C212" s="398" t="n"/>
      <c r="D212" s="398" t="n"/>
      <c r="E212" s="398" t="n"/>
      <c r="F212" s="398" t="n"/>
      <c r="G212" s="398" t="n"/>
      <c r="H212" s="398" t="n"/>
      <c r="I212" s="398" t="n"/>
      <c r="J212" s="398" t="n"/>
      <c r="K212" s="398" t="n"/>
      <c r="L212" s="398" t="n"/>
      <c r="M212" s="398" t="n"/>
      <c r="N212" s="398" t="n"/>
      <c r="O212" s="398" t="n"/>
      <c r="P212" s="398" t="n"/>
      <c r="Q212" s="398" t="n"/>
      <c r="R212" s="398" t="n"/>
      <c r="S212" s="398" t="n"/>
      <c r="T212" s="398" t="n"/>
      <c r="U212" s="398" t="n"/>
      <c r="V212" s="398" t="n"/>
      <c r="W212" s="398" t="n"/>
      <c r="X212" s="398" t="n"/>
      <c r="Y212" s="398" t="n"/>
      <c r="Z212" s="398" t="n"/>
    </row>
    <row r="213">
      <c r="A213" s="398" t="n"/>
      <c r="B213" s="398" t="n"/>
      <c r="C213" s="398" t="n"/>
      <c r="D213" s="398" t="n"/>
      <c r="E213" s="398" t="n"/>
      <c r="F213" s="398" t="n"/>
      <c r="G213" s="398" t="n"/>
      <c r="H213" s="398" t="n"/>
      <c r="I213" s="398" t="n"/>
      <c r="J213" s="398" t="n"/>
      <c r="K213" s="398" t="n"/>
      <c r="L213" s="398" t="n"/>
      <c r="M213" s="398" t="n"/>
      <c r="N213" s="398" t="n"/>
      <c r="O213" s="398" t="n"/>
      <c r="P213" s="398" t="n"/>
      <c r="Q213" s="398" t="n"/>
      <c r="R213" s="398" t="n"/>
      <c r="S213" s="398" t="n"/>
      <c r="T213" s="398" t="n"/>
      <c r="U213" s="398" t="n"/>
      <c r="V213" s="398" t="n"/>
      <c r="W213" s="398" t="n"/>
      <c r="X213" s="398" t="n"/>
      <c r="Y213" s="398" t="n"/>
      <c r="Z213" s="398" t="n"/>
    </row>
    <row r="214">
      <c r="A214" s="398" t="n"/>
      <c r="B214" s="398" t="n"/>
      <c r="C214" s="398" t="n"/>
      <c r="D214" s="398" t="n"/>
      <c r="E214" s="398" t="n"/>
      <c r="F214" s="398" t="n"/>
      <c r="G214" s="398" t="n"/>
      <c r="H214" s="398" t="n"/>
      <c r="I214" s="398" t="n"/>
      <c r="J214" s="398" t="n"/>
      <c r="K214" s="398" t="n"/>
      <c r="L214" s="398" t="n"/>
      <c r="M214" s="398" t="n"/>
      <c r="N214" s="398" t="n"/>
      <c r="O214" s="398" t="n"/>
      <c r="P214" s="398" t="n"/>
      <c r="Q214" s="398" t="n"/>
      <c r="R214" s="398" t="n"/>
      <c r="S214" s="398" t="n"/>
      <c r="T214" s="398" t="n"/>
      <c r="U214" s="398" t="n"/>
      <c r="V214" s="398" t="n"/>
      <c r="W214" s="398" t="n"/>
      <c r="X214" s="398" t="n"/>
      <c r="Y214" s="398" t="n"/>
      <c r="Z214" s="398" t="n"/>
    </row>
    <row r="215">
      <c r="A215" s="398" t="n"/>
      <c r="B215" s="398" t="n"/>
      <c r="C215" s="398" t="n"/>
      <c r="D215" s="398" t="n"/>
      <c r="E215" s="398" t="n"/>
      <c r="F215" s="398" t="n"/>
      <c r="G215" s="398" t="n"/>
      <c r="H215" s="398" t="n"/>
      <c r="I215" s="398" t="n"/>
      <c r="J215" s="398" t="n"/>
      <c r="K215" s="398" t="n"/>
      <c r="L215" s="398" t="n"/>
      <c r="M215" s="398" t="n"/>
      <c r="N215" s="398" t="n"/>
      <c r="O215" s="398" t="n"/>
      <c r="P215" s="398" t="n"/>
      <c r="Q215" s="398" t="n"/>
      <c r="R215" s="398" t="n"/>
      <c r="S215" s="398" t="n"/>
      <c r="T215" s="398" t="n"/>
      <c r="U215" s="398" t="n"/>
      <c r="V215" s="398" t="n"/>
      <c r="W215" s="398" t="n"/>
      <c r="X215" s="398" t="n"/>
      <c r="Y215" s="398" t="n"/>
      <c r="Z215" s="398" t="n"/>
    </row>
    <row r="216">
      <c r="A216" s="398" t="n"/>
      <c r="B216" s="398" t="n"/>
      <c r="C216" s="398" t="n"/>
      <c r="D216" s="398" t="n"/>
      <c r="E216" s="398" t="n"/>
      <c r="F216" s="398" t="n"/>
      <c r="G216" s="398" t="n"/>
      <c r="H216" s="398" t="n"/>
      <c r="I216" s="398" t="n"/>
      <c r="J216" s="398" t="n"/>
      <c r="K216" s="398" t="n"/>
      <c r="L216" s="398" t="n"/>
      <c r="M216" s="398" t="n"/>
      <c r="N216" s="398" t="n"/>
      <c r="O216" s="398" t="n"/>
      <c r="P216" s="398" t="n"/>
      <c r="Q216" s="398" t="n"/>
      <c r="R216" s="398" t="n"/>
      <c r="S216" s="398" t="n"/>
      <c r="T216" s="398" t="n"/>
      <c r="U216" s="398" t="n"/>
      <c r="V216" s="398" t="n"/>
      <c r="W216" s="398" t="n"/>
      <c r="X216" s="398" t="n"/>
      <c r="Y216" s="398" t="n"/>
      <c r="Z216" s="398" t="n"/>
    </row>
    <row r="217">
      <c r="A217" s="398" t="n"/>
      <c r="B217" s="398" t="n"/>
      <c r="C217" s="398" t="n"/>
      <c r="D217" s="398" t="n"/>
      <c r="E217" s="398" t="n"/>
      <c r="F217" s="398" t="n"/>
      <c r="G217" s="398" t="n"/>
      <c r="H217" s="398" t="n"/>
      <c r="I217" s="398" t="n"/>
      <c r="J217" s="398" t="n"/>
      <c r="K217" s="398" t="n"/>
      <c r="L217" s="398" t="n"/>
      <c r="M217" s="398" t="n"/>
      <c r="N217" s="398" t="n"/>
      <c r="O217" s="398" t="n"/>
      <c r="P217" s="398" t="n"/>
      <c r="Q217" s="398" t="n"/>
      <c r="R217" s="398" t="n"/>
      <c r="S217" s="398" t="n"/>
      <c r="T217" s="398" t="n"/>
      <c r="U217" s="398" t="n"/>
      <c r="V217" s="398" t="n"/>
      <c r="W217" s="398" t="n"/>
      <c r="X217" s="398" t="n"/>
      <c r="Y217" s="398" t="n"/>
      <c r="Z217" s="398" t="n"/>
    </row>
    <row r="218">
      <c r="A218" s="398" t="n"/>
      <c r="B218" s="398" t="n"/>
      <c r="C218" s="398" t="n"/>
      <c r="D218" s="398" t="n"/>
      <c r="E218" s="398" t="n"/>
      <c r="F218" s="398" t="n"/>
      <c r="G218" s="398" t="n"/>
      <c r="H218" s="398" t="n"/>
      <c r="I218" s="398" t="n"/>
      <c r="J218" s="398" t="n"/>
      <c r="K218" s="398" t="n"/>
      <c r="L218" s="398" t="n"/>
      <c r="M218" s="398" t="n"/>
      <c r="N218" s="398" t="n"/>
      <c r="O218" s="398" t="n"/>
      <c r="P218" s="398" t="n"/>
      <c r="Q218" s="398" t="n"/>
      <c r="R218" s="398" t="n"/>
      <c r="S218" s="398" t="n"/>
      <c r="T218" s="398" t="n"/>
      <c r="U218" s="398" t="n"/>
      <c r="V218" s="398" t="n"/>
      <c r="W218" s="398" t="n"/>
      <c r="X218" s="398" t="n"/>
      <c r="Y218" s="398" t="n"/>
      <c r="Z218" s="398" t="n"/>
    </row>
    <row r="219">
      <c r="A219" s="398" t="n"/>
      <c r="B219" s="398" t="n"/>
      <c r="C219" s="398" t="n"/>
      <c r="D219" s="398" t="n"/>
      <c r="E219" s="398" t="n"/>
      <c r="F219" s="398" t="n"/>
      <c r="G219" s="398" t="n"/>
      <c r="H219" s="398" t="n"/>
      <c r="I219" s="398" t="n"/>
      <c r="J219" s="398" t="n"/>
      <c r="K219" s="398" t="n"/>
      <c r="L219" s="398" t="n"/>
      <c r="M219" s="398" t="n"/>
      <c r="N219" s="398" t="n"/>
      <c r="O219" s="398" t="n"/>
      <c r="P219" s="398" t="n"/>
      <c r="Q219" s="398" t="n"/>
      <c r="R219" s="398" t="n"/>
      <c r="S219" s="398" t="n"/>
      <c r="T219" s="398" t="n"/>
      <c r="U219" s="398" t="n"/>
      <c r="V219" s="398" t="n"/>
      <c r="W219" s="398" t="n"/>
      <c r="X219" s="398" t="n"/>
      <c r="Y219" s="398" t="n"/>
      <c r="Z219" s="398" t="n"/>
    </row>
    <row r="220">
      <c r="A220" s="398" t="n"/>
      <c r="B220" s="398" t="n"/>
      <c r="C220" s="398" t="n"/>
      <c r="D220" s="398" t="n"/>
      <c r="E220" s="398" t="n"/>
      <c r="F220" s="398" t="n"/>
      <c r="G220" s="398" t="n"/>
      <c r="H220" s="398" t="n"/>
      <c r="I220" s="398" t="n"/>
      <c r="J220" s="398" t="n"/>
      <c r="K220" s="398" t="n"/>
      <c r="L220" s="398" t="n"/>
      <c r="M220" s="398" t="n"/>
      <c r="N220" s="398" t="n"/>
      <c r="O220" s="398" t="n"/>
      <c r="P220" s="398" t="n"/>
      <c r="Q220" s="398" t="n"/>
      <c r="R220" s="398" t="n"/>
      <c r="S220" s="398" t="n"/>
      <c r="T220" s="398" t="n"/>
      <c r="U220" s="398" t="n"/>
      <c r="V220" s="398" t="n"/>
      <c r="W220" s="398" t="n"/>
      <c r="X220" s="398" t="n"/>
      <c r="Y220" s="398" t="n"/>
      <c r="Z220" s="398" t="n"/>
    </row>
    <row r="221">
      <c r="A221" s="398" t="n"/>
      <c r="B221" s="398" t="n"/>
      <c r="C221" s="398" t="n"/>
      <c r="D221" s="398" t="n"/>
      <c r="E221" s="398" t="n"/>
      <c r="F221" s="398" t="n"/>
      <c r="G221" s="398" t="n"/>
      <c r="H221" s="398" t="n"/>
      <c r="I221" s="398" t="n"/>
      <c r="J221" s="398" t="n"/>
      <c r="K221" s="398" t="n"/>
      <c r="L221" s="398" t="n"/>
      <c r="M221" s="398" t="n"/>
      <c r="N221" s="398" t="n"/>
      <c r="O221" s="398" t="n"/>
      <c r="P221" s="398" t="n"/>
      <c r="Q221" s="398" t="n"/>
      <c r="R221" s="398" t="n"/>
      <c r="S221" s="398" t="n"/>
      <c r="T221" s="398" t="n"/>
      <c r="U221" s="398" t="n"/>
      <c r="V221" s="398" t="n"/>
      <c r="W221" s="398" t="n"/>
      <c r="X221" s="398" t="n"/>
      <c r="Y221" s="398" t="n"/>
      <c r="Z221" s="398" t="n"/>
    </row>
    <row r="222">
      <c r="A222" s="398" t="n"/>
      <c r="B222" s="398" t="n"/>
      <c r="C222" s="398" t="n"/>
      <c r="D222" s="398" t="n"/>
      <c r="E222" s="398" t="n"/>
      <c r="F222" s="398" t="n"/>
      <c r="G222" s="398" t="n"/>
      <c r="H222" s="398" t="n"/>
      <c r="I222" s="398" t="n"/>
      <c r="J222" s="398" t="n"/>
      <c r="K222" s="398" t="n"/>
      <c r="L222" s="398" t="n"/>
      <c r="M222" s="398" t="n"/>
      <c r="N222" s="398" t="n"/>
      <c r="O222" s="398" t="n"/>
      <c r="P222" s="398" t="n"/>
      <c r="Q222" s="398" t="n"/>
      <c r="R222" s="398" t="n"/>
      <c r="S222" s="398" t="n"/>
      <c r="T222" s="398" t="n"/>
      <c r="U222" s="398" t="n"/>
      <c r="V222" s="398" t="n"/>
      <c r="W222" s="398" t="n"/>
      <c r="X222" s="398" t="n"/>
      <c r="Y222" s="398" t="n"/>
      <c r="Z222" s="398" t="n"/>
    </row>
    <row r="223">
      <c r="A223" s="398" t="n"/>
      <c r="B223" s="398" t="n"/>
      <c r="C223" s="398" t="n"/>
      <c r="D223" s="398" t="n"/>
      <c r="E223" s="398" t="n"/>
      <c r="F223" s="398" t="n"/>
      <c r="G223" s="398" t="n"/>
      <c r="H223" s="398" t="n"/>
      <c r="I223" s="398" t="n"/>
      <c r="J223" s="398" t="n"/>
      <c r="K223" s="398" t="n"/>
      <c r="L223" s="398" t="n"/>
      <c r="M223" s="398" t="n"/>
      <c r="N223" s="398" t="n"/>
      <c r="O223" s="398" t="n"/>
      <c r="P223" s="398" t="n"/>
      <c r="Q223" s="398" t="n"/>
      <c r="R223" s="398" t="n"/>
      <c r="S223" s="398" t="n"/>
      <c r="T223" s="398" t="n"/>
      <c r="U223" s="398" t="n"/>
      <c r="V223" s="398" t="n"/>
      <c r="W223" s="398" t="n"/>
      <c r="X223" s="398" t="n"/>
      <c r="Y223" s="398" t="n"/>
      <c r="Z223" s="398" t="n"/>
    </row>
    <row r="224">
      <c r="A224" s="398" t="n"/>
      <c r="B224" s="398" t="n"/>
      <c r="C224" s="398" t="n"/>
      <c r="D224" s="398" t="n"/>
      <c r="E224" s="398" t="n"/>
      <c r="F224" s="398" t="n"/>
      <c r="G224" s="398" t="n"/>
      <c r="H224" s="398" t="n"/>
      <c r="I224" s="398" t="n"/>
      <c r="J224" s="398" t="n"/>
      <c r="K224" s="398" t="n"/>
      <c r="L224" s="398" t="n"/>
      <c r="M224" s="398" t="n"/>
      <c r="N224" s="398" t="n"/>
      <c r="O224" s="398" t="n"/>
      <c r="P224" s="398" t="n"/>
      <c r="Q224" s="398" t="n"/>
      <c r="R224" s="398" t="n"/>
      <c r="S224" s="398" t="n"/>
      <c r="T224" s="398" t="n"/>
      <c r="U224" s="398" t="n"/>
      <c r="V224" s="398" t="n"/>
      <c r="W224" s="398" t="n"/>
      <c r="X224" s="398" t="n"/>
      <c r="Y224" s="398" t="n"/>
      <c r="Z224" s="398" t="n"/>
    </row>
    <row r="225">
      <c r="A225" s="398" t="n"/>
      <c r="B225" s="398" t="n"/>
      <c r="C225" s="398" t="n"/>
      <c r="D225" s="398" t="n"/>
      <c r="E225" s="398" t="n"/>
      <c r="F225" s="398" t="n"/>
      <c r="G225" s="398" t="n"/>
      <c r="H225" s="398" t="n"/>
      <c r="I225" s="398" t="n"/>
      <c r="J225" s="398" t="n"/>
      <c r="K225" s="398" t="n"/>
      <c r="L225" s="398" t="n"/>
      <c r="M225" s="398" t="n"/>
      <c r="N225" s="398" t="n"/>
      <c r="O225" s="398" t="n"/>
      <c r="P225" s="398" t="n"/>
      <c r="Q225" s="398" t="n"/>
      <c r="R225" s="398" t="n"/>
      <c r="S225" s="398" t="n"/>
      <c r="T225" s="398" t="n"/>
      <c r="U225" s="398" t="n"/>
      <c r="V225" s="398" t="n"/>
      <c r="W225" s="398" t="n"/>
      <c r="X225" s="398" t="n"/>
      <c r="Y225" s="398" t="n"/>
      <c r="Z225" s="398" t="n"/>
    </row>
    <row r="226">
      <c r="A226" s="398" t="n"/>
      <c r="B226" s="398" t="n"/>
      <c r="C226" s="398" t="n"/>
      <c r="D226" s="398" t="n"/>
      <c r="E226" s="398" t="n"/>
      <c r="F226" s="398" t="n"/>
      <c r="G226" s="398" t="n"/>
      <c r="H226" s="398" t="n"/>
      <c r="I226" s="398" t="n"/>
      <c r="J226" s="398" t="n"/>
      <c r="K226" s="398" t="n"/>
      <c r="L226" s="398" t="n"/>
      <c r="M226" s="398" t="n"/>
      <c r="N226" s="398" t="n"/>
      <c r="O226" s="398" t="n"/>
      <c r="P226" s="398" t="n"/>
      <c r="Q226" s="398" t="n"/>
      <c r="R226" s="398" t="n"/>
      <c r="S226" s="398" t="n"/>
      <c r="T226" s="398" t="n"/>
      <c r="U226" s="398" t="n"/>
      <c r="V226" s="398" t="n"/>
      <c r="W226" s="398" t="n"/>
      <c r="X226" s="398" t="n"/>
      <c r="Y226" s="398" t="n"/>
      <c r="Z226" s="398" t="n"/>
    </row>
    <row r="227">
      <c r="A227" s="398" t="n"/>
      <c r="B227" s="398" t="n"/>
      <c r="C227" s="398" t="n"/>
      <c r="D227" s="398" t="n"/>
      <c r="E227" s="398" t="n"/>
      <c r="F227" s="398" t="n"/>
      <c r="G227" s="398" t="n"/>
      <c r="H227" s="398" t="n"/>
      <c r="I227" s="398" t="n"/>
      <c r="J227" s="398" t="n"/>
      <c r="K227" s="398" t="n"/>
      <c r="L227" s="398" t="n"/>
      <c r="M227" s="398" t="n"/>
      <c r="N227" s="398" t="n"/>
      <c r="O227" s="398" t="n"/>
      <c r="P227" s="398" t="n"/>
      <c r="Q227" s="398" t="n"/>
      <c r="R227" s="398" t="n"/>
      <c r="S227" s="398" t="n"/>
      <c r="T227" s="398" t="n"/>
      <c r="U227" s="398" t="n"/>
      <c r="V227" s="398" t="n"/>
      <c r="W227" s="398" t="n"/>
      <c r="X227" s="398" t="n"/>
      <c r="Y227" s="398" t="n"/>
      <c r="Z227" s="398" t="n"/>
    </row>
    <row r="228">
      <c r="A228" s="398" t="n"/>
      <c r="B228" s="398" t="n"/>
      <c r="C228" s="398" t="n"/>
      <c r="D228" s="398" t="n"/>
      <c r="E228" s="398" t="n"/>
      <c r="F228" s="398" t="n"/>
      <c r="G228" s="398" t="n"/>
      <c r="H228" s="398" t="n"/>
      <c r="I228" s="398" t="n"/>
      <c r="J228" s="398" t="n"/>
      <c r="K228" s="398" t="n"/>
      <c r="L228" s="398" t="n"/>
      <c r="M228" s="398" t="n"/>
      <c r="N228" s="398" t="n"/>
      <c r="O228" s="398" t="n"/>
      <c r="P228" s="398" t="n"/>
      <c r="Q228" s="398" t="n"/>
      <c r="R228" s="398" t="n"/>
      <c r="S228" s="398" t="n"/>
      <c r="T228" s="398" t="n"/>
      <c r="U228" s="398" t="n"/>
      <c r="V228" s="398" t="n"/>
      <c r="W228" s="398" t="n"/>
      <c r="X228" s="398" t="n"/>
      <c r="Y228" s="398" t="n"/>
      <c r="Z228" s="398" t="n"/>
    </row>
    <row r="229">
      <c r="A229" s="398" t="n"/>
      <c r="B229" s="398" t="n"/>
      <c r="C229" s="398" t="n"/>
      <c r="D229" s="398" t="n"/>
      <c r="E229" s="398" t="n"/>
      <c r="F229" s="398" t="n"/>
      <c r="G229" s="398" t="n"/>
      <c r="H229" s="398" t="n"/>
      <c r="I229" s="398" t="n"/>
      <c r="J229" s="398" t="n"/>
      <c r="K229" s="398" t="n"/>
      <c r="L229" s="398" t="n"/>
      <c r="M229" s="398" t="n"/>
      <c r="N229" s="398" t="n"/>
      <c r="O229" s="398" t="n"/>
      <c r="P229" s="398" t="n"/>
      <c r="Q229" s="398" t="n"/>
      <c r="R229" s="398" t="n"/>
      <c r="S229" s="398" t="n"/>
      <c r="T229" s="398" t="n"/>
      <c r="U229" s="398" t="n"/>
      <c r="V229" s="398" t="n"/>
      <c r="W229" s="398" t="n"/>
      <c r="X229" s="398" t="n"/>
      <c r="Y229" s="398" t="n"/>
      <c r="Z229" s="398" t="n"/>
    </row>
    <row r="230">
      <c r="A230" s="398" t="n"/>
      <c r="B230" s="398" t="n"/>
      <c r="C230" s="398" t="n"/>
      <c r="D230" s="398" t="n"/>
      <c r="E230" s="398" t="n"/>
      <c r="F230" s="398" t="n"/>
      <c r="G230" s="398" t="n"/>
      <c r="H230" s="398" t="n"/>
      <c r="I230" s="398" t="n"/>
      <c r="J230" s="398" t="n"/>
      <c r="K230" s="398" t="n"/>
      <c r="L230" s="398" t="n"/>
      <c r="M230" s="398" t="n"/>
      <c r="N230" s="398" t="n"/>
      <c r="O230" s="398" t="n"/>
      <c r="P230" s="398" t="n"/>
      <c r="Q230" s="398" t="n"/>
      <c r="R230" s="398" t="n"/>
      <c r="S230" s="398" t="n"/>
      <c r="T230" s="398" t="n"/>
      <c r="U230" s="398" t="n"/>
      <c r="V230" s="398" t="n"/>
      <c r="W230" s="398" t="n"/>
      <c r="X230" s="398" t="n"/>
      <c r="Y230" s="398" t="n"/>
      <c r="Z230" s="398" t="n"/>
    </row>
    <row r="231">
      <c r="A231" s="398" t="n"/>
      <c r="B231" s="398" t="n"/>
      <c r="C231" s="398" t="n"/>
      <c r="D231" s="398" t="n"/>
      <c r="E231" s="398" t="n"/>
      <c r="F231" s="398" t="n"/>
      <c r="G231" s="398" t="n"/>
      <c r="H231" s="398" t="n"/>
      <c r="I231" s="398" t="n"/>
      <c r="J231" s="398" t="n"/>
      <c r="K231" s="398" t="n"/>
      <c r="L231" s="398" t="n"/>
      <c r="M231" s="398" t="n"/>
      <c r="N231" s="398" t="n"/>
      <c r="O231" s="398" t="n"/>
      <c r="P231" s="398" t="n"/>
      <c r="Q231" s="398" t="n"/>
      <c r="R231" s="398" t="n"/>
      <c r="S231" s="398" t="n"/>
      <c r="T231" s="398" t="n"/>
      <c r="U231" s="398" t="n"/>
      <c r="V231" s="398" t="n"/>
      <c r="W231" s="398" t="n"/>
      <c r="X231" s="398" t="n"/>
      <c r="Y231" s="398" t="n"/>
      <c r="Z231" s="398" t="n"/>
    </row>
    <row r="232">
      <c r="A232" s="398" t="n"/>
      <c r="B232" s="398" t="n"/>
      <c r="C232" s="398" t="n"/>
      <c r="D232" s="398" t="n"/>
      <c r="E232" s="398" t="n"/>
      <c r="F232" s="398" t="n"/>
      <c r="G232" s="398" t="n"/>
      <c r="H232" s="398" t="n"/>
      <c r="I232" s="398" t="n"/>
      <c r="J232" s="398" t="n"/>
      <c r="K232" s="398" t="n"/>
      <c r="L232" s="398" t="n"/>
      <c r="M232" s="398" t="n"/>
      <c r="N232" s="398" t="n"/>
      <c r="O232" s="398" t="n"/>
      <c r="P232" s="398" t="n"/>
      <c r="Q232" s="398" t="n"/>
      <c r="R232" s="398" t="n"/>
      <c r="S232" s="398" t="n"/>
      <c r="T232" s="398" t="n"/>
      <c r="U232" s="398" t="n"/>
      <c r="V232" s="398" t="n"/>
      <c r="W232" s="398" t="n"/>
      <c r="X232" s="398" t="n"/>
      <c r="Y232" s="398" t="n"/>
      <c r="Z232" s="398" t="n"/>
    </row>
    <row r="233">
      <c r="A233" s="398" t="n"/>
      <c r="B233" s="398" t="n"/>
      <c r="C233" s="398" t="n"/>
      <c r="D233" s="398" t="n"/>
      <c r="E233" s="398" t="n"/>
      <c r="F233" s="398" t="n"/>
      <c r="G233" s="398" t="n"/>
      <c r="H233" s="398" t="n"/>
      <c r="I233" s="398" t="n"/>
      <c r="J233" s="398" t="n"/>
      <c r="K233" s="398" t="n"/>
      <c r="L233" s="398" t="n"/>
      <c r="M233" s="398" t="n"/>
      <c r="N233" s="398" t="n"/>
      <c r="O233" s="398" t="n"/>
      <c r="P233" s="398" t="n"/>
      <c r="Q233" s="398" t="n"/>
      <c r="R233" s="398" t="n"/>
      <c r="S233" s="398" t="n"/>
      <c r="T233" s="398" t="n"/>
      <c r="U233" s="398" t="n"/>
      <c r="V233" s="398" t="n"/>
      <c r="W233" s="398" t="n"/>
      <c r="X233" s="398" t="n"/>
      <c r="Y233" s="398" t="n"/>
      <c r="Z233" s="398" t="n"/>
    </row>
    <row r="234">
      <c r="A234" s="398" t="n"/>
      <c r="B234" s="398" t="n"/>
      <c r="C234" s="398" t="n"/>
      <c r="D234" s="398" t="n"/>
      <c r="E234" s="398" t="n"/>
      <c r="F234" s="398" t="n"/>
      <c r="G234" s="398" t="n"/>
      <c r="H234" s="398" t="n"/>
      <c r="I234" s="398" t="n"/>
      <c r="J234" s="398" t="n"/>
      <c r="K234" s="398" t="n"/>
      <c r="L234" s="398" t="n"/>
      <c r="M234" s="398" t="n"/>
      <c r="N234" s="398" t="n"/>
      <c r="O234" s="398" t="n"/>
      <c r="P234" s="398" t="n"/>
      <c r="Q234" s="398" t="n"/>
      <c r="R234" s="398" t="n"/>
      <c r="S234" s="398" t="n"/>
      <c r="T234" s="398" t="n"/>
      <c r="U234" s="398" t="n"/>
      <c r="V234" s="398" t="n"/>
      <c r="W234" s="398" t="n"/>
      <c r="X234" s="398" t="n"/>
      <c r="Y234" s="398" t="n"/>
      <c r="Z234" s="398" t="n"/>
    </row>
    <row r="235">
      <c r="A235" s="398" t="n"/>
      <c r="B235" s="398" t="n"/>
      <c r="C235" s="398" t="n"/>
      <c r="D235" s="398" t="n"/>
      <c r="E235" s="398" t="n"/>
      <c r="F235" s="398" t="n"/>
      <c r="G235" s="398" t="n"/>
      <c r="H235" s="398" t="n"/>
      <c r="I235" s="398" t="n"/>
      <c r="J235" s="398" t="n"/>
      <c r="K235" s="398" t="n"/>
      <c r="L235" s="398" t="n"/>
      <c r="M235" s="398" t="n"/>
      <c r="N235" s="398" t="n"/>
      <c r="O235" s="398" t="n"/>
      <c r="P235" s="398" t="n"/>
      <c r="Q235" s="398" t="n"/>
      <c r="R235" s="398" t="n"/>
      <c r="S235" s="398" t="n"/>
      <c r="T235" s="398" t="n"/>
      <c r="U235" s="398" t="n"/>
      <c r="V235" s="398" t="n"/>
      <c r="W235" s="398" t="n"/>
      <c r="X235" s="398" t="n"/>
      <c r="Y235" s="398" t="n"/>
      <c r="Z235" s="398" t="n"/>
    </row>
    <row r="236">
      <c r="A236" s="398" t="n"/>
      <c r="B236" s="398" t="n"/>
      <c r="C236" s="398" t="n"/>
      <c r="D236" s="398" t="n"/>
      <c r="E236" s="398" t="n"/>
      <c r="F236" s="398" t="n"/>
      <c r="G236" s="398" t="n"/>
      <c r="H236" s="398" t="n"/>
      <c r="I236" s="398" t="n"/>
      <c r="J236" s="398" t="n"/>
      <c r="K236" s="398" t="n"/>
      <c r="L236" s="398" t="n"/>
      <c r="M236" s="398" t="n"/>
      <c r="N236" s="398" t="n"/>
      <c r="O236" s="398" t="n"/>
      <c r="P236" s="398" t="n"/>
      <c r="Q236" s="398" t="n"/>
      <c r="R236" s="398" t="n"/>
      <c r="S236" s="398" t="n"/>
      <c r="T236" s="398" t="n"/>
      <c r="U236" s="398" t="n"/>
      <c r="V236" s="398" t="n"/>
      <c r="W236" s="398" t="n"/>
      <c r="X236" s="398" t="n"/>
      <c r="Y236" s="398" t="n"/>
      <c r="Z236" s="398" t="n"/>
    </row>
    <row r="237">
      <c r="A237" s="398" t="n"/>
      <c r="B237" s="398" t="n"/>
      <c r="C237" s="398" t="n"/>
      <c r="D237" s="398" t="n"/>
      <c r="E237" s="398" t="n"/>
      <c r="F237" s="398" t="n"/>
      <c r="G237" s="398" t="n"/>
      <c r="H237" s="398" t="n"/>
      <c r="I237" s="398" t="n"/>
      <c r="J237" s="398" t="n"/>
      <c r="K237" s="398" t="n"/>
      <c r="L237" s="398" t="n"/>
      <c r="M237" s="398" t="n"/>
      <c r="N237" s="398" t="n"/>
      <c r="O237" s="398" t="n"/>
      <c r="P237" s="398" t="n"/>
      <c r="Q237" s="398" t="n"/>
      <c r="R237" s="398" t="n"/>
      <c r="S237" s="398" t="n"/>
      <c r="T237" s="398" t="n"/>
      <c r="U237" s="398" t="n"/>
      <c r="V237" s="398" t="n"/>
      <c r="W237" s="398" t="n"/>
      <c r="X237" s="398" t="n"/>
      <c r="Y237" s="398" t="n"/>
      <c r="Z237" s="398" t="n"/>
    </row>
    <row r="238">
      <c r="A238" s="398" t="n"/>
      <c r="B238" s="398" t="n"/>
      <c r="C238" s="398" t="n"/>
      <c r="D238" s="398" t="n"/>
      <c r="E238" s="398" t="n"/>
      <c r="F238" s="398" t="n"/>
      <c r="G238" s="398" t="n"/>
      <c r="H238" s="398" t="n"/>
      <c r="I238" s="398" t="n"/>
      <c r="J238" s="398" t="n"/>
      <c r="K238" s="398" t="n"/>
      <c r="L238" s="398" t="n"/>
      <c r="M238" s="398" t="n"/>
      <c r="N238" s="398" t="n"/>
      <c r="O238" s="398" t="n"/>
      <c r="P238" s="398" t="n"/>
      <c r="Q238" s="398" t="n"/>
      <c r="R238" s="398" t="n"/>
      <c r="S238" s="398" t="n"/>
      <c r="T238" s="398" t="n"/>
      <c r="U238" s="398" t="n"/>
      <c r="V238" s="398" t="n"/>
      <c r="W238" s="398" t="n"/>
      <c r="X238" s="398" t="n"/>
      <c r="Y238" s="398" t="n"/>
      <c r="Z238" s="398" t="n"/>
    </row>
    <row r="239">
      <c r="A239" s="398" t="n"/>
      <c r="B239" s="398" t="n"/>
      <c r="C239" s="398" t="n"/>
      <c r="D239" s="398" t="n"/>
      <c r="E239" s="398" t="n"/>
      <c r="F239" s="398" t="n"/>
      <c r="G239" s="398" t="n"/>
      <c r="H239" s="398" t="n"/>
      <c r="I239" s="398" t="n"/>
      <c r="J239" s="398" t="n"/>
      <c r="K239" s="398" t="n"/>
      <c r="L239" s="398" t="n"/>
      <c r="M239" s="398" t="n"/>
      <c r="N239" s="398" t="n"/>
      <c r="O239" s="398" t="n"/>
      <c r="P239" s="398" t="n"/>
      <c r="Q239" s="398" t="n"/>
      <c r="R239" s="398" t="n"/>
      <c r="S239" s="398" t="n"/>
      <c r="T239" s="398" t="n"/>
      <c r="U239" s="398" t="n"/>
      <c r="V239" s="398" t="n"/>
      <c r="W239" s="398" t="n"/>
      <c r="X239" s="398" t="n"/>
      <c r="Y239" s="398" t="n"/>
      <c r="Z239" s="398" t="n"/>
    </row>
    <row r="240">
      <c r="A240" s="398" t="n"/>
      <c r="B240" s="398" t="n"/>
      <c r="C240" s="398" t="n"/>
      <c r="D240" s="398" t="n"/>
      <c r="E240" s="398" t="n"/>
      <c r="F240" s="398" t="n"/>
      <c r="G240" s="398" t="n"/>
      <c r="H240" s="398" t="n"/>
      <c r="I240" s="398" t="n"/>
      <c r="J240" s="398" t="n"/>
      <c r="K240" s="398" t="n"/>
      <c r="L240" s="398" t="n"/>
      <c r="M240" s="398" t="n"/>
      <c r="N240" s="398" t="n"/>
      <c r="O240" s="398" t="n"/>
      <c r="P240" s="398" t="n"/>
      <c r="Q240" s="398" t="n"/>
      <c r="R240" s="398" t="n"/>
      <c r="S240" s="398" t="n"/>
      <c r="T240" s="398" t="n"/>
      <c r="U240" s="398" t="n"/>
      <c r="V240" s="398" t="n"/>
      <c r="W240" s="398" t="n"/>
      <c r="X240" s="398" t="n"/>
      <c r="Y240" s="398" t="n"/>
      <c r="Z240" s="398" t="n"/>
    </row>
    <row r="241">
      <c r="A241" s="398" t="n"/>
      <c r="B241" s="398" t="n"/>
      <c r="C241" s="398" t="n"/>
      <c r="D241" s="398" t="n"/>
      <c r="E241" s="398" t="n"/>
      <c r="F241" s="398" t="n"/>
      <c r="G241" s="398" t="n"/>
      <c r="H241" s="398" t="n"/>
      <c r="I241" s="398" t="n"/>
      <c r="J241" s="398" t="n"/>
      <c r="K241" s="398" t="n"/>
      <c r="L241" s="398" t="n"/>
      <c r="M241" s="398" t="n"/>
      <c r="N241" s="398" t="n"/>
      <c r="O241" s="398" t="n"/>
      <c r="P241" s="398" t="n"/>
      <c r="Q241" s="398" t="n"/>
      <c r="R241" s="398" t="n"/>
      <c r="S241" s="398" t="n"/>
      <c r="T241" s="398" t="n"/>
      <c r="U241" s="398" t="n"/>
      <c r="V241" s="398" t="n"/>
      <c r="W241" s="398" t="n"/>
      <c r="X241" s="398" t="n"/>
      <c r="Y241" s="398" t="n"/>
      <c r="Z241" s="398" t="n"/>
    </row>
    <row r="242">
      <c r="A242" s="398" t="n"/>
      <c r="B242" s="398" t="n"/>
      <c r="C242" s="398" t="n"/>
      <c r="D242" s="398" t="n"/>
      <c r="E242" s="398" t="n"/>
      <c r="F242" s="398" t="n"/>
      <c r="G242" s="398" t="n"/>
      <c r="H242" s="398" t="n"/>
      <c r="I242" s="398" t="n"/>
      <c r="J242" s="398" t="n"/>
      <c r="K242" s="398" t="n"/>
      <c r="L242" s="398" t="n"/>
      <c r="M242" s="398" t="n"/>
      <c r="N242" s="398" t="n"/>
      <c r="O242" s="398" t="n"/>
      <c r="P242" s="398" t="n"/>
      <c r="Q242" s="398" t="n"/>
      <c r="R242" s="398" t="n"/>
      <c r="S242" s="398" t="n"/>
      <c r="T242" s="398" t="n"/>
      <c r="U242" s="398" t="n"/>
      <c r="V242" s="398" t="n"/>
      <c r="W242" s="398" t="n"/>
      <c r="X242" s="398" t="n"/>
      <c r="Y242" s="398" t="n"/>
      <c r="Z242" s="398" t="n"/>
    </row>
    <row r="243">
      <c r="A243" s="398" t="n"/>
      <c r="B243" s="398" t="n"/>
      <c r="C243" s="398" t="n"/>
      <c r="D243" s="398" t="n"/>
      <c r="E243" s="398" t="n"/>
      <c r="F243" s="398" t="n"/>
      <c r="G243" s="398" t="n"/>
      <c r="H243" s="398" t="n"/>
      <c r="I243" s="398" t="n"/>
      <c r="J243" s="398" t="n"/>
      <c r="K243" s="398" t="n"/>
      <c r="L243" s="398" t="n"/>
      <c r="M243" s="398" t="n"/>
      <c r="N243" s="398" t="n"/>
      <c r="O243" s="398" t="n"/>
      <c r="P243" s="398" t="n"/>
      <c r="Q243" s="398" t="n"/>
      <c r="R243" s="398" t="n"/>
      <c r="S243" s="398" t="n"/>
      <c r="T243" s="398" t="n"/>
      <c r="U243" s="398" t="n"/>
      <c r="V243" s="398" t="n"/>
      <c r="W243" s="398" t="n"/>
      <c r="X243" s="398" t="n"/>
      <c r="Y243" s="398" t="n"/>
      <c r="Z243" s="398" t="n"/>
    </row>
    <row r="244">
      <c r="A244" s="398" t="n"/>
      <c r="B244" s="398" t="n"/>
      <c r="C244" s="398" t="n"/>
      <c r="D244" s="398" t="n"/>
      <c r="E244" s="398" t="n"/>
      <c r="F244" s="398" t="n"/>
      <c r="G244" s="398" t="n"/>
      <c r="H244" s="398" t="n"/>
      <c r="I244" s="398" t="n"/>
      <c r="J244" s="398" t="n"/>
      <c r="K244" s="398" t="n"/>
      <c r="L244" s="398" t="n"/>
      <c r="M244" s="398" t="n"/>
      <c r="N244" s="398" t="n"/>
      <c r="O244" s="398" t="n"/>
      <c r="P244" s="398" t="n"/>
      <c r="Q244" s="398" t="n"/>
      <c r="R244" s="398" t="n"/>
      <c r="S244" s="398" t="n"/>
      <c r="T244" s="398" t="n"/>
      <c r="U244" s="398" t="n"/>
      <c r="V244" s="398" t="n"/>
      <c r="W244" s="398" t="n"/>
      <c r="X244" s="398" t="n"/>
      <c r="Y244" s="398" t="n"/>
      <c r="Z244" s="398" t="n"/>
    </row>
    <row r="245">
      <c r="A245" s="398" t="n"/>
      <c r="B245" s="398" t="n"/>
      <c r="C245" s="398" t="n"/>
      <c r="D245" s="398" t="n"/>
      <c r="E245" s="398" t="n"/>
      <c r="F245" s="398" t="n"/>
      <c r="G245" s="398" t="n"/>
      <c r="H245" s="398" t="n"/>
      <c r="I245" s="398" t="n"/>
      <c r="J245" s="398" t="n"/>
      <c r="K245" s="398" t="n"/>
      <c r="L245" s="398" t="n"/>
      <c r="M245" s="398" t="n"/>
      <c r="N245" s="398" t="n"/>
      <c r="O245" s="398" t="n"/>
      <c r="P245" s="398" t="n"/>
      <c r="Q245" s="398" t="n"/>
      <c r="R245" s="398" t="n"/>
      <c r="S245" s="398" t="n"/>
      <c r="T245" s="398" t="n"/>
      <c r="U245" s="398" t="n"/>
      <c r="V245" s="398" t="n"/>
      <c r="W245" s="398" t="n"/>
      <c r="X245" s="398" t="n"/>
      <c r="Y245" s="398" t="n"/>
      <c r="Z245" s="398" t="n"/>
    </row>
    <row r="246">
      <c r="A246" s="398" t="n"/>
      <c r="B246" s="398" t="n"/>
      <c r="C246" s="398" t="n"/>
      <c r="D246" s="398" t="n"/>
      <c r="E246" s="398" t="n"/>
      <c r="F246" s="398" t="n"/>
      <c r="G246" s="398" t="n"/>
      <c r="H246" s="398" t="n"/>
      <c r="I246" s="398" t="n"/>
      <c r="J246" s="398" t="n"/>
      <c r="K246" s="398" t="n"/>
      <c r="L246" s="398" t="n"/>
      <c r="M246" s="398" t="n"/>
      <c r="N246" s="398" t="n"/>
      <c r="O246" s="398" t="n"/>
      <c r="P246" s="398" t="n"/>
      <c r="Q246" s="398" t="n"/>
      <c r="R246" s="398" t="n"/>
      <c r="S246" s="398" t="n"/>
      <c r="T246" s="398" t="n"/>
      <c r="U246" s="398" t="n"/>
      <c r="V246" s="398" t="n"/>
      <c r="W246" s="398" t="n"/>
      <c r="X246" s="398" t="n"/>
      <c r="Y246" s="398" t="n"/>
      <c r="Z246" s="398" t="n"/>
    </row>
    <row r="247">
      <c r="A247" s="398" t="n"/>
      <c r="B247" s="398" t="n"/>
      <c r="C247" s="398" t="n"/>
      <c r="D247" s="398" t="n"/>
      <c r="E247" s="398" t="n"/>
      <c r="F247" s="398" t="n"/>
      <c r="G247" s="398" t="n"/>
      <c r="H247" s="398" t="n"/>
      <c r="I247" s="398" t="n"/>
      <c r="J247" s="398" t="n"/>
      <c r="K247" s="398" t="n"/>
      <c r="L247" s="398" t="n"/>
      <c r="M247" s="398" t="n"/>
      <c r="N247" s="398" t="n"/>
      <c r="O247" s="398" t="n"/>
      <c r="P247" s="398" t="n"/>
      <c r="Q247" s="398" t="n"/>
      <c r="R247" s="398" t="n"/>
      <c r="S247" s="398" t="n"/>
      <c r="T247" s="398" t="n"/>
      <c r="U247" s="398" t="n"/>
      <c r="V247" s="398" t="n"/>
      <c r="W247" s="398" t="n"/>
      <c r="X247" s="398" t="n"/>
      <c r="Y247" s="398" t="n"/>
      <c r="Z247" s="398" t="n"/>
    </row>
    <row r="248">
      <c r="A248" s="398" t="n"/>
      <c r="B248" s="398" t="n"/>
      <c r="C248" s="398" t="n"/>
      <c r="D248" s="398" t="n"/>
      <c r="E248" s="398" t="n"/>
      <c r="F248" s="398" t="n"/>
      <c r="G248" s="398" t="n"/>
      <c r="H248" s="398" t="n"/>
      <c r="I248" s="398" t="n"/>
      <c r="J248" s="398" t="n"/>
      <c r="K248" s="398" t="n"/>
      <c r="L248" s="398" t="n"/>
      <c r="M248" s="398" t="n"/>
      <c r="N248" s="398" t="n"/>
      <c r="O248" s="398" t="n"/>
      <c r="P248" s="398" t="n"/>
      <c r="Q248" s="398" t="n"/>
      <c r="R248" s="398" t="n"/>
      <c r="S248" s="398" t="n"/>
      <c r="T248" s="398" t="n"/>
      <c r="U248" s="398" t="n"/>
      <c r="V248" s="398" t="n"/>
      <c r="W248" s="398" t="n"/>
      <c r="X248" s="398" t="n"/>
      <c r="Y248" s="398" t="n"/>
      <c r="Z248" s="398" t="n"/>
    </row>
    <row r="249">
      <c r="A249" s="398" t="n"/>
      <c r="B249" s="398" t="n"/>
      <c r="C249" s="398" t="n"/>
      <c r="D249" s="398" t="n"/>
      <c r="E249" s="398" t="n"/>
      <c r="F249" s="398" t="n"/>
      <c r="G249" s="398" t="n"/>
      <c r="H249" s="398" t="n"/>
      <c r="I249" s="398" t="n"/>
      <c r="J249" s="398" t="n"/>
      <c r="K249" s="398" t="n"/>
      <c r="L249" s="398" t="n"/>
      <c r="M249" s="398" t="n"/>
      <c r="N249" s="398" t="n"/>
      <c r="O249" s="398" t="n"/>
      <c r="P249" s="398" t="n"/>
      <c r="Q249" s="398" t="n"/>
      <c r="R249" s="398" t="n"/>
      <c r="S249" s="398" t="n"/>
      <c r="T249" s="398" t="n"/>
      <c r="U249" s="398" t="n"/>
      <c r="V249" s="398" t="n"/>
      <c r="W249" s="398" t="n"/>
      <c r="X249" s="398" t="n"/>
      <c r="Y249" s="398" t="n"/>
      <c r="Z249" s="398" t="n"/>
    </row>
    <row r="250">
      <c r="A250" s="398" t="n"/>
      <c r="B250" s="398" t="n"/>
      <c r="C250" s="398" t="n"/>
      <c r="D250" s="398" t="n"/>
      <c r="E250" s="398" t="n"/>
      <c r="F250" s="398" t="n"/>
      <c r="G250" s="398" t="n"/>
      <c r="H250" s="398" t="n"/>
      <c r="I250" s="398" t="n"/>
      <c r="J250" s="398" t="n"/>
      <c r="K250" s="398" t="n"/>
      <c r="L250" s="398" t="n"/>
      <c r="M250" s="398" t="n"/>
      <c r="N250" s="398" t="n"/>
      <c r="O250" s="398" t="n"/>
      <c r="P250" s="398" t="n"/>
      <c r="Q250" s="398" t="n"/>
      <c r="R250" s="398" t="n"/>
      <c r="S250" s="398" t="n"/>
      <c r="T250" s="398" t="n"/>
      <c r="U250" s="398" t="n"/>
      <c r="V250" s="398" t="n"/>
      <c r="W250" s="398" t="n"/>
      <c r="X250" s="398" t="n"/>
      <c r="Y250" s="398" t="n"/>
      <c r="Z250" s="398" t="n"/>
    </row>
    <row r="251">
      <c r="A251" s="398" t="n"/>
      <c r="B251" s="398" t="n"/>
      <c r="C251" s="398" t="n"/>
      <c r="D251" s="398" t="n"/>
      <c r="E251" s="398" t="n"/>
      <c r="F251" s="398" t="n"/>
      <c r="G251" s="398" t="n"/>
      <c r="H251" s="398" t="n"/>
      <c r="I251" s="398" t="n"/>
      <c r="J251" s="398" t="n"/>
      <c r="K251" s="398" t="n"/>
      <c r="L251" s="398" t="n"/>
      <c r="M251" s="398" t="n"/>
      <c r="N251" s="398" t="n"/>
      <c r="O251" s="398" t="n"/>
      <c r="P251" s="398" t="n"/>
      <c r="Q251" s="398" t="n"/>
      <c r="R251" s="398" t="n"/>
      <c r="S251" s="398" t="n"/>
      <c r="T251" s="398" t="n"/>
      <c r="U251" s="398" t="n"/>
      <c r="V251" s="398" t="n"/>
      <c r="W251" s="398" t="n"/>
      <c r="X251" s="398" t="n"/>
      <c r="Y251" s="398" t="n"/>
      <c r="Z251" s="398" t="n"/>
    </row>
    <row r="252">
      <c r="A252" s="398" t="n"/>
      <c r="B252" s="398" t="n"/>
      <c r="C252" s="398" t="n"/>
      <c r="D252" s="398" t="n"/>
      <c r="E252" s="398" t="n"/>
      <c r="F252" s="398" t="n"/>
      <c r="G252" s="398" t="n"/>
      <c r="H252" s="398" t="n"/>
      <c r="I252" s="398" t="n"/>
      <c r="J252" s="398" t="n"/>
      <c r="K252" s="398" t="n"/>
      <c r="L252" s="398" t="n"/>
      <c r="M252" s="398" t="n"/>
      <c r="N252" s="398" t="n"/>
      <c r="O252" s="398" t="n"/>
      <c r="P252" s="398" t="n"/>
      <c r="Q252" s="398" t="n"/>
      <c r="R252" s="398" t="n"/>
      <c r="S252" s="398" t="n"/>
      <c r="T252" s="398" t="n"/>
      <c r="U252" s="398" t="n"/>
      <c r="V252" s="398" t="n"/>
      <c r="W252" s="398" t="n"/>
      <c r="X252" s="398" t="n"/>
      <c r="Y252" s="398" t="n"/>
      <c r="Z252" s="398" t="n"/>
    </row>
    <row r="253">
      <c r="A253" s="398" t="n"/>
      <c r="B253" s="398" t="n"/>
      <c r="C253" s="398" t="n"/>
      <c r="D253" s="398" t="n"/>
      <c r="E253" s="398" t="n"/>
      <c r="F253" s="398" t="n"/>
      <c r="G253" s="398" t="n"/>
      <c r="H253" s="398" t="n"/>
      <c r="I253" s="398" t="n"/>
      <c r="J253" s="398" t="n"/>
      <c r="K253" s="398" t="n"/>
      <c r="L253" s="398" t="n"/>
      <c r="M253" s="398" t="n"/>
      <c r="N253" s="398" t="n"/>
      <c r="O253" s="398" t="n"/>
      <c r="P253" s="398" t="n"/>
      <c r="Q253" s="398" t="n"/>
      <c r="R253" s="398" t="n"/>
      <c r="S253" s="398" t="n"/>
      <c r="T253" s="398" t="n"/>
      <c r="U253" s="398" t="n"/>
      <c r="V253" s="398" t="n"/>
      <c r="W253" s="398" t="n"/>
      <c r="X253" s="398" t="n"/>
      <c r="Y253" s="398" t="n"/>
      <c r="Z253" s="398" t="n"/>
    </row>
    <row r="254">
      <c r="A254" s="398" t="n"/>
      <c r="B254" s="398" t="n"/>
      <c r="C254" s="398" t="n"/>
      <c r="D254" s="398" t="n"/>
      <c r="E254" s="398" t="n"/>
      <c r="F254" s="398" t="n"/>
      <c r="G254" s="398" t="n"/>
      <c r="H254" s="398" t="n"/>
      <c r="I254" s="398" t="n"/>
      <c r="J254" s="398" t="n"/>
      <c r="K254" s="398" t="n"/>
      <c r="L254" s="398" t="n"/>
      <c r="M254" s="398" t="n"/>
      <c r="N254" s="398" t="n"/>
      <c r="O254" s="398" t="n"/>
      <c r="P254" s="398" t="n"/>
      <c r="Q254" s="398" t="n"/>
      <c r="R254" s="398" t="n"/>
      <c r="S254" s="398" t="n"/>
      <c r="T254" s="398" t="n"/>
      <c r="U254" s="398" t="n"/>
      <c r="V254" s="398" t="n"/>
      <c r="W254" s="398" t="n"/>
      <c r="X254" s="398" t="n"/>
      <c r="Y254" s="398" t="n"/>
      <c r="Z254" s="398" t="n"/>
    </row>
    <row r="255">
      <c r="A255" s="398" t="n"/>
      <c r="B255" s="398" t="n"/>
      <c r="C255" s="398" t="n"/>
      <c r="D255" s="398" t="n"/>
      <c r="E255" s="398" t="n"/>
      <c r="F255" s="398" t="n"/>
      <c r="G255" s="398" t="n"/>
      <c r="H255" s="398" t="n"/>
      <c r="I255" s="398" t="n"/>
      <c r="J255" s="398" t="n"/>
      <c r="K255" s="398" t="n"/>
      <c r="L255" s="398" t="n"/>
      <c r="M255" s="398" t="n"/>
      <c r="N255" s="398" t="n"/>
      <c r="O255" s="398" t="n"/>
      <c r="P255" s="398" t="n"/>
      <c r="Q255" s="398" t="n"/>
      <c r="R255" s="398" t="n"/>
      <c r="S255" s="398" t="n"/>
      <c r="T255" s="398" t="n"/>
      <c r="U255" s="398" t="n"/>
      <c r="V255" s="398" t="n"/>
      <c r="W255" s="398" t="n"/>
      <c r="X255" s="398" t="n"/>
      <c r="Y255" s="398" t="n"/>
      <c r="Z255" s="398" t="n"/>
    </row>
    <row r="256">
      <c r="A256" s="398" t="n"/>
      <c r="B256" s="398" t="n"/>
      <c r="C256" s="398" t="n"/>
      <c r="D256" s="398" t="n"/>
      <c r="E256" s="398" t="n"/>
      <c r="F256" s="398" t="n"/>
      <c r="G256" s="398" t="n"/>
      <c r="H256" s="398" t="n"/>
      <c r="I256" s="398" t="n"/>
      <c r="J256" s="398" t="n"/>
      <c r="K256" s="398" t="n"/>
      <c r="L256" s="398" t="n"/>
      <c r="M256" s="398" t="n"/>
      <c r="N256" s="398" t="n"/>
      <c r="O256" s="398" t="n"/>
      <c r="P256" s="398" t="n"/>
      <c r="Q256" s="398" t="n"/>
      <c r="R256" s="398" t="n"/>
      <c r="S256" s="398" t="n"/>
      <c r="T256" s="398" t="n"/>
      <c r="U256" s="398" t="n"/>
      <c r="V256" s="398" t="n"/>
      <c r="W256" s="398" t="n"/>
      <c r="X256" s="398" t="n"/>
      <c r="Y256" s="398" t="n"/>
      <c r="Z256" s="398" t="n"/>
    </row>
    <row r="257">
      <c r="A257" s="398" t="n"/>
      <c r="B257" s="398" t="n"/>
      <c r="C257" s="398" t="n"/>
      <c r="D257" s="398" t="n"/>
      <c r="E257" s="398" t="n"/>
      <c r="F257" s="398" t="n"/>
      <c r="G257" s="398" t="n"/>
      <c r="H257" s="398" t="n"/>
      <c r="I257" s="398" t="n"/>
      <c r="J257" s="398" t="n"/>
      <c r="K257" s="398" t="n"/>
      <c r="L257" s="398" t="n"/>
      <c r="M257" s="398" t="n"/>
      <c r="N257" s="398" t="n"/>
      <c r="O257" s="398" t="n"/>
      <c r="P257" s="398" t="n"/>
      <c r="Q257" s="398" t="n"/>
      <c r="R257" s="398" t="n"/>
      <c r="S257" s="398" t="n"/>
      <c r="T257" s="398" t="n"/>
      <c r="U257" s="398" t="n"/>
      <c r="V257" s="398" t="n"/>
      <c r="W257" s="398" t="n"/>
      <c r="X257" s="398" t="n"/>
      <c r="Y257" s="398" t="n"/>
      <c r="Z257" s="398" t="n"/>
    </row>
    <row r="258">
      <c r="A258" s="398" t="n"/>
      <c r="B258" s="398" t="n"/>
      <c r="C258" s="398" t="n"/>
      <c r="D258" s="398" t="n"/>
      <c r="E258" s="398" t="n"/>
      <c r="F258" s="398" t="n"/>
      <c r="G258" s="398" t="n"/>
      <c r="H258" s="398" t="n"/>
      <c r="I258" s="398" t="n"/>
      <c r="J258" s="398" t="n"/>
      <c r="K258" s="398" t="n"/>
      <c r="L258" s="398" t="n"/>
      <c r="M258" s="398" t="n"/>
      <c r="N258" s="398" t="n"/>
      <c r="O258" s="398" t="n"/>
      <c r="P258" s="398" t="n"/>
      <c r="Q258" s="398" t="n"/>
      <c r="R258" s="398" t="n"/>
      <c r="S258" s="398" t="n"/>
      <c r="T258" s="398" t="n"/>
      <c r="U258" s="398" t="n"/>
      <c r="V258" s="398" t="n"/>
      <c r="W258" s="398" t="n"/>
      <c r="X258" s="398" t="n"/>
      <c r="Y258" s="398" t="n"/>
      <c r="Z258" s="398" t="n"/>
    </row>
    <row r="259">
      <c r="A259" s="398" t="n"/>
      <c r="B259" s="398" t="n"/>
      <c r="C259" s="398" t="n"/>
      <c r="D259" s="398" t="n"/>
      <c r="E259" s="398" t="n"/>
      <c r="F259" s="398" t="n"/>
      <c r="G259" s="398" t="n"/>
      <c r="H259" s="398" t="n"/>
      <c r="I259" s="398" t="n"/>
      <c r="J259" s="398" t="n"/>
      <c r="K259" s="398" t="n"/>
      <c r="L259" s="398" t="n"/>
      <c r="M259" s="398" t="n"/>
      <c r="N259" s="398" t="n"/>
      <c r="O259" s="398" t="n"/>
      <c r="P259" s="398" t="n"/>
      <c r="Q259" s="398" t="n"/>
      <c r="R259" s="398" t="n"/>
      <c r="S259" s="398" t="n"/>
      <c r="T259" s="398" t="n"/>
      <c r="U259" s="398" t="n"/>
      <c r="V259" s="398" t="n"/>
      <c r="W259" s="398" t="n"/>
      <c r="X259" s="398" t="n"/>
      <c r="Y259" s="398" t="n"/>
      <c r="Z259" s="398" t="n"/>
    </row>
    <row r="260">
      <c r="A260" s="398" t="n"/>
      <c r="B260" s="398" t="n"/>
      <c r="C260" s="398" t="n"/>
      <c r="D260" s="398" t="n"/>
      <c r="E260" s="398" t="n"/>
      <c r="F260" s="398" t="n"/>
      <c r="G260" s="398" t="n"/>
      <c r="H260" s="398" t="n"/>
      <c r="I260" s="398" t="n"/>
      <c r="J260" s="398" t="n"/>
      <c r="K260" s="398" t="n"/>
      <c r="L260" s="398" t="n"/>
      <c r="M260" s="398" t="n"/>
      <c r="N260" s="398" t="n"/>
      <c r="O260" s="398" t="n"/>
      <c r="P260" s="398" t="n"/>
      <c r="Q260" s="398" t="n"/>
      <c r="R260" s="398" t="n"/>
      <c r="S260" s="398" t="n"/>
      <c r="T260" s="398" t="n"/>
      <c r="U260" s="398" t="n"/>
      <c r="V260" s="398" t="n"/>
      <c r="W260" s="398" t="n"/>
      <c r="X260" s="398" t="n"/>
      <c r="Y260" s="398" t="n"/>
      <c r="Z260" s="398" t="n"/>
    </row>
    <row r="261">
      <c r="A261" s="398" t="n"/>
      <c r="B261" s="398" t="n"/>
      <c r="C261" s="398" t="n"/>
      <c r="D261" s="398" t="n"/>
      <c r="E261" s="398" t="n"/>
      <c r="F261" s="398" t="n"/>
      <c r="G261" s="398" t="n"/>
      <c r="H261" s="398" t="n"/>
      <c r="I261" s="398" t="n"/>
      <c r="J261" s="398" t="n"/>
      <c r="K261" s="398" t="n"/>
      <c r="L261" s="398" t="n"/>
      <c r="M261" s="398" t="n"/>
      <c r="N261" s="398" t="n"/>
      <c r="O261" s="398" t="n"/>
      <c r="P261" s="398" t="n"/>
      <c r="Q261" s="398" t="n"/>
      <c r="R261" s="398" t="n"/>
      <c r="S261" s="398" t="n"/>
      <c r="T261" s="398" t="n"/>
      <c r="U261" s="398" t="n"/>
      <c r="V261" s="398" t="n"/>
      <c r="W261" s="398" t="n"/>
      <c r="X261" s="398" t="n"/>
      <c r="Y261" s="398" t="n"/>
      <c r="Z261" s="398" t="n"/>
    </row>
    <row r="262">
      <c r="A262" s="398" t="n"/>
      <c r="B262" s="398" t="n"/>
      <c r="C262" s="398" t="n"/>
      <c r="D262" s="398" t="n"/>
      <c r="E262" s="398" t="n"/>
      <c r="F262" s="398" t="n"/>
      <c r="G262" s="398" t="n"/>
      <c r="H262" s="398" t="n"/>
      <c r="I262" s="398" t="n"/>
      <c r="J262" s="398" t="n"/>
      <c r="K262" s="398" t="n"/>
      <c r="L262" s="398" t="n"/>
      <c r="M262" s="398" t="n"/>
      <c r="N262" s="398" t="n"/>
      <c r="O262" s="398" t="n"/>
      <c r="P262" s="398" t="n"/>
      <c r="Q262" s="398" t="n"/>
      <c r="R262" s="398" t="n"/>
      <c r="S262" s="398" t="n"/>
      <c r="T262" s="398" t="n"/>
      <c r="U262" s="398" t="n"/>
      <c r="V262" s="398" t="n"/>
      <c r="W262" s="398" t="n"/>
      <c r="X262" s="398" t="n"/>
      <c r="Y262" s="398" t="n"/>
      <c r="Z262" s="398" t="n"/>
    </row>
    <row r="263">
      <c r="A263" s="398" t="n"/>
      <c r="B263" s="398" t="n"/>
      <c r="C263" s="398" t="n"/>
      <c r="D263" s="398" t="n"/>
      <c r="E263" s="398" t="n"/>
      <c r="F263" s="398" t="n"/>
      <c r="G263" s="398" t="n"/>
      <c r="H263" s="398" t="n"/>
      <c r="I263" s="398" t="n"/>
      <c r="J263" s="398" t="n"/>
      <c r="K263" s="398" t="n"/>
      <c r="L263" s="398" t="n"/>
      <c r="M263" s="398" t="n"/>
      <c r="N263" s="398" t="n"/>
      <c r="O263" s="398" t="n"/>
      <c r="P263" s="398" t="n"/>
      <c r="Q263" s="398" t="n"/>
      <c r="R263" s="398" t="n"/>
      <c r="S263" s="398" t="n"/>
      <c r="T263" s="398" t="n"/>
      <c r="U263" s="398" t="n"/>
      <c r="V263" s="398" t="n"/>
      <c r="W263" s="398" t="n"/>
      <c r="X263" s="398" t="n"/>
      <c r="Y263" s="398" t="n"/>
      <c r="Z263" s="398" t="n"/>
    </row>
    <row r="264">
      <c r="A264" s="398" t="n"/>
      <c r="B264" s="398" t="n"/>
      <c r="C264" s="398" t="n"/>
      <c r="D264" s="398" t="n"/>
      <c r="E264" s="398" t="n"/>
      <c r="F264" s="398" t="n"/>
      <c r="G264" s="398" t="n"/>
      <c r="H264" s="398" t="n"/>
      <c r="I264" s="398" t="n"/>
      <c r="J264" s="398" t="n"/>
      <c r="K264" s="398" t="n"/>
      <c r="L264" s="398" t="n"/>
      <c r="M264" s="398" t="n"/>
      <c r="N264" s="398" t="n"/>
      <c r="O264" s="398" t="n"/>
      <c r="P264" s="398" t="n"/>
      <c r="Q264" s="398" t="n"/>
      <c r="R264" s="398" t="n"/>
      <c r="S264" s="398" t="n"/>
      <c r="T264" s="398" t="n"/>
      <c r="U264" s="398" t="n"/>
      <c r="V264" s="398" t="n"/>
      <c r="W264" s="398" t="n"/>
      <c r="X264" s="398" t="n"/>
      <c r="Y264" s="398" t="n"/>
      <c r="Z264" s="398" t="n"/>
    </row>
    <row r="265">
      <c r="A265" s="398" t="n"/>
      <c r="B265" s="398" t="n"/>
      <c r="C265" s="398" t="n"/>
      <c r="D265" s="398" t="n"/>
      <c r="E265" s="398" t="n"/>
      <c r="F265" s="398" t="n"/>
      <c r="G265" s="398" t="n"/>
      <c r="H265" s="398" t="n"/>
      <c r="I265" s="398" t="n"/>
      <c r="J265" s="398" t="n"/>
      <c r="K265" s="398" t="n"/>
      <c r="L265" s="398" t="n"/>
      <c r="M265" s="398" t="n"/>
      <c r="N265" s="398" t="n"/>
      <c r="O265" s="398" t="n"/>
      <c r="P265" s="398" t="n"/>
      <c r="Q265" s="398" t="n"/>
      <c r="R265" s="398" t="n"/>
      <c r="S265" s="398" t="n"/>
      <c r="T265" s="398" t="n"/>
      <c r="U265" s="398" t="n"/>
      <c r="V265" s="398" t="n"/>
      <c r="W265" s="398" t="n"/>
      <c r="X265" s="398" t="n"/>
      <c r="Y265" s="398" t="n"/>
      <c r="Z265" s="398" t="n"/>
    </row>
    <row r="266">
      <c r="A266" s="398" t="n"/>
      <c r="B266" s="398" t="n"/>
      <c r="C266" s="398" t="n"/>
      <c r="D266" s="398" t="n"/>
      <c r="E266" s="398" t="n"/>
      <c r="F266" s="398" t="n"/>
      <c r="G266" s="398" t="n"/>
      <c r="H266" s="398" t="n"/>
      <c r="I266" s="398" t="n"/>
      <c r="J266" s="398" t="n"/>
      <c r="K266" s="398" t="n"/>
      <c r="L266" s="398" t="n"/>
      <c r="M266" s="398" t="n"/>
      <c r="N266" s="398" t="n"/>
      <c r="O266" s="398" t="n"/>
      <c r="P266" s="398" t="n"/>
      <c r="Q266" s="398" t="n"/>
      <c r="R266" s="398" t="n"/>
      <c r="S266" s="398" t="n"/>
      <c r="T266" s="398" t="n"/>
      <c r="U266" s="398" t="n"/>
      <c r="V266" s="398" t="n"/>
      <c r="W266" s="398" t="n"/>
      <c r="X266" s="398" t="n"/>
      <c r="Y266" s="398" t="n"/>
      <c r="Z266" s="398" t="n"/>
    </row>
    <row r="267">
      <c r="A267" s="398" t="n"/>
      <c r="B267" s="398" t="n"/>
      <c r="C267" s="398" t="n"/>
      <c r="D267" s="398" t="n"/>
      <c r="E267" s="398" t="n"/>
      <c r="F267" s="398" t="n"/>
      <c r="G267" s="398" t="n"/>
      <c r="H267" s="398" t="n"/>
      <c r="I267" s="398" t="n"/>
      <c r="J267" s="398" t="n"/>
      <c r="K267" s="398" t="n"/>
      <c r="L267" s="398" t="n"/>
      <c r="M267" s="398" t="n"/>
      <c r="N267" s="398" t="n"/>
      <c r="O267" s="398" t="n"/>
      <c r="P267" s="398" t="n"/>
      <c r="Q267" s="398" t="n"/>
      <c r="R267" s="398" t="n"/>
      <c r="S267" s="398" t="n"/>
      <c r="T267" s="398" t="n"/>
      <c r="U267" s="398" t="n"/>
      <c r="V267" s="398" t="n"/>
      <c r="W267" s="398" t="n"/>
      <c r="X267" s="398" t="n"/>
      <c r="Y267" s="398" t="n"/>
      <c r="Z267" s="398" t="n"/>
    </row>
    <row r="268">
      <c r="A268" s="398" t="n"/>
      <c r="B268" s="398" t="n"/>
      <c r="C268" s="398" t="n"/>
      <c r="D268" s="398" t="n"/>
      <c r="E268" s="398" t="n"/>
      <c r="F268" s="398" t="n"/>
      <c r="G268" s="398" t="n"/>
      <c r="H268" s="398" t="n"/>
      <c r="I268" s="398" t="n"/>
      <c r="J268" s="398" t="n"/>
      <c r="K268" s="398" t="n"/>
      <c r="L268" s="398" t="n"/>
      <c r="M268" s="398" t="n"/>
      <c r="N268" s="398" t="n"/>
      <c r="O268" s="398" t="n"/>
      <c r="P268" s="398" t="n"/>
      <c r="Q268" s="398" t="n"/>
      <c r="R268" s="398" t="n"/>
      <c r="S268" s="398" t="n"/>
      <c r="T268" s="398" t="n"/>
      <c r="U268" s="398" t="n"/>
      <c r="V268" s="398" t="n"/>
      <c r="W268" s="398" t="n"/>
      <c r="X268" s="398" t="n"/>
      <c r="Y268" s="398" t="n"/>
      <c r="Z268" s="398" t="n"/>
    </row>
    <row r="269">
      <c r="A269" s="398" t="n"/>
      <c r="B269" s="398" t="n"/>
      <c r="C269" s="398" t="n"/>
      <c r="D269" s="398" t="n"/>
      <c r="E269" s="398" t="n"/>
      <c r="F269" s="398" t="n"/>
      <c r="G269" s="398" t="n"/>
      <c r="H269" s="398" t="n"/>
      <c r="I269" s="398" t="n"/>
      <c r="J269" s="398" t="n"/>
      <c r="K269" s="398" t="n"/>
      <c r="L269" s="398" t="n"/>
      <c r="M269" s="398" t="n"/>
      <c r="N269" s="398" t="n"/>
      <c r="O269" s="398" t="n"/>
      <c r="P269" s="398" t="n"/>
      <c r="Q269" s="398" t="n"/>
      <c r="R269" s="398" t="n"/>
      <c r="S269" s="398" t="n"/>
      <c r="T269" s="398" t="n"/>
      <c r="U269" s="398" t="n"/>
      <c r="V269" s="398" t="n"/>
      <c r="W269" s="398" t="n"/>
      <c r="X269" s="398" t="n"/>
      <c r="Y269" s="398" t="n"/>
      <c r="Z269" s="398" t="n"/>
    </row>
    <row r="270">
      <c r="A270" s="398" t="n"/>
      <c r="B270" s="398" t="n"/>
      <c r="C270" s="398" t="n"/>
      <c r="D270" s="398" t="n"/>
      <c r="E270" s="398" t="n"/>
      <c r="F270" s="398" t="n"/>
      <c r="G270" s="398" t="n"/>
      <c r="H270" s="398" t="n"/>
      <c r="I270" s="398" t="n"/>
      <c r="J270" s="398" t="n"/>
      <c r="K270" s="398" t="n"/>
      <c r="L270" s="398" t="n"/>
      <c r="M270" s="398" t="n"/>
      <c r="N270" s="398" t="n"/>
      <c r="O270" s="398" t="n"/>
      <c r="P270" s="398" t="n"/>
      <c r="Q270" s="398" t="n"/>
      <c r="R270" s="398" t="n"/>
      <c r="S270" s="398" t="n"/>
      <c r="T270" s="398" t="n"/>
      <c r="U270" s="398" t="n"/>
      <c r="V270" s="398" t="n"/>
      <c r="W270" s="398" t="n"/>
      <c r="X270" s="398" t="n"/>
      <c r="Y270" s="398" t="n"/>
      <c r="Z270" s="398" t="n"/>
    </row>
    <row r="271">
      <c r="A271" s="398" t="n"/>
      <c r="B271" s="398" t="n"/>
      <c r="C271" s="398" t="n"/>
      <c r="D271" s="398" t="n"/>
      <c r="E271" s="398" t="n"/>
      <c r="F271" s="398" t="n"/>
      <c r="G271" s="398" t="n"/>
      <c r="H271" s="398" t="n"/>
      <c r="I271" s="398" t="n"/>
      <c r="J271" s="398" t="n"/>
      <c r="K271" s="398" t="n"/>
      <c r="L271" s="398" t="n"/>
      <c r="M271" s="398" t="n"/>
      <c r="N271" s="398" t="n"/>
      <c r="O271" s="398" t="n"/>
      <c r="P271" s="398" t="n"/>
      <c r="Q271" s="398" t="n"/>
      <c r="R271" s="398" t="n"/>
      <c r="S271" s="398" t="n"/>
      <c r="T271" s="398" t="n"/>
      <c r="U271" s="398" t="n"/>
      <c r="V271" s="398" t="n"/>
      <c r="W271" s="398" t="n"/>
      <c r="X271" s="398" t="n"/>
      <c r="Y271" s="398" t="n"/>
      <c r="Z271" s="398" t="n"/>
    </row>
    <row r="272">
      <c r="A272" s="398" t="n"/>
      <c r="B272" s="398" t="n"/>
      <c r="C272" s="398" t="n"/>
      <c r="D272" s="398" t="n"/>
      <c r="E272" s="398" t="n"/>
      <c r="F272" s="398" t="n"/>
      <c r="G272" s="398" t="n"/>
      <c r="H272" s="398" t="n"/>
      <c r="I272" s="398" t="n"/>
      <c r="J272" s="398" t="n"/>
      <c r="K272" s="398" t="n"/>
      <c r="L272" s="398" t="n"/>
      <c r="M272" s="398" t="n"/>
      <c r="N272" s="398" t="n"/>
      <c r="O272" s="398" t="n"/>
      <c r="P272" s="398" t="n"/>
      <c r="Q272" s="398" t="n"/>
      <c r="R272" s="398" t="n"/>
      <c r="S272" s="398" t="n"/>
      <c r="T272" s="398" t="n"/>
      <c r="U272" s="398" t="n"/>
      <c r="V272" s="398" t="n"/>
      <c r="W272" s="398" t="n"/>
      <c r="X272" s="398" t="n"/>
      <c r="Y272" s="398" t="n"/>
      <c r="Z272" s="398" t="n"/>
    </row>
    <row r="273">
      <c r="A273" s="398" t="n"/>
      <c r="B273" s="398" t="n"/>
      <c r="C273" s="398" t="n"/>
      <c r="D273" s="398" t="n"/>
      <c r="E273" s="398" t="n"/>
      <c r="F273" s="398" t="n"/>
      <c r="G273" s="398" t="n"/>
      <c r="H273" s="398" t="n"/>
      <c r="I273" s="398" t="n"/>
      <c r="J273" s="398" t="n"/>
      <c r="K273" s="398" t="n"/>
      <c r="L273" s="398" t="n"/>
      <c r="M273" s="398" t="n"/>
      <c r="N273" s="398" t="n"/>
      <c r="O273" s="398" t="n"/>
      <c r="P273" s="398" t="n"/>
      <c r="Q273" s="398" t="n"/>
      <c r="R273" s="398" t="n"/>
      <c r="S273" s="398" t="n"/>
      <c r="T273" s="398" t="n"/>
      <c r="U273" s="398" t="n"/>
      <c r="V273" s="398" t="n"/>
      <c r="W273" s="398" t="n"/>
      <c r="X273" s="398" t="n"/>
      <c r="Y273" s="398" t="n"/>
      <c r="Z273" s="398" t="n"/>
    </row>
    <row r="274">
      <c r="A274" s="398" t="n"/>
      <c r="B274" s="398" t="n"/>
      <c r="C274" s="398" t="n"/>
      <c r="D274" s="398" t="n"/>
      <c r="E274" s="398" t="n"/>
      <c r="F274" s="398" t="n"/>
      <c r="G274" s="398" t="n"/>
      <c r="H274" s="398" t="n"/>
      <c r="I274" s="398" t="n"/>
      <c r="J274" s="398" t="n"/>
      <c r="K274" s="398" t="n"/>
      <c r="L274" s="398" t="n"/>
      <c r="M274" s="398" t="n"/>
      <c r="N274" s="398" t="n"/>
      <c r="O274" s="398" t="n"/>
      <c r="P274" s="398" t="n"/>
      <c r="Q274" s="398" t="n"/>
      <c r="R274" s="398" t="n"/>
      <c r="S274" s="398" t="n"/>
      <c r="T274" s="398" t="n"/>
      <c r="U274" s="398" t="n"/>
      <c r="V274" s="398" t="n"/>
      <c r="W274" s="398" t="n"/>
      <c r="X274" s="398" t="n"/>
      <c r="Y274" s="398" t="n"/>
      <c r="Z274" s="398" t="n"/>
    </row>
    <row r="275">
      <c r="A275" s="398" t="n"/>
      <c r="B275" s="398" t="n"/>
      <c r="C275" s="398" t="n"/>
      <c r="D275" s="398" t="n"/>
      <c r="E275" s="398" t="n"/>
      <c r="F275" s="398" t="n"/>
      <c r="G275" s="398" t="n"/>
      <c r="H275" s="398" t="n"/>
      <c r="I275" s="398" t="n"/>
      <c r="J275" s="398" t="n"/>
      <c r="K275" s="398" t="n"/>
      <c r="L275" s="398" t="n"/>
      <c r="M275" s="398" t="n"/>
      <c r="N275" s="398" t="n"/>
      <c r="O275" s="398" t="n"/>
      <c r="P275" s="398" t="n"/>
      <c r="Q275" s="398" t="n"/>
      <c r="R275" s="398" t="n"/>
      <c r="S275" s="398" t="n"/>
      <c r="T275" s="398" t="n"/>
      <c r="U275" s="398" t="n"/>
      <c r="V275" s="398" t="n"/>
      <c r="W275" s="398" t="n"/>
      <c r="X275" s="398" t="n"/>
      <c r="Y275" s="398" t="n"/>
      <c r="Z275" s="398" t="n"/>
    </row>
    <row r="276">
      <c r="A276" s="398" t="n"/>
      <c r="B276" s="398" t="n"/>
      <c r="C276" s="398" t="n"/>
      <c r="D276" s="398" t="n"/>
      <c r="E276" s="398" t="n"/>
      <c r="F276" s="398" t="n"/>
      <c r="G276" s="398" t="n"/>
      <c r="H276" s="398" t="n"/>
      <c r="I276" s="398" t="n"/>
      <c r="J276" s="398" t="n"/>
      <c r="K276" s="398" t="n"/>
      <c r="L276" s="398" t="n"/>
      <c r="M276" s="398" t="n"/>
      <c r="N276" s="398" t="n"/>
      <c r="O276" s="398" t="n"/>
      <c r="P276" s="398" t="n"/>
      <c r="Q276" s="398" t="n"/>
      <c r="R276" s="398" t="n"/>
      <c r="S276" s="398" t="n"/>
      <c r="T276" s="398" t="n"/>
      <c r="U276" s="398" t="n"/>
      <c r="V276" s="398" t="n"/>
      <c r="W276" s="398" t="n"/>
      <c r="X276" s="398" t="n"/>
      <c r="Y276" s="398" t="n"/>
      <c r="Z276" s="398" t="n"/>
    </row>
    <row r="277">
      <c r="A277" s="398" t="n"/>
      <c r="B277" s="398" t="n"/>
      <c r="C277" s="398" t="n"/>
      <c r="D277" s="398" t="n"/>
      <c r="E277" s="398" t="n"/>
      <c r="F277" s="398" t="n"/>
      <c r="G277" s="398" t="n"/>
      <c r="H277" s="398" t="n"/>
      <c r="I277" s="398" t="n"/>
      <c r="J277" s="398" t="n"/>
      <c r="K277" s="398" t="n"/>
      <c r="L277" s="398" t="n"/>
      <c r="M277" s="398" t="n"/>
      <c r="N277" s="398" t="n"/>
      <c r="O277" s="398" t="n"/>
      <c r="P277" s="398" t="n"/>
      <c r="Q277" s="398" t="n"/>
      <c r="R277" s="398" t="n"/>
      <c r="S277" s="398" t="n"/>
      <c r="T277" s="398" t="n"/>
      <c r="U277" s="398" t="n"/>
      <c r="V277" s="398" t="n"/>
      <c r="W277" s="398" t="n"/>
      <c r="X277" s="398" t="n"/>
      <c r="Y277" s="398" t="n"/>
      <c r="Z277" s="398" t="n"/>
    </row>
    <row r="278">
      <c r="A278" s="398" t="n"/>
      <c r="B278" s="398" t="n"/>
      <c r="C278" s="398" t="n"/>
      <c r="D278" s="398" t="n"/>
      <c r="E278" s="398" t="n"/>
      <c r="F278" s="398" t="n"/>
      <c r="G278" s="398" t="n"/>
      <c r="H278" s="398" t="n"/>
      <c r="I278" s="398" t="n"/>
      <c r="J278" s="398" t="n"/>
      <c r="K278" s="398" t="n"/>
      <c r="L278" s="398" t="n"/>
      <c r="M278" s="398" t="n"/>
      <c r="N278" s="398" t="n"/>
      <c r="O278" s="398" t="n"/>
      <c r="P278" s="398" t="n"/>
      <c r="Q278" s="398" t="n"/>
      <c r="R278" s="398" t="n"/>
      <c r="S278" s="398" t="n"/>
      <c r="T278" s="398" t="n"/>
      <c r="U278" s="398" t="n"/>
      <c r="V278" s="398" t="n"/>
      <c r="W278" s="398" t="n"/>
      <c r="X278" s="398" t="n"/>
      <c r="Y278" s="398" t="n"/>
      <c r="Z278" s="398" t="n"/>
    </row>
    <row r="279">
      <c r="A279" s="398" t="n"/>
      <c r="B279" s="398" t="n"/>
      <c r="C279" s="398" t="n"/>
      <c r="D279" s="398" t="n"/>
      <c r="E279" s="398" t="n"/>
      <c r="F279" s="398" t="n"/>
      <c r="G279" s="398" t="n"/>
      <c r="H279" s="398" t="n"/>
      <c r="I279" s="398" t="n"/>
      <c r="J279" s="398" t="n"/>
      <c r="K279" s="398" t="n"/>
      <c r="L279" s="398" t="n"/>
      <c r="M279" s="398" t="n"/>
      <c r="N279" s="398" t="n"/>
      <c r="O279" s="398" t="n"/>
      <c r="P279" s="398" t="n"/>
      <c r="Q279" s="398" t="n"/>
      <c r="R279" s="398" t="n"/>
      <c r="S279" s="398" t="n"/>
      <c r="T279" s="398" t="n"/>
      <c r="U279" s="398" t="n"/>
      <c r="V279" s="398" t="n"/>
      <c r="W279" s="398" t="n"/>
      <c r="X279" s="398" t="n"/>
      <c r="Y279" s="398" t="n"/>
      <c r="Z279" s="398" t="n"/>
    </row>
    <row r="280">
      <c r="A280" s="398" t="n"/>
      <c r="B280" s="398" t="n"/>
      <c r="C280" s="398" t="n"/>
      <c r="D280" s="398" t="n"/>
      <c r="E280" s="398" t="n"/>
      <c r="F280" s="398" t="n"/>
      <c r="G280" s="398" t="n"/>
      <c r="H280" s="398" t="n"/>
      <c r="I280" s="398" t="n"/>
      <c r="J280" s="398" t="n"/>
      <c r="K280" s="398" t="n"/>
      <c r="L280" s="398" t="n"/>
      <c r="M280" s="398" t="n"/>
      <c r="N280" s="398" t="n"/>
      <c r="O280" s="398" t="n"/>
      <c r="P280" s="398" t="n"/>
      <c r="Q280" s="398" t="n"/>
      <c r="R280" s="398" t="n"/>
      <c r="S280" s="398" t="n"/>
      <c r="T280" s="398" t="n"/>
      <c r="U280" s="398" t="n"/>
      <c r="V280" s="398" t="n"/>
      <c r="W280" s="398" t="n"/>
      <c r="X280" s="398" t="n"/>
      <c r="Y280" s="398" t="n"/>
      <c r="Z280" s="398" t="n"/>
    </row>
    <row r="281">
      <c r="A281" s="398" t="n"/>
      <c r="B281" s="398" t="n"/>
      <c r="C281" s="398" t="n"/>
      <c r="D281" s="398" t="n"/>
      <c r="E281" s="398" t="n"/>
      <c r="F281" s="398" t="n"/>
      <c r="G281" s="398" t="n"/>
      <c r="H281" s="398" t="n"/>
      <c r="I281" s="398" t="n"/>
      <c r="J281" s="398" t="n"/>
      <c r="K281" s="398" t="n"/>
      <c r="L281" s="398" t="n"/>
      <c r="M281" s="398" t="n"/>
      <c r="N281" s="398" t="n"/>
      <c r="O281" s="398" t="n"/>
      <c r="P281" s="398" t="n"/>
      <c r="Q281" s="398" t="n"/>
      <c r="R281" s="398" t="n"/>
      <c r="S281" s="398" t="n"/>
      <c r="T281" s="398" t="n"/>
      <c r="U281" s="398" t="n"/>
      <c r="V281" s="398" t="n"/>
      <c r="W281" s="398" t="n"/>
      <c r="X281" s="398" t="n"/>
      <c r="Y281" s="398" t="n"/>
      <c r="Z281" s="398" t="n"/>
    </row>
    <row r="282">
      <c r="A282" s="398" t="n"/>
      <c r="B282" s="398" t="n"/>
      <c r="C282" s="398" t="n"/>
      <c r="D282" s="398" t="n"/>
      <c r="E282" s="398" t="n"/>
      <c r="F282" s="398" t="n"/>
      <c r="G282" s="398" t="n"/>
      <c r="H282" s="398" t="n"/>
      <c r="I282" s="398" t="n"/>
      <c r="J282" s="398" t="n"/>
      <c r="K282" s="398" t="n"/>
      <c r="L282" s="398" t="n"/>
      <c r="M282" s="398" t="n"/>
      <c r="N282" s="398" t="n"/>
      <c r="O282" s="398" t="n"/>
      <c r="P282" s="398" t="n"/>
      <c r="Q282" s="398" t="n"/>
      <c r="R282" s="398" t="n"/>
      <c r="S282" s="398" t="n"/>
      <c r="T282" s="398" t="n"/>
      <c r="U282" s="398" t="n"/>
      <c r="V282" s="398" t="n"/>
      <c r="W282" s="398" t="n"/>
      <c r="X282" s="398" t="n"/>
      <c r="Y282" s="398" t="n"/>
      <c r="Z282" s="398" t="n"/>
    </row>
    <row r="283">
      <c r="A283" s="398" t="n"/>
      <c r="B283" s="398" t="n"/>
      <c r="C283" s="398" t="n"/>
      <c r="D283" s="398" t="n"/>
      <c r="E283" s="398" t="n"/>
      <c r="F283" s="398" t="n"/>
      <c r="G283" s="398" t="n"/>
      <c r="H283" s="398" t="n"/>
      <c r="I283" s="398" t="n"/>
      <c r="J283" s="398" t="n"/>
      <c r="K283" s="398" t="n"/>
      <c r="L283" s="398" t="n"/>
      <c r="M283" s="398" t="n"/>
      <c r="N283" s="398" t="n"/>
      <c r="O283" s="398" t="n"/>
      <c r="P283" s="398" t="n"/>
      <c r="Q283" s="398" t="n"/>
      <c r="R283" s="398" t="n"/>
      <c r="S283" s="398" t="n"/>
      <c r="T283" s="398" t="n"/>
      <c r="U283" s="398" t="n"/>
      <c r="V283" s="398" t="n"/>
      <c r="W283" s="398" t="n"/>
      <c r="X283" s="398" t="n"/>
      <c r="Y283" s="398" t="n"/>
      <c r="Z283" s="398" t="n"/>
    </row>
    <row r="284">
      <c r="A284" s="398" t="n"/>
      <c r="B284" s="398" t="n"/>
      <c r="C284" s="398" t="n"/>
      <c r="D284" s="398" t="n"/>
      <c r="E284" s="398" t="n"/>
      <c r="F284" s="398" t="n"/>
      <c r="G284" s="398" t="n"/>
      <c r="H284" s="398" t="n"/>
      <c r="I284" s="398" t="n"/>
      <c r="J284" s="398" t="n"/>
      <c r="K284" s="398" t="n"/>
      <c r="L284" s="398" t="n"/>
      <c r="M284" s="398" t="n"/>
      <c r="N284" s="398" t="n"/>
      <c r="O284" s="398" t="n"/>
      <c r="P284" s="398" t="n"/>
      <c r="Q284" s="398" t="n"/>
      <c r="R284" s="398" t="n"/>
      <c r="S284" s="398" t="n"/>
      <c r="T284" s="398" t="n"/>
      <c r="U284" s="398" t="n"/>
      <c r="V284" s="398" t="n"/>
      <c r="W284" s="398" t="n"/>
      <c r="X284" s="398" t="n"/>
      <c r="Y284" s="398" t="n"/>
      <c r="Z284" s="398" t="n"/>
    </row>
    <row r="285">
      <c r="A285" s="398" t="n"/>
      <c r="B285" s="398" t="n"/>
      <c r="C285" s="398" t="n"/>
      <c r="D285" s="398" t="n"/>
      <c r="E285" s="398" t="n"/>
      <c r="F285" s="398" t="n"/>
      <c r="G285" s="398" t="n"/>
      <c r="H285" s="398" t="n"/>
      <c r="I285" s="398" t="n"/>
      <c r="J285" s="398" t="n"/>
      <c r="K285" s="398" t="n"/>
      <c r="L285" s="398" t="n"/>
      <c r="M285" s="398" t="n"/>
      <c r="N285" s="398" t="n"/>
      <c r="O285" s="398" t="n"/>
      <c r="P285" s="398" t="n"/>
      <c r="Q285" s="398" t="n"/>
      <c r="R285" s="398" t="n"/>
      <c r="S285" s="398" t="n"/>
      <c r="T285" s="398" t="n"/>
      <c r="U285" s="398" t="n"/>
      <c r="V285" s="398" t="n"/>
      <c r="W285" s="398" t="n"/>
      <c r="X285" s="398" t="n"/>
      <c r="Y285" s="398" t="n"/>
      <c r="Z285" s="398" t="n"/>
    </row>
    <row r="286">
      <c r="A286" s="398" t="n"/>
      <c r="B286" s="398" t="n"/>
      <c r="C286" s="398" t="n"/>
      <c r="D286" s="398" t="n"/>
      <c r="E286" s="398" t="n"/>
      <c r="F286" s="398" t="n"/>
      <c r="G286" s="398" t="n"/>
      <c r="H286" s="398" t="n"/>
      <c r="I286" s="398" t="n"/>
      <c r="J286" s="398" t="n"/>
      <c r="K286" s="398" t="n"/>
      <c r="L286" s="398" t="n"/>
      <c r="M286" s="398" t="n"/>
      <c r="N286" s="398" t="n"/>
      <c r="O286" s="398" t="n"/>
      <c r="P286" s="398" t="n"/>
      <c r="Q286" s="398" t="n"/>
      <c r="R286" s="398" t="n"/>
      <c r="S286" s="398" t="n"/>
      <c r="T286" s="398" t="n"/>
      <c r="U286" s="398" t="n"/>
      <c r="V286" s="398" t="n"/>
      <c r="W286" s="398" t="n"/>
      <c r="X286" s="398" t="n"/>
      <c r="Y286" s="398" t="n"/>
      <c r="Z286" s="398" t="n"/>
    </row>
    <row r="287">
      <c r="A287" s="398" t="n"/>
      <c r="B287" s="398" t="n"/>
      <c r="C287" s="398" t="n"/>
      <c r="D287" s="398" t="n"/>
      <c r="E287" s="398" t="n"/>
      <c r="F287" s="398" t="n"/>
      <c r="G287" s="398" t="n"/>
      <c r="H287" s="398" t="n"/>
      <c r="I287" s="398" t="n"/>
      <c r="J287" s="398" t="n"/>
      <c r="K287" s="398" t="n"/>
      <c r="L287" s="398" t="n"/>
      <c r="M287" s="398" t="n"/>
      <c r="N287" s="398" t="n"/>
      <c r="O287" s="398" t="n"/>
      <c r="P287" s="398" t="n"/>
      <c r="Q287" s="398" t="n"/>
      <c r="R287" s="398" t="n"/>
      <c r="S287" s="398" t="n"/>
      <c r="T287" s="398" t="n"/>
      <c r="U287" s="398" t="n"/>
      <c r="V287" s="398" t="n"/>
      <c r="W287" s="398" t="n"/>
      <c r="X287" s="398" t="n"/>
      <c r="Y287" s="398" t="n"/>
      <c r="Z287" s="398" t="n"/>
    </row>
    <row r="288">
      <c r="A288" s="398" t="n"/>
      <c r="B288" s="398" t="n"/>
      <c r="C288" s="398" t="n"/>
      <c r="D288" s="398" t="n"/>
      <c r="E288" s="398" t="n"/>
      <c r="F288" s="398" t="n"/>
      <c r="G288" s="398" t="n"/>
      <c r="H288" s="398" t="n"/>
      <c r="I288" s="398" t="n"/>
      <c r="J288" s="398" t="n"/>
      <c r="K288" s="398" t="n"/>
      <c r="L288" s="398" t="n"/>
      <c r="M288" s="398" t="n"/>
      <c r="N288" s="398" t="n"/>
      <c r="O288" s="398" t="n"/>
      <c r="P288" s="398" t="n"/>
      <c r="Q288" s="398" t="n"/>
      <c r="R288" s="398" t="n"/>
      <c r="S288" s="398" t="n"/>
      <c r="T288" s="398" t="n"/>
      <c r="U288" s="398" t="n"/>
      <c r="V288" s="398" t="n"/>
      <c r="W288" s="398" t="n"/>
      <c r="X288" s="398" t="n"/>
      <c r="Y288" s="398" t="n"/>
      <c r="Z288" s="398" t="n"/>
    </row>
    <row r="289">
      <c r="A289" s="398" t="n"/>
      <c r="B289" s="398" t="n"/>
      <c r="C289" s="398" t="n"/>
      <c r="D289" s="398" t="n"/>
      <c r="E289" s="398" t="n"/>
      <c r="F289" s="398" t="n"/>
      <c r="G289" s="398" t="n"/>
      <c r="H289" s="398" t="n"/>
      <c r="I289" s="398" t="n"/>
      <c r="J289" s="398" t="n"/>
      <c r="K289" s="398" t="n"/>
      <c r="L289" s="398" t="n"/>
      <c r="M289" s="398" t="n"/>
      <c r="N289" s="398" t="n"/>
      <c r="O289" s="398" t="n"/>
      <c r="P289" s="398" t="n"/>
      <c r="Q289" s="398" t="n"/>
      <c r="R289" s="398" t="n"/>
      <c r="S289" s="398" t="n"/>
      <c r="T289" s="398" t="n"/>
      <c r="U289" s="398" t="n"/>
      <c r="V289" s="398" t="n"/>
      <c r="W289" s="398" t="n"/>
      <c r="X289" s="398" t="n"/>
      <c r="Y289" s="398" t="n"/>
      <c r="Z289" s="398" t="n"/>
    </row>
    <row r="290">
      <c r="A290" s="398" t="n"/>
      <c r="B290" s="398" t="n"/>
      <c r="C290" s="398" t="n"/>
      <c r="D290" s="398" t="n"/>
      <c r="E290" s="398" t="n"/>
      <c r="F290" s="398" t="n"/>
      <c r="G290" s="398" t="n"/>
      <c r="H290" s="398" t="n"/>
      <c r="I290" s="398" t="n"/>
      <c r="J290" s="398" t="n"/>
      <c r="K290" s="398" t="n"/>
      <c r="L290" s="398" t="n"/>
      <c r="M290" s="398" t="n"/>
      <c r="N290" s="398" t="n"/>
      <c r="O290" s="398" t="n"/>
      <c r="P290" s="398" t="n"/>
      <c r="Q290" s="398" t="n"/>
      <c r="R290" s="398" t="n"/>
      <c r="S290" s="398" t="n"/>
      <c r="T290" s="398" t="n"/>
      <c r="U290" s="398" t="n"/>
      <c r="V290" s="398" t="n"/>
      <c r="W290" s="398" t="n"/>
      <c r="X290" s="398" t="n"/>
      <c r="Y290" s="398" t="n"/>
      <c r="Z290" s="398" t="n"/>
    </row>
    <row r="291">
      <c r="A291" s="398" t="n"/>
      <c r="B291" s="398" t="n"/>
      <c r="C291" s="398" t="n"/>
      <c r="D291" s="398" t="n"/>
      <c r="E291" s="398" t="n"/>
      <c r="F291" s="398" t="n"/>
      <c r="G291" s="398" t="n"/>
      <c r="H291" s="398" t="n"/>
      <c r="I291" s="398" t="n"/>
      <c r="J291" s="398" t="n"/>
      <c r="K291" s="398" t="n"/>
      <c r="L291" s="398" t="n"/>
      <c r="M291" s="398" t="n"/>
      <c r="N291" s="398" t="n"/>
      <c r="O291" s="398" t="n"/>
      <c r="P291" s="398" t="n"/>
      <c r="Q291" s="398" t="n"/>
      <c r="R291" s="398" t="n"/>
      <c r="S291" s="398" t="n"/>
      <c r="T291" s="398" t="n"/>
      <c r="U291" s="398" t="n"/>
      <c r="V291" s="398" t="n"/>
      <c r="W291" s="398" t="n"/>
      <c r="X291" s="398" t="n"/>
      <c r="Y291" s="398" t="n"/>
      <c r="Z291" s="398" t="n"/>
    </row>
    <row r="292">
      <c r="A292" s="398" t="n"/>
      <c r="B292" s="398" t="n"/>
      <c r="C292" s="398" t="n"/>
      <c r="D292" s="398" t="n"/>
      <c r="E292" s="398" t="n"/>
      <c r="F292" s="398" t="n"/>
      <c r="G292" s="398" t="n"/>
      <c r="H292" s="398" t="n"/>
      <c r="I292" s="398" t="n"/>
      <c r="J292" s="398" t="n"/>
      <c r="K292" s="398" t="n"/>
      <c r="L292" s="398" t="n"/>
      <c r="M292" s="398" t="n"/>
      <c r="N292" s="398" t="n"/>
      <c r="O292" s="398" t="n"/>
      <c r="P292" s="398" t="n"/>
      <c r="Q292" s="398" t="n"/>
      <c r="R292" s="398" t="n"/>
      <c r="S292" s="398" t="n"/>
      <c r="T292" s="398" t="n"/>
      <c r="U292" s="398" t="n"/>
      <c r="V292" s="398" t="n"/>
      <c r="W292" s="398" t="n"/>
      <c r="X292" s="398" t="n"/>
      <c r="Y292" s="398" t="n"/>
      <c r="Z292" s="398" t="n"/>
    </row>
    <row r="293">
      <c r="A293" s="398" t="n"/>
      <c r="B293" s="398" t="n"/>
      <c r="C293" s="398" t="n"/>
      <c r="D293" s="398" t="n"/>
      <c r="E293" s="398" t="n"/>
      <c r="F293" s="398" t="n"/>
      <c r="G293" s="398" t="n"/>
      <c r="H293" s="398" t="n"/>
      <c r="I293" s="398" t="n"/>
      <c r="J293" s="398" t="n"/>
      <c r="K293" s="398" t="n"/>
      <c r="L293" s="398" t="n"/>
      <c r="M293" s="398" t="n"/>
      <c r="N293" s="398" t="n"/>
      <c r="O293" s="398" t="n"/>
      <c r="P293" s="398" t="n"/>
      <c r="Q293" s="398" t="n"/>
      <c r="R293" s="398" t="n"/>
      <c r="S293" s="398" t="n"/>
      <c r="T293" s="398" t="n"/>
      <c r="U293" s="398" t="n"/>
      <c r="V293" s="398" t="n"/>
      <c r="W293" s="398" t="n"/>
      <c r="X293" s="398" t="n"/>
      <c r="Y293" s="398" t="n"/>
      <c r="Z293" s="398" t="n"/>
    </row>
    <row r="294">
      <c r="A294" s="398" t="n"/>
      <c r="B294" s="398" t="n"/>
      <c r="C294" s="398" t="n"/>
      <c r="D294" s="398" t="n"/>
      <c r="E294" s="398" t="n"/>
      <c r="F294" s="398" t="n"/>
      <c r="G294" s="398" t="n"/>
      <c r="H294" s="398" t="n"/>
      <c r="I294" s="398" t="n"/>
      <c r="J294" s="398" t="n"/>
      <c r="K294" s="398" t="n"/>
      <c r="L294" s="398" t="n"/>
      <c r="M294" s="398" t="n"/>
      <c r="N294" s="398" t="n"/>
      <c r="O294" s="398" t="n"/>
      <c r="P294" s="398" t="n"/>
      <c r="Q294" s="398" t="n"/>
      <c r="R294" s="398" t="n"/>
      <c r="S294" s="398" t="n"/>
      <c r="T294" s="398" t="n"/>
      <c r="U294" s="398" t="n"/>
      <c r="V294" s="398" t="n"/>
      <c r="W294" s="398" t="n"/>
      <c r="X294" s="398" t="n"/>
      <c r="Y294" s="398" t="n"/>
      <c r="Z294" s="398" t="n"/>
    </row>
    <row r="295">
      <c r="A295" s="398" t="n"/>
      <c r="B295" s="398" t="n"/>
      <c r="C295" s="398" t="n"/>
      <c r="D295" s="398" t="n"/>
      <c r="E295" s="398" t="n"/>
      <c r="F295" s="398" t="n"/>
      <c r="G295" s="398" t="n"/>
      <c r="H295" s="398" t="n"/>
      <c r="I295" s="398" t="n"/>
      <c r="J295" s="398" t="n"/>
      <c r="K295" s="398" t="n"/>
      <c r="L295" s="398" t="n"/>
      <c r="M295" s="398" t="n"/>
      <c r="N295" s="398" t="n"/>
      <c r="O295" s="398" t="n"/>
      <c r="P295" s="398" t="n"/>
      <c r="Q295" s="398" t="n"/>
      <c r="R295" s="398" t="n"/>
      <c r="S295" s="398" t="n"/>
      <c r="T295" s="398" t="n"/>
      <c r="U295" s="398" t="n"/>
      <c r="V295" s="398" t="n"/>
      <c r="W295" s="398" t="n"/>
      <c r="X295" s="398" t="n"/>
      <c r="Y295" s="398" t="n"/>
      <c r="Z295" s="398" t="n"/>
    </row>
    <row r="296">
      <c r="A296" s="398" t="n"/>
      <c r="B296" s="398" t="n"/>
      <c r="C296" s="398" t="n"/>
      <c r="D296" s="398" t="n"/>
      <c r="E296" s="398" t="n"/>
      <c r="F296" s="398" t="n"/>
      <c r="G296" s="398" t="n"/>
      <c r="H296" s="398" t="n"/>
      <c r="I296" s="398" t="n"/>
      <c r="J296" s="398" t="n"/>
      <c r="K296" s="398" t="n"/>
      <c r="L296" s="398" t="n"/>
      <c r="M296" s="398" t="n"/>
      <c r="N296" s="398" t="n"/>
      <c r="O296" s="398" t="n"/>
      <c r="P296" s="398" t="n"/>
      <c r="Q296" s="398" t="n"/>
      <c r="R296" s="398" t="n"/>
      <c r="S296" s="398" t="n"/>
      <c r="T296" s="398" t="n"/>
      <c r="U296" s="398" t="n"/>
      <c r="V296" s="398" t="n"/>
      <c r="W296" s="398" t="n"/>
      <c r="X296" s="398" t="n"/>
      <c r="Y296" s="398" t="n"/>
      <c r="Z296" s="398" t="n"/>
    </row>
    <row r="297">
      <c r="A297" s="398" t="n"/>
      <c r="B297" s="398" t="n"/>
      <c r="C297" s="398" t="n"/>
      <c r="D297" s="398" t="n"/>
      <c r="E297" s="398" t="n"/>
      <c r="F297" s="398" t="n"/>
      <c r="G297" s="398" t="n"/>
      <c r="H297" s="398" t="n"/>
      <c r="I297" s="398" t="n"/>
      <c r="J297" s="398" t="n"/>
      <c r="K297" s="398" t="n"/>
      <c r="L297" s="398" t="n"/>
      <c r="M297" s="398" t="n"/>
      <c r="N297" s="398" t="n"/>
      <c r="O297" s="398" t="n"/>
      <c r="P297" s="398" t="n"/>
      <c r="Q297" s="398" t="n"/>
      <c r="R297" s="398" t="n"/>
      <c r="S297" s="398" t="n"/>
      <c r="T297" s="398" t="n"/>
      <c r="U297" s="398" t="n"/>
      <c r="V297" s="398" t="n"/>
      <c r="W297" s="398" t="n"/>
      <c r="X297" s="398" t="n"/>
      <c r="Y297" s="398" t="n"/>
      <c r="Z297" s="398" t="n"/>
    </row>
    <row r="298">
      <c r="A298" s="398" t="n"/>
      <c r="B298" s="398" t="n"/>
      <c r="C298" s="398" t="n"/>
      <c r="D298" s="398" t="n"/>
      <c r="E298" s="398" t="n"/>
      <c r="F298" s="398" t="n"/>
      <c r="G298" s="398" t="n"/>
      <c r="H298" s="398" t="n"/>
      <c r="I298" s="398" t="n"/>
      <c r="J298" s="398" t="n"/>
      <c r="K298" s="398" t="n"/>
      <c r="L298" s="398" t="n"/>
      <c r="M298" s="398" t="n"/>
      <c r="N298" s="398" t="n"/>
      <c r="O298" s="398" t="n"/>
      <c r="P298" s="398" t="n"/>
      <c r="Q298" s="398" t="n"/>
      <c r="R298" s="398" t="n"/>
      <c r="S298" s="398" t="n"/>
      <c r="T298" s="398" t="n"/>
      <c r="U298" s="398" t="n"/>
      <c r="V298" s="398" t="n"/>
      <c r="W298" s="398" t="n"/>
      <c r="X298" s="398" t="n"/>
      <c r="Y298" s="398" t="n"/>
      <c r="Z298" s="398" t="n"/>
    </row>
    <row r="299">
      <c r="A299" s="398" t="n"/>
      <c r="B299" s="398" t="n"/>
      <c r="C299" s="398" t="n"/>
      <c r="D299" s="398" t="n"/>
      <c r="E299" s="398" t="n"/>
      <c r="F299" s="398" t="n"/>
      <c r="G299" s="398" t="n"/>
      <c r="H299" s="398" t="n"/>
      <c r="I299" s="398" t="n"/>
      <c r="J299" s="398" t="n"/>
      <c r="K299" s="398" t="n"/>
      <c r="L299" s="398" t="n"/>
      <c r="M299" s="398" t="n"/>
      <c r="N299" s="398" t="n"/>
      <c r="O299" s="398" t="n"/>
      <c r="P299" s="398" t="n"/>
      <c r="Q299" s="398" t="n"/>
      <c r="R299" s="398" t="n"/>
      <c r="S299" s="398" t="n"/>
      <c r="T299" s="398" t="n"/>
      <c r="U299" s="398" t="n"/>
      <c r="V299" s="398" t="n"/>
      <c r="W299" s="398" t="n"/>
      <c r="X299" s="398" t="n"/>
      <c r="Y299" s="398" t="n"/>
      <c r="Z299" s="398" t="n"/>
    </row>
    <row r="300">
      <c r="A300" s="398" t="n"/>
      <c r="B300" s="398" t="n"/>
      <c r="C300" s="398" t="n"/>
      <c r="D300" s="398" t="n"/>
      <c r="E300" s="398" t="n"/>
      <c r="F300" s="398" t="n"/>
      <c r="G300" s="398" t="n"/>
      <c r="H300" s="398" t="n"/>
      <c r="I300" s="398" t="n"/>
      <c r="J300" s="398" t="n"/>
      <c r="K300" s="398" t="n"/>
      <c r="L300" s="398" t="n"/>
      <c r="M300" s="398" t="n"/>
      <c r="N300" s="398" t="n"/>
      <c r="O300" s="398" t="n"/>
      <c r="P300" s="398" t="n"/>
      <c r="Q300" s="398" t="n"/>
      <c r="R300" s="398" t="n"/>
      <c r="S300" s="398" t="n"/>
      <c r="T300" s="398" t="n"/>
      <c r="U300" s="398" t="n"/>
      <c r="V300" s="398" t="n"/>
      <c r="W300" s="398" t="n"/>
      <c r="X300" s="398" t="n"/>
      <c r="Y300" s="398" t="n"/>
      <c r="Z300" s="398" t="n"/>
    </row>
    <row r="301">
      <c r="A301" s="398" t="n"/>
      <c r="B301" s="398" t="n"/>
      <c r="C301" s="398" t="n"/>
      <c r="D301" s="398" t="n"/>
      <c r="E301" s="398" t="n"/>
      <c r="F301" s="398" t="n"/>
      <c r="G301" s="398" t="n"/>
      <c r="H301" s="398" t="n"/>
      <c r="I301" s="398" t="n"/>
      <c r="J301" s="398" t="n"/>
      <c r="K301" s="398" t="n"/>
      <c r="L301" s="398" t="n"/>
      <c r="M301" s="398" t="n"/>
      <c r="N301" s="398" t="n"/>
      <c r="O301" s="398" t="n"/>
      <c r="P301" s="398" t="n"/>
      <c r="Q301" s="398" t="n"/>
      <c r="R301" s="398" t="n"/>
      <c r="S301" s="398" t="n"/>
      <c r="T301" s="398" t="n"/>
      <c r="U301" s="398" t="n"/>
      <c r="V301" s="398" t="n"/>
      <c r="W301" s="398" t="n"/>
      <c r="X301" s="398" t="n"/>
      <c r="Y301" s="398" t="n"/>
      <c r="Z301" s="398" t="n"/>
    </row>
    <row r="302">
      <c r="A302" s="398" t="n"/>
      <c r="B302" s="398" t="n"/>
      <c r="C302" s="398" t="n"/>
      <c r="D302" s="398" t="n"/>
      <c r="E302" s="398" t="n"/>
      <c r="F302" s="398" t="n"/>
      <c r="G302" s="398" t="n"/>
      <c r="H302" s="398" t="n"/>
      <c r="I302" s="398" t="n"/>
      <c r="J302" s="398" t="n"/>
      <c r="K302" s="398" t="n"/>
      <c r="L302" s="398" t="n"/>
      <c r="M302" s="398" t="n"/>
      <c r="N302" s="398" t="n"/>
      <c r="O302" s="398" t="n"/>
      <c r="P302" s="398" t="n"/>
      <c r="Q302" s="398" t="n"/>
      <c r="R302" s="398" t="n"/>
      <c r="S302" s="398" t="n"/>
      <c r="T302" s="398" t="n"/>
      <c r="U302" s="398" t="n"/>
      <c r="V302" s="398" t="n"/>
      <c r="W302" s="398" t="n"/>
      <c r="X302" s="398" t="n"/>
      <c r="Y302" s="398" t="n"/>
      <c r="Z302" s="398" t="n"/>
    </row>
    <row r="303">
      <c r="A303" s="398" t="n"/>
      <c r="B303" s="398" t="n"/>
      <c r="C303" s="398" t="n"/>
      <c r="D303" s="398" t="n"/>
      <c r="E303" s="398" t="n"/>
      <c r="F303" s="398" t="n"/>
      <c r="G303" s="398" t="n"/>
      <c r="H303" s="398" t="n"/>
      <c r="I303" s="398" t="n"/>
      <c r="J303" s="398" t="n"/>
      <c r="K303" s="398" t="n"/>
      <c r="L303" s="398" t="n"/>
      <c r="M303" s="398" t="n"/>
      <c r="N303" s="398" t="n"/>
      <c r="O303" s="398" t="n"/>
      <c r="P303" s="398" t="n"/>
      <c r="Q303" s="398" t="n"/>
      <c r="R303" s="398" t="n"/>
      <c r="S303" s="398" t="n"/>
      <c r="T303" s="398" t="n"/>
      <c r="U303" s="398" t="n"/>
      <c r="V303" s="398" t="n"/>
      <c r="W303" s="398" t="n"/>
      <c r="X303" s="398" t="n"/>
      <c r="Y303" s="398" t="n"/>
      <c r="Z303" s="398" t="n"/>
    </row>
    <row r="304">
      <c r="A304" s="398" t="n"/>
      <c r="B304" s="398" t="n"/>
      <c r="C304" s="398" t="n"/>
      <c r="D304" s="398" t="n"/>
      <c r="E304" s="398" t="n"/>
      <c r="F304" s="398" t="n"/>
      <c r="G304" s="398" t="n"/>
      <c r="H304" s="398" t="n"/>
      <c r="I304" s="398" t="n"/>
      <c r="J304" s="398" t="n"/>
      <c r="K304" s="398" t="n"/>
      <c r="L304" s="398" t="n"/>
      <c r="M304" s="398" t="n"/>
      <c r="N304" s="398" t="n"/>
      <c r="O304" s="398" t="n"/>
      <c r="P304" s="398" t="n"/>
      <c r="Q304" s="398" t="n"/>
      <c r="R304" s="398" t="n"/>
      <c r="S304" s="398" t="n"/>
      <c r="T304" s="398" t="n"/>
      <c r="U304" s="398" t="n"/>
      <c r="V304" s="398" t="n"/>
      <c r="W304" s="398" t="n"/>
      <c r="X304" s="398" t="n"/>
      <c r="Y304" s="398" t="n"/>
      <c r="Z304" s="398" t="n"/>
    </row>
    <row r="305">
      <c r="A305" s="398" t="n"/>
      <c r="B305" s="398" t="n"/>
      <c r="C305" s="398" t="n"/>
      <c r="D305" s="398" t="n"/>
      <c r="E305" s="398" t="n"/>
      <c r="F305" s="398" t="n"/>
      <c r="G305" s="398" t="n"/>
      <c r="H305" s="398" t="n"/>
      <c r="I305" s="398" t="n"/>
      <c r="J305" s="398" t="n"/>
      <c r="K305" s="398" t="n"/>
      <c r="L305" s="398" t="n"/>
      <c r="M305" s="398" t="n"/>
      <c r="N305" s="398" t="n"/>
      <c r="O305" s="398" t="n"/>
      <c r="P305" s="398" t="n"/>
      <c r="Q305" s="398" t="n"/>
      <c r="R305" s="398" t="n"/>
      <c r="S305" s="398" t="n"/>
      <c r="T305" s="398" t="n"/>
      <c r="U305" s="398" t="n"/>
      <c r="V305" s="398" t="n"/>
      <c r="W305" s="398" t="n"/>
      <c r="X305" s="398" t="n"/>
      <c r="Y305" s="398" t="n"/>
      <c r="Z305" s="398" t="n"/>
    </row>
    <row r="306">
      <c r="A306" s="398" t="n"/>
      <c r="B306" s="398" t="n"/>
      <c r="C306" s="398" t="n"/>
      <c r="D306" s="398" t="n"/>
      <c r="E306" s="398" t="n"/>
      <c r="F306" s="398" t="n"/>
      <c r="G306" s="398" t="n"/>
      <c r="H306" s="398" t="n"/>
      <c r="I306" s="398" t="n"/>
      <c r="J306" s="398" t="n"/>
      <c r="K306" s="398" t="n"/>
      <c r="L306" s="398" t="n"/>
      <c r="M306" s="398" t="n"/>
      <c r="N306" s="398" t="n"/>
      <c r="O306" s="398" t="n"/>
      <c r="P306" s="398" t="n"/>
      <c r="Q306" s="398" t="n"/>
      <c r="R306" s="398" t="n"/>
      <c r="S306" s="398" t="n"/>
      <c r="T306" s="398" t="n"/>
      <c r="U306" s="398" t="n"/>
      <c r="V306" s="398" t="n"/>
      <c r="W306" s="398" t="n"/>
      <c r="X306" s="398" t="n"/>
      <c r="Y306" s="398" t="n"/>
      <c r="Z306" s="398" t="n"/>
    </row>
    <row r="307">
      <c r="A307" s="398" t="n"/>
      <c r="B307" s="398" t="n"/>
      <c r="C307" s="398" t="n"/>
      <c r="D307" s="398" t="n"/>
      <c r="E307" s="398" t="n"/>
      <c r="F307" s="398" t="n"/>
      <c r="G307" s="398" t="n"/>
      <c r="H307" s="398" t="n"/>
      <c r="I307" s="398" t="n"/>
      <c r="J307" s="398" t="n"/>
      <c r="K307" s="398" t="n"/>
      <c r="L307" s="398" t="n"/>
      <c r="M307" s="398" t="n"/>
      <c r="N307" s="398" t="n"/>
      <c r="O307" s="398" t="n"/>
      <c r="P307" s="398" t="n"/>
      <c r="Q307" s="398" t="n"/>
      <c r="R307" s="398" t="n"/>
      <c r="S307" s="398" t="n"/>
      <c r="T307" s="398" t="n"/>
      <c r="U307" s="398" t="n"/>
      <c r="V307" s="398" t="n"/>
      <c r="W307" s="398" t="n"/>
      <c r="X307" s="398" t="n"/>
      <c r="Y307" s="398" t="n"/>
      <c r="Z307" s="398" t="n"/>
    </row>
    <row r="308">
      <c r="A308" s="398" t="n"/>
      <c r="B308" s="398" t="n"/>
      <c r="C308" s="398" t="n"/>
      <c r="D308" s="398" t="n"/>
      <c r="E308" s="398" t="n"/>
      <c r="F308" s="398" t="n"/>
      <c r="G308" s="398" t="n"/>
      <c r="H308" s="398" t="n"/>
      <c r="I308" s="398" t="n"/>
      <c r="J308" s="398" t="n"/>
      <c r="K308" s="398" t="n"/>
      <c r="L308" s="398" t="n"/>
      <c r="M308" s="398" t="n"/>
      <c r="N308" s="398" t="n"/>
      <c r="O308" s="398" t="n"/>
      <c r="P308" s="398" t="n"/>
      <c r="Q308" s="398" t="n"/>
      <c r="R308" s="398" t="n"/>
      <c r="S308" s="398" t="n"/>
      <c r="T308" s="398" t="n"/>
      <c r="U308" s="398" t="n"/>
      <c r="V308" s="398" t="n"/>
      <c r="W308" s="398" t="n"/>
      <c r="X308" s="398" t="n"/>
      <c r="Y308" s="398" t="n"/>
      <c r="Z308" s="398" t="n"/>
    </row>
    <row r="309">
      <c r="A309" s="398" t="n"/>
      <c r="B309" s="398" t="n"/>
      <c r="C309" s="398" t="n"/>
      <c r="D309" s="398" t="n"/>
      <c r="E309" s="398" t="n"/>
      <c r="F309" s="398" t="n"/>
      <c r="G309" s="398" t="n"/>
      <c r="H309" s="398" t="n"/>
      <c r="I309" s="398" t="n"/>
      <c r="J309" s="398" t="n"/>
      <c r="K309" s="398" t="n"/>
      <c r="L309" s="398" t="n"/>
      <c r="M309" s="398" t="n"/>
      <c r="N309" s="398" t="n"/>
      <c r="O309" s="398" t="n"/>
      <c r="P309" s="398" t="n"/>
      <c r="Q309" s="398" t="n"/>
      <c r="R309" s="398" t="n"/>
      <c r="S309" s="398" t="n"/>
      <c r="T309" s="398" t="n"/>
      <c r="U309" s="398" t="n"/>
      <c r="V309" s="398" t="n"/>
      <c r="W309" s="398" t="n"/>
      <c r="X309" s="398" t="n"/>
      <c r="Y309" s="398" t="n"/>
      <c r="Z309" s="398" t="n"/>
    </row>
    <row r="310">
      <c r="A310" s="398" t="n"/>
      <c r="B310" s="398" t="n"/>
      <c r="C310" s="398" t="n"/>
      <c r="D310" s="398" t="n"/>
      <c r="E310" s="398" t="n"/>
      <c r="F310" s="398" t="n"/>
      <c r="G310" s="398" t="n"/>
      <c r="H310" s="398" t="n"/>
      <c r="I310" s="398" t="n"/>
      <c r="J310" s="398" t="n"/>
      <c r="K310" s="398" t="n"/>
      <c r="L310" s="398" t="n"/>
      <c r="M310" s="398" t="n"/>
      <c r="N310" s="398" t="n"/>
      <c r="O310" s="398" t="n"/>
      <c r="P310" s="398" t="n"/>
      <c r="Q310" s="398" t="n"/>
      <c r="R310" s="398" t="n"/>
      <c r="S310" s="398" t="n"/>
      <c r="T310" s="398" t="n"/>
      <c r="U310" s="398" t="n"/>
      <c r="V310" s="398" t="n"/>
      <c r="W310" s="398" t="n"/>
      <c r="X310" s="398" t="n"/>
      <c r="Y310" s="398" t="n"/>
      <c r="Z310" s="398" t="n"/>
    </row>
    <row r="311">
      <c r="A311" s="398" t="n"/>
      <c r="B311" s="398" t="n"/>
      <c r="C311" s="398" t="n"/>
      <c r="D311" s="398" t="n"/>
      <c r="E311" s="398" t="n"/>
      <c r="F311" s="398" t="n"/>
      <c r="G311" s="398" t="n"/>
      <c r="H311" s="398" t="n"/>
      <c r="I311" s="398" t="n"/>
      <c r="J311" s="398" t="n"/>
      <c r="K311" s="398" t="n"/>
      <c r="L311" s="398" t="n"/>
      <c r="M311" s="398" t="n"/>
      <c r="N311" s="398" t="n"/>
      <c r="O311" s="398" t="n"/>
      <c r="P311" s="398" t="n"/>
      <c r="Q311" s="398" t="n"/>
      <c r="R311" s="398" t="n"/>
      <c r="S311" s="398" t="n"/>
      <c r="T311" s="398" t="n"/>
      <c r="U311" s="398" t="n"/>
      <c r="V311" s="398" t="n"/>
      <c r="W311" s="398" t="n"/>
      <c r="X311" s="398" t="n"/>
      <c r="Y311" s="398" t="n"/>
      <c r="Z311" s="398" t="n"/>
    </row>
    <row r="312">
      <c r="A312" s="398" t="n"/>
      <c r="B312" s="398" t="n"/>
      <c r="C312" s="398" t="n"/>
      <c r="D312" s="398" t="n"/>
      <c r="E312" s="398" t="n"/>
      <c r="F312" s="398" t="n"/>
      <c r="G312" s="398" t="n"/>
      <c r="H312" s="398" t="n"/>
      <c r="I312" s="398" t="n"/>
      <c r="J312" s="398" t="n"/>
      <c r="K312" s="398" t="n"/>
      <c r="L312" s="398" t="n"/>
      <c r="M312" s="398" t="n"/>
      <c r="N312" s="398" t="n"/>
      <c r="O312" s="398" t="n"/>
      <c r="P312" s="398" t="n"/>
      <c r="Q312" s="398" t="n"/>
      <c r="R312" s="398" t="n"/>
      <c r="S312" s="398" t="n"/>
      <c r="T312" s="398" t="n"/>
      <c r="U312" s="398" t="n"/>
      <c r="V312" s="398" t="n"/>
      <c r="W312" s="398" t="n"/>
      <c r="X312" s="398" t="n"/>
      <c r="Y312" s="398" t="n"/>
      <c r="Z312" s="398" t="n"/>
    </row>
    <row r="313">
      <c r="A313" s="398" t="n"/>
      <c r="B313" s="398" t="n"/>
      <c r="C313" s="398" t="n"/>
      <c r="D313" s="398" t="n"/>
      <c r="E313" s="398" t="n"/>
      <c r="F313" s="398" t="n"/>
      <c r="G313" s="398" t="n"/>
      <c r="H313" s="398" t="n"/>
      <c r="I313" s="398" t="n"/>
      <c r="J313" s="398" t="n"/>
      <c r="K313" s="398" t="n"/>
      <c r="L313" s="398" t="n"/>
      <c r="M313" s="398" t="n"/>
      <c r="N313" s="398" t="n"/>
      <c r="O313" s="398" t="n"/>
      <c r="P313" s="398" t="n"/>
      <c r="Q313" s="398" t="n"/>
      <c r="R313" s="398" t="n"/>
      <c r="S313" s="398" t="n"/>
      <c r="T313" s="398" t="n"/>
      <c r="U313" s="398" t="n"/>
      <c r="V313" s="398" t="n"/>
      <c r="W313" s="398" t="n"/>
      <c r="X313" s="398" t="n"/>
      <c r="Y313" s="398" t="n"/>
      <c r="Z313" s="398" t="n"/>
    </row>
    <row r="314">
      <c r="A314" s="398" t="n"/>
      <c r="B314" s="398" t="n"/>
      <c r="C314" s="398" t="n"/>
      <c r="D314" s="398" t="n"/>
      <c r="E314" s="398" t="n"/>
      <c r="F314" s="398" t="n"/>
      <c r="G314" s="398" t="n"/>
      <c r="H314" s="398" t="n"/>
      <c r="I314" s="398" t="n"/>
      <c r="J314" s="398" t="n"/>
      <c r="K314" s="398" t="n"/>
      <c r="L314" s="398" t="n"/>
      <c r="M314" s="398" t="n"/>
      <c r="N314" s="398" t="n"/>
      <c r="O314" s="398" t="n"/>
      <c r="P314" s="398" t="n"/>
      <c r="Q314" s="398" t="n"/>
      <c r="R314" s="398" t="n"/>
      <c r="S314" s="398" t="n"/>
      <c r="T314" s="398" t="n"/>
      <c r="U314" s="398" t="n"/>
      <c r="V314" s="398" t="n"/>
      <c r="W314" s="398" t="n"/>
      <c r="X314" s="398" t="n"/>
      <c r="Y314" s="398" t="n"/>
      <c r="Z314" s="398" t="n"/>
    </row>
    <row r="315">
      <c r="A315" s="398" t="n"/>
      <c r="B315" s="398" t="n"/>
      <c r="C315" s="398" t="n"/>
      <c r="D315" s="398" t="n"/>
      <c r="E315" s="398" t="n"/>
      <c r="F315" s="398" t="n"/>
      <c r="G315" s="398" t="n"/>
      <c r="H315" s="398" t="n"/>
      <c r="I315" s="398" t="n"/>
      <c r="J315" s="398" t="n"/>
      <c r="K315" s="398" t="n"/>
      <c r="L315" s="398" t="n"/>
      <c r="M315" s="398" t="n"/>
      <c r="N315" s="398" t="n"/>
      <c r="O315" s="398" t="n"/>
      <c r="P315" s="398" t="n"/>
      <c r="Q315" s="398" t="n"/>
      <c r="R315" s="398" t="n"/>
      <c r="S315" s="398" t="n"/>
      <c r="T315" s="398" t="n"/>
      <c r="U315" s="398" t="n"/>
      <c r="V315" s="398" t="n"/>
      <c r="W315" s="398" t="n"/>
      <c r="X315" s="398" t="n"/>
      <c r="Y315" s="398" t="n"/>
      <c r="Z315" s="398" t="n"/>
    </row>
    <row r="316">
      <c r="A316" s="398" t="n"/>
      <c r="B316" s="398" t="n"/>
      <c r="C316" s="398" t="n"/>
      <c r="D316" s="398" t="n"/>
      <c r="E316" s="398" t="n"/>
      <c r="F316" s="398" t="n"/>
      <c r="G316" s="398" t="n"/>
      <c r="H316" s="398" t="n"/>
      <c r="I316" s="398" t="n"/>
      <c r="J316" s="398" t="n"/>
      <c r="K316" s="398" t="n"/>
      <c r="L316" s="398" t="n"/>
      <c r="M316" s="398" t="n"/>
      <c r="N316" s="398" t="n"/>
      <c r="O316" s="398" t="n"/>
      <c r="P316" s="398" t="n"/>
      <c r="Q316" s="398" t="n"/>
      <c r="R316" s="398" t="n"/>
      <c r="S316" s="398" t="n"/>
      <c r="T316" s="398" t="n"/>
      <c r="U316" s="398" t="n"/>
      <c r="V316" s="398" t="n"/>
      <c r="W316" s="398" t="n"/>
      <c r="X316" s="398" t="n"/>
      <c r="Y316" s="398" t="n"/>
      <c r="Z316" s="398" t="n"/>
    </row>
    <row r="317">
      <c r="A317" s="398" t="n"/>
      <c r="B317" s="398" t="n"/>
      <c r="C317" s="398" t="n"/>
      <c r="D317" s="398" t="n"/>
      <c r="E317" s="398" t="n"/>
      <c r="F317" s="398" t="n"/>
      <c r="G317" s="398" t="n"/>
      <c r="H317" s="398" t="n"/>
      <c r="I317" s="398" t="n"/>
      <c r="J317" s="398" t="n"/>
      <c r="K317" s="398" t="n"/>
      <c r="L317" s="398" t="n"/>
      <c r="M317" s="398" t="n"/>
      <c r="N317" s="398" t="n"/>
      <c r="O317" s="398" t="n"/>
      <c r="P317" s="398" t="n"/>
      <c r="Q317" s="398" t="n"/>
      <c r="R317" s="398" t="n"/>
      <c r="S317" s="398" t="n"/>
      <c r="T317" s="398" t="n"/>
      <c r="U317" s="398" t="n"/>
      <c r="V317" s="398" t="n"/>
      <c r="W317" s="398" t="n"/>
      <c r="X317" s="398" t="n"/>
      <c r="Y317" s="398" t="n"/>
      <c r="Z317" s="398" t="n"/>
    </row>
    <row r="318">
      <c r="A318" s="398" t="n"/>
      <c r="B318" s="398" t="n"/>
      <c r="C318" s="398" t="n"/>
      <c r="D318" s="398" t="n"/>
      <c r="E318" s="398" t="n"/>
      <c r="F318" s="398" t="n"/>
      <c r="G318" s="398" t="n"/>
      <c r="H318" s="398" t="n"/>
      <c r="I318" s="398" t="n"/>
      <c r="J318" s="398" t="n"/>
      <c r="K318" s="398" t="n"/>
      <c r="L318" s="398" t="n"/>
      <c r="M318" s="398" t="n"/>
      <c r="N318" s="398" t="n"/>
      <c r="O318" s="398" t="n"/>
      <c r="P318" s="398" t="n"/>
      <c r="Q318" s="398" t="n"/>
      <c r="R318" s="398" t="n"/>
      <c r="S318" s="398" t="n"/>
      <c r="T318" s="398" t="n"/>
      <c r="U318" s="398" t="n"/>
      <c r="V318" s="398" t="n"/>
      <c r="W318" s="398" t="n"/>
      <c r="X318" s="398" t="n"/>
      <c r="Y318" s="398" t="n"/>
      <c r="Z318" s="398" t="n"/>
    </row>
    <row r="319">
      <c r="A319" s="398" t="n"/>
      <c r="B319" s="398" t="n"/>
      <c r="C319" s="398" t="n"/>
      <c r="D319" s="398" t="n"/>
      <c r="E319" s="398" t="n"/>
      <c r="F319" s="398" t="n"/>
      <c r="G319" s="398" t="n"/>
      <c r="H319" s="398" t="n"/>
      <c r="I319" s="398" t="n"/>
      <c r="J319" s="398" t="n"/>
      <c r="K319" s="398" t="n"/>
      <c r="L319" s="398" t="n"/>
      <c r="M319" s="398" t="n"/>
      <c r="N319" s="398" t="n"/>
      <c r="O319" s="398" t="n"/>
      <c r="P319" s="398" t="n"/>
      <c r="Q319" s="398" t="n"/>
      <c r="R319" s="398" t="n"/>
      <c r="S319" s="398" t="n"/>
      <c r="T319" s="398" t="n"/>
      <c r="U319" s="398" t="n"/>
      <c r="V319" s="398" t="n"/>
      <c r="W319" s="398" t="n"/>
      <c r="X319" s="398" t="n"/>
      <c r="Y319" s="398" t="n"/>
      <c r="Z319" s="398" t="n"/>
    </row>
    <row r="320">
      <c r="A320" s="398" t="n"/>
      <c r="B320" s="398" t="n"/>
      <c r="C320" s="398" t="n"/>
      <c r="D320" s="398" t="n"/>
      <c r="E320" s="398" t="n"/>
      <c r="F320" s="398" t="n"/>
      <c r="G320" s="398" t="n"/>
      <c r="H320" s="398" t="n"/>
      <c r="I320" s="398" t="n"/>
      <c r="J320" s="398" t="n"/>
      <c r="K320" s="398" t="n"/>
      <c r="L320" s="398" t="n"/>
      <c r="M320" s="398" t="n"/>
      <c r="N320" s="398" t="n"/>
      <c r="O320" s="398" t="n"/>
      <c r="P320" s="398" t="n"/>
      <c r="Q320" s="398" t="n"/>
      <c r="R320" s="398" t="n"/>
      <c r="S320" s="398" t="n"/>
      <c r="T320" s="398" t="n"/>
      <c r="U320" s="398" t="n"/>
      <c r="V320" s="398" t="n"/>
      <c r="W320" s="398" t="n"/>
      <c r="X320" s="398" t="n"/>
      <c r="Y320" s="398" t="n"/>
      <c r="Z320" s="398" t="n"/>
    </row>
  </sheetData>
  <mergeCells count="5">
    <mergeCell ref="A2:I2"/>
    <mergeCell ref="A1:I1"/>
    <mergeCell ref="A3:I3"/>
    <mergeCell ref="K4:L4"/>
    <mergeCell ref="K3:L3"/>
  </mergeCells>
  <dataValidations count="1">
    <dataValidation sqref="F6:F105" showDropDown="0" showInputMessage="1" showErrorMessage="1" allowBlank="1" type="list">
      <formula1>CategoryList</formula1>
    </dataValidation>
  </dataValidations>
  <pageMargins left="0.7" right="0.7" top="0.75" bottom="0.75" header="0.3" footer="0.3"/>
</worksheet>
</file>

<file path=xl/worksheets/sheet6.xml><?xml version="1.0" encoding="utf-8"?>
<worksheet xmlns="http://schemas.openxmlformats.org/spreadsheetml/2006/main">
  <sheetPr>
    <tabColor rgb="00F5E3B3"/>
    <outlinePr summaryBelow="1" summaryRight="1"/>
    <pageSetUpPr/>
  </sheetPr>
  <dimension ref="A1:I508"/>
  <sheetViews>
    <sheetView showGridLines="0" workbookViewId="0">
      <pane ySplit="7" topLeftCell="A8" activePane="bottomLeft" state="frozen"/>
      <selection pane="bottomLeft" activeCell="A1" sqref="A1"/>
    </sheetView>
  </sheetViews>
  <sheetFormatPr baseColWidth="8" defaultRowHeight="15"/>
  <cols>
    <col width="14" customWidth="1" style="232" min="1" max="1"/>
    <col width="12" customWidth="1" style="232" min="2" max="2"/>
    <col width="32" customWidth="1" style="232" min="3" max="3"/>
    <col width="18" customWidth="1" style="232" min="4" max="4"/>
    <col width="16" customWidth="1" style="232" min="5" max="5"/>
    <col width="2" customWidth="1" style="232" min="6" max="6"/>
    <col width="3" customWidth="1" style="232" min="7" max="7"/>
    <col width="18" customWidth="1" style="232" min="8" max="8"/>
    <col width="10" customWidth="1" style="232" min="9" max="9"/>
  </cols>
  <sheetData>
    <row r="1" ht="42" customHeight="1" s="232">
      <c r="A1" s="413" t="inlineStr">
        <is>
          <t>💛 Doom Spending Log</t>
        </is>
      </c>
      <c r="B1" s="414" t="n"/>
      <c r="C1" s="414" t="n"/>
      <c r="D1" s="414" t="n"/>
      <c r="E1" s="414" t="n"/>
    </row>
    <row r="2" ht="30" customHeight="1" s="232">
      <c r="A2" s="251" t="inlineStr">
        <is>
          <t>Just noticing, not judging. Log the little impulse buys so you can see your own patterns gently over time. No shame here.</t>
        </is>
      </c>
    </row>
    <row r="4" ht="18" customHeight="1" s="232">
      <c r="A4" s="415" t="inlineStr">
        <is>
          <t>Logged this month</t>
        </is>
      </c>
      <c r="B4" s="255" t="n"/>
      <c r="C4" s="267" t="inlineStr">
        <is>
          <t>Spent this month</t>
        </is>
      </c>
      <c r="D4" s="257" t="n"/>
      <c r="H4" s="416" t="inlineStr">
        <is>
          <t>By trigger</t>
        </is>
      </c>
    </row>
    <row r="5" ht="26" customHeight="1" s="232">
      <c r="A5" s="417">
        <f>COUNTIFS($A$9:$A$508,"&gt;="&amp;(EOMONTH(TODAY(),-1)+1),$A$9:$A$508,"&lt;="&amp;EOMONTH(TODAY(),0))</f>
        <v/>
      </c>
      <c r="B5" s="255" t="n"/>
      <c r="C5" s="418">
        <f>SUMIFS($B$9:$B$508,$A$9:$A$508,"&gt;="&amp;(EOMONTH(TODAY(),-1)+1),$A$9:$A$508,"&lt;="&amp;EOMONTH(TODAY(),0))</f>
        <v/>
      </c>
      <c r="D5" s="257" t="n"/>
      <c r="H5" s="419" t="inlineStr">
        <is>
          <t>Boredom</t>
        </is>
      </c>
      <c r="I5" s="420">
        <f>COUNTIF($D$9:$D$508,"Boredom")</f>
        <v/>
      </c>
    </row>
    <row r="6">
      <c r="H6" s="419" t="inlineStr">
        <is>
          <t>Stress</t>
        </is>
      </c>
      <c r="I6" s="420">
        <f>COUNTIF($D$9:$D$508,"Stress")</f>
        <v/>
      </c>
    </row>
    <row r="7" ht="24" customHeight="1" s="232">
      <c r="A7" s="421" t="inlineStr">
        <is>
          <t>Date</t>
        </is>
      </c>
      <c r="B7" s="421" t="inlineStr">
        <is>
          <t>Amount</t>
        </is>
      </c>
      <c r="C7" s="421" t="inlineStr">
        <is>
          <t>What I bought</t>
        </is>
      </c>
      <c r="D7" s="421" t="inlineStr">
        <is>
          <t>Trigger</t>
        </is>
      </c>
      <c r="E7" s="421" t="inlineStr">
        <is>
          <t>How I feel now</t>
        </is>
      </c>
      <c r="H7" s="419" t="inlineStr">
        <is>
          <t>Scrolling</t>
        </is>
      </c>
      <c r="I7" s="420">
        <f>COUNTIF($D$9:$D$508,"Scrolling")</f>
        <v/>
      </c>
    </row>
    <row r="8">
      <c r="A8" s="422">
        <f>EOMONTH(TODAY(),-1)+3</f>
        <v/>
      </c>
      <c r="B8" s="423" t="n">
        <v>18.5</v>
      </c>
      <c r="C8" s="424" t="inlineStr">
        <is>
          <t>Impulse phone case (example, type over me)</t>
        </is>
      </c>
      <c r="D8" s="425" t="inlineStr">
        <is>
          <t>Scrolling</t>
        </is>
      </c>
      <c r="E8" s="425" t="inlineStr">
        <is>
          <t>Neutral</t>
        </is>
      </c>
      <c r="H8" s="419" t="inlineStr">
        <is>
          <t>Social pressure</t>
        </is>
      </c>
      <c r="I8" s="420">
        <f>COUNTIF($D$9:$D$508,"Social pressure")</f>
        <v/>
      </c>
    </row>
    <row r="9">
      <c r="A9" s="426" t="n"/>
      <c r="B9" s="427" t="n"/>
      <c r="C9" s="428" t="n"/>
      <c r="D9" s="429" t="n"/>
      <c r="E9" s="429" t="n"/>
      <c r="H9" s="419" t="inlineStr">
        <is>
          <t>Celebration</t>
        </is>
      </c>
      <c r="I9" s="420">
        <f>COUNTIF($D$9:$D$508,"Celebration")</f>
        <v/>
      </c>
    </row>
    <row r="10">
      <c r="A10" s="430" t="n"/>
      <c r="B10" s="431" t="n"/>
      <c r="C10" s="432" t="n"/>
      <c r="D10" s="433" t="n"/>
      <c r="E10" s="433" t="n"/>
      <c r="H10" s="419" t="inlineStr">
        <is>
          <t>Other</t>
        </is>
      </c>
      <c r="I10" s="420">
        <f>COUNTIF($D$9:$D$508,"Other")</f>
        <v/>
      </c>
    </row>
    <row r="11">
      <c r="A11" s="426" t="n"/>
      <c r="B11" s="427" t="n"/>
      <c r="C11" s="428" t="n"/>
      <c r="D11" s="429" t="n"/>
      <c r="E11" s="429" t="n"/>
    </row>
    <row r="12">
      <c r="A12" s="430" t="n"/>
      <c r="B12" s="431" t="n"/>
      <c r="C12" s="432" t="n"/>
      <c r="D12" s="433" t="n"/>
      <c r="E12" s="433" t="n"/>
    </row>
    <row r="13">
      <c r="A13" s="426" t="n"/>
      <c r="B13" s="427" t="n"/>
      <c r="C13" s="428" t="n"/>
      <c r="D13" s="429" t="n"/>
      <c r="E13" s="429" t="n"/>
    </row>
    <row r="14">
      <c r="A14" s="430" t="n"/>
      <c r="B14" s="431" t="n"/>
      <c r="C14" s="432" t="n"/>
      <c r="D14" s="433" t="n"/>
      <c r="E14" s="433" t="n"/>
    </row>
    <row r="15">
      <c r="A15" s="426" t="n"/>
      <c r="B15" s="427" t="n"/>
      <c r="C15" s="428" t="n"/>
      <c r="D15" s="429" t="n"/>
      <c r="E15" s="429" t="n"/>
    </row>
    <row r="16">
      <c r="A16" s="430" t="n"/>
      <c r="B16" s="431" t="n"/>
      <c r="C16" s="432" t="n"/>
      <c r="D16" s="433" t="n"/>
      <c r="E16" s="433" t="n"/>
    </row>
    <row r="17">
      <c r="A17" s="426" t="n"/>
      <c r="B17" s="427" t="n"/>
      <c r="C17" s="428" t="n"/>
      <c r="D17" s="429" t="n"/>
      <c r="E17" s="429" t="n"/>
    </row>
    <row r="18">
      <c r="A18" s="430" t="n"/>
      <c r="B18" s="431" t="n"/>
      <c r="C18" s="432" t="n"/>
      <c r="D18" s="433" t="n"/>
      <c r="E18" s="433" t="n"/>
    </row>
    <row r="19">
      <c r="A19" s="426" t="n"/>
      <c r="B19" s="427" t="n"/>
      <c r="C19" s="428" t="n"/>
      <c r="D19" s="429" t="n"/>
      <c r="E19" s="429" t="n"/>
    </row>
    <row r="20">
      <c r="A20" s="430" t="n"/>
      <c r="B20" s="431" t="n"/>
      <c r="C20" s="432" t="n"/>
      <c r="D20" s="433" t="n"/>
      <c r="E20" s="433" t="n"/>
    </row>
    <row r="21">
      <c r="A21" s="426" t="n"/>
      <c r="B21" s="427" t="n"/>
      <c r="C21" s="428" t="n"/>
      <c r="D21" s="429" t="n"/>
      <c r="E21" s="429" t="n"/>
    </row>
    <row r="22">
      <c r="A22" s="430" t="n"/>
      <c r="B22" s="431" t="n"/>
      <c r="C22" s="432" t="n"/>
      <c r="D22" s="433" t="n"/>
      <c r="E22" s="433" t="n"/>
    </row>
    <row r="23">
      <c r="A23" s="426" t="n"/>
      <c r="B23" s="427" t="n"/>
      <c r="C23" s="428" t="n"/>
      <c r="D23" s="429" t="n"/>
      <c r="E23" s="429" t="n"/>
    </row>
    <row r="24">
      <c r="A24" s="430" t="n"/>
      <c r="B24" s="431" t="n"/>
      <c r="C24" s="432" t="n"/>
      <c r="D24" s="433" t="n"/>
      <c r="E24" s="433" t="n"/>
    </row>
    <row r="25">
      <c r="A25" s="426" t="n"/>
      <c r="B25" s="427" t="n"/>
      <c r="C25" s="428" t="n"/>
      <c r="D25" s="429" t="n"/>
      <c r="E25" s="429" t="n"/>
    </row>
    <row r="26">
      <c r="A26" s="430" t="n"/>
      <c r="B26" s="431" t="n"/>
      <c r="C26" s="432" t="n"/>
      <c r="D26" s="433" t="n"/>
      <c r="E26" s="433" t="n"/>
    </row>
    <row r="27">
      <c r="A27" s="426" t="n"/>
      <c r="B27" s="427" t="n"/>
      <c r="C27" s="428" t="n"/>
      <c r="D27" s="429" t="n"/>
      <c r="E27" s="429" t="n"/>
    </row>
    <row r="28">
      <c r="A28" s="430" t="n"/>
      <c r="B28" s="431" t="n"/>
      <c r="C28" s="432" t="n"/>
      <c r="D28" s="433" t="n"/>
      <c r="E28" s="433" t="n"/>
    </row>
    <row r="29">
      <c r="A29" s="426" t="n"/>
      <c r="B29" s="427" t="n"/>
      <c r="C29" s="428" t="n"/>
      <c r="D29" s="429" t="n"/>
      <c r="E29" s="429" t="n"/>
    </row>
    <row r="30">
      <c r="A30" s="430" t="n"/>
      <c r="B30" s="431" t="n"/>
      <c r="C30" s="432" t="n"/>
      <c r="D30" s="433" t="n"/>
      <c r="E30" s="433" t="n"/>
    </row>
    <row r="31">
      <c r="A31" s="426" t="n"/>
      <c r="B31" s="427" t="n"/>
      <c r="C31" s="428" t="n"/>
      <c r="D31" s="429" t="n"/>
      <c r="E31" s="429" t="n"/>
    </row>
    <row r="32">
      <c r="A32" s="430" t="n"/>
      <c r="B32" s="431" t="n"/>
      <c r="C32" s="432" t="n"/>
      <c r="D32" s="433" t="n"/>
      <c r="E32" s="433" t="n"/>
    </row>
    <row r="33">
      <c r="A33" s="426" t="n"/>
      <c r="B33" s="427" t="n"/>
      <c r="C33" s="428" t="n"/>
      <c r="D33" s="429" t="n"/>
      <c r="E33" s="429" t="n"/>
    </row>
    <row r="34">
      <c r="A34" s="430" t="n"/>
      <c r="B34" s="431" t="n"/>
      <c r="C34" s="432" t="n"/>
      <c r="D34" s="433" t="n"/>
      <c r="E34" s="433" t="n"/>
    </row>
    <row r="35">
      <c r="A35" s="426" t="n"/>
      <c r="B35" s="427" t="n"/>
      <c r="C35" s="428" t="n"/>
      <c r="D35" s="429" t="n"/>
      <c r="E35" s="429" t="n"/>
    </row>
    <row r="36">
      <c r="A36" s="430" t="n"/>
      <c r="B36" s="431" t="n"/>
      <c r="C36" s="432" t="n"/>
      <c r="D36" s="433" t="n"/>
      <c r="E36" s="433" t="n"/>
    </row>
    <row r="37">
      <c r="A37" s="426" t="n"/>
      <c r="B37" s="427" t="n"/>
      <c r="C37" s="428" t="n"/>
      <c r="D37" s="429" t="n"/>
      <c r="E37" s="429" t="n"/>
    </row>
    <row r="38">
      <c r="A38" s="430" t="n"/>
      <c r="B38" s="431" t="n"/>
      <c r="C38" s="432" t="n"/>
      <c r="D38" s="433" t="n"/>
      <c r="E38" s="433" t="n"/>
    </row>
    <row r="39">
      <c r="A39" s="426" t="n"/>
      <c r="B39" s="427" t="n"/>
      <c r="C39" s="428" t="n"/>
      <c r="D39" s="429" t="n"/>
      <c r="E39" s="429" t="n"/>
    </row>
    <row r="40">
      <c r="A40" s="430" t="n"/>
      <c r="B40" s="431" t="n"/>
      <c r="C40" s="432" t="n"/>
      <c r="D40" s="433" t="n"/>
      <c r="E40" s="433" t="n"/>
    </row>
    <row r="41">
      <c r="A41" s="426" t="n"/>
      <c r="B41" s="427" t="n"/>
      <c r="C41" s="428" t="n"/>
      <c r="D41" s="429" t="n"/>
      <c r="E41" s="429" t="n"/>
    </row>
    <row r="42">
      <c r="A42" s="430" t="n"/>
      <c r="B42" s="431" t="n"/>
      <c r="C42" s="432" t="n"/>
      <c r="D42" s="433" t="n"/>
      <c r="E42" s="433" t="n"/>
    </row>
    <row r="43">
      <c r="A43" s="426" t="n"/>
      <c r="B43" s="427" t="n"/>
      <c r="C43" s="428" t="n"/>
      <c r="D43" s="429" t="n"/>
      <c r="E43" s="429" t="n"/>
    </row>
    <row r="44">
      <c r="A44" s="430" t="n"/>
      <c r="B44" s="431" t="n"/>
      <c r="C44" s="432" t="n"/>
      <c r="D44" s="433" t="n"/>
      <c r="E44" s="433" t="n"/>
    </row>
    <row r="45">
      <c r="A45" s="426" t="n"/>
      <c r="B45" s="427" t="n"/>
      <c r="C45" s="428" t="n"/>
      <c r="D45" s="429" t="n"/>
      <c r="E45" s="429" t="n"/>
    </row>
    <row r="46">
      <c r="A46" s="430" t="n"/>
      <c r="B46" s="431" t="n"/>
      <c r="C46" s="432" t="n"/>
      <c r="D46" s="433" t="n"/>
      <c r="E46" s="433" t="n"/>
    </row>
    <row r="47">
      <c r="A47" s="426" t="n"/>
      <c r="B47" s="427" t="n"/>
      <c r="C47" s="428" t="n"/>
      <c r="D47" s="429" t="n"/>
      <c r="E47" s="429" t="n"/>
    </row>
    <row r="48">
      <c r="A48" s="430" t="n"/>
      <c r="B48" s="431" t="n"/>
      <c r="C48" s="432" t="n"/>
      <c r="D48" s="433" t="n"/>
      <c r="E48" s="433" t="n"/>
    </row>
    <row r="49">
      <c r="A49" s="426" t="n"/>
      <c r="B49" s="427" t="n"/>
      <c r="C49" s="428" t="n"/>
      <c r="D49" s="429" t="n"/>
      <c r="E49" s="429" t="n"/>
    </row>
    <row r="50">
      <c r="A50" s="430" t="n"/>
      <c r="B50" s="431" t="n"/>
      <c r="C50" s="432" t="n"/>
      <c r="D50" s="433" t="n"/>
      <c r="E50" s="433" t="n"/>
    </row>
    <row r="51">
      <c r="A51" s="426" t="n"/>
      <c r="B51" s="427" t="n"/>
      <c r="C51" s="428" t="n"/>
      <c r="D51" s="429" t="n"/>
      <c r="E51" s="429" t="n"/>
    </row>
    <row r="52">
      <c r="A52" s="430" t="n"/>
      <c r="B52" s="431" t="n"/>
      <c r="C52" s="432" t="n"/>
      <c r="D52" s="433" t="n"/>
      <c r="E52" s="433" t="n"/>
    </row>
    <row r="53">
      <c r="A53" s="426" t="n"/>
      <c r="B53" s="427" t="n"/>
      <c r="C53" s="428" t="n"/>
      <c r="D53" s="429" t="n"/>
      <c r="E53" s="429" t="n"/>
    </row>
    <row r="54">
      <c r="A54" s="430" t="n"/>
      <c r="B54" s="431" t="n"/>
      <c r="C54" s="432" t="n"/>
      <c r="D54" s="433" t="n"/>
      <c r="E54" s="433" t="n"/>
    </row>
    <row r="55">
      <c r="A55" s="426" t="n"/>
      <c r="B55" s="427" t="n"/>
      <c r="C55" s="428" t="n"/>
      <c r="D55" s="429" t="n"/>
      <c r="E55" s="429" t="n"/>
    </row>
    <row r="56">
      <c r="A56" s="430" t="n"/>
      <c r="B56" s="431" t="n"/>
      <c r="C56" s="432" t="n"/>
      <c r="D56" s="433" t="n"/>
      <c r="E56" s="433" t="n"/>
    </row>
    <row r="57">
      <c r="A57" s="426" t="n"/>
      <c r="B57" s="427" t="n"/>
      <c r="C57" s="428" t="n"/>
      <c r="D57" s="429" t="n"/>
      <c r="E57" s="429" t="n"/>
    </row>
    <row r="58">
      <c r="A58" s="430" t="n"/>
      <c r="B58" s="431" t="n"/>
      <c r="C58" s="432" t="n"/>
      <c r="D58" s="433" t="n"/>
      <c r="E58" s="433" t="n"/>
    </row>
    <row r="59">
      <c r="A59" s="426" t="n"/>
      <c r="B59" s="427" t="n"/>
      <c r="C59" s="428" t="n"/>
      <c r="D59" s="429" t="n"/>
      <c r="E59" s="429" t="n"/>
    </row>
    <row r="60">
      <c r="A60" s="430" t="n"/>
      <c r="B60" s="431" t="n"/>
      <c r="C60" s="432" t="n"/>
      <c r="D60" s="433" t="n"/>
      <c r="E60" s="433" t="n"/>
    </row>
    <row r="61">
      <c r="A61" s="426" t="n"/>
      <c r="B61" s="427" t="n"/>
      <c r="C61" s="428" t="n"/>
      <c r="D61" s="429" t="n"/>
      <c r="E61" s="429" t="n"/>
    </row>
    <row r="62">
      <c r="A62" s="430" t="n"/>
      <c r="B62" s="431" t="n"/>
      <c r="C62" s="432" t="n"/>
      <c r="D62" s="433" t="n"/>
      <c r="E62" s="433" t="n"/>
    </row>
    <row r="63">
      <c r="A63" s="426" t="n"/>
      <c r="B63" s="427" t="n"/>
      <c r="C63" s="428" t="n"/>
      <c r="D63" s="429" t="n"/>
      <c r="E63" s="429" t="n"/>
    </row>
    <row r="64">
      <c r="A64" s="430" t="n"/>
      <c r="B64" s="431" t="n"/>
      <c r="C64" s="432" t="n"/>
      <c r="D64" s="433" t="n"/>
      <c r="E64" s="433" t="n"/>
    </row>
    <row r="65">
      <c r="A65" s="426" t="n"/>
      <c r="B65" s="427" t="n"/>
      <c r="C65" s="428" t="n"/>
      <c r="D65" s="429" t="n"/>
      <c r="E65" s="429" t="n"/>
    </row>
    <row r="66">
      <c r="A66" s="430" t="n"/>
      <c r="B66" s="431" t="n"/>
      <c r="C66" s="432" t="n"/>
      <c r="D66" s="433" t="n"/>
      <c r="E66" s="433" t="n"/>
    </row>
    <row r="67">
      <c r="A67" s="426" t="n"/>
      <c r="B67" s="427" t="n"/>
      <c r="C67" s="428" t="n"/>
      <c r="D67" s="429" t="n"/>
      <c r="E67" s="429" t="n"/>
    </row>
    <row r="68">
      <c r="A68" s="430" t="n"/>
      <c r="B68" s="431" t="n"/>
      <c r="C68" s="432" t="n"/>
      <c r="D68" s="433" t="n"/>
      <c r="E68" s="433" t="n"/>
    </row>
    <row r="69">
      <c r="A69" s="426" t="n"/>
      <c r="B69" s="427" t="n"/>
      <c r="C69" s="428" t="n"/>
      <c r="D69" s="429" t="n"/>
      <c r="E69" s="429" t="n"/>
    </row>
    <row r="70">
      <c r="A70" s="430" t="n"/>
      <c r="B70" s="431" t="n"/>
      <c r="C70" s="432" t="n"/>
      <c r="D70" s="433" t="n"/>
      <c r="E70" s="433" t="n"/>
    </row>
    <row r="71">
      <c r="A71" s="426" t="n"/>
      <c r="B71" s="427" t="n"/>
      <c r="C71" s="428" t="n"/>
      <c r="D71" s="429" t="n"/>
      <c r="E71" s="429" t="n"/>
    </row>
    <row r="72">
      <c r="A72" s="430" t="n"/>
      <c r="B72" s="431" t="n"/>
      <c r="C72" s="432" t="n"/>
      <c r="D72" s="433" t="n"/>
      <c r="E72" s="433" t="n"/>
    </row>
    <row r="73">
      <c r="A73" s="426" t="n"/>
      <c r="B73" s="427" t="n"/>
      <c r="C73" s="428" t="n"/>
      <c r="D73" s="429" t="n"/>
      <c r="E73" s="429" t="n"/>
    </row>
    <row r="74">
      <c r="A74" s="430" t="n"/>
      <c r="B74" s="431" t="n"/>
      <c r="C74" s="432" t="n"/>
      <c r="D74" s="433" t="n"/>
      <c r="E74" s="433" t="n"/>
    </row>
    <row r="75">
      <c r="A75" s="426" t="n"/>
      <c r="B75" s="427" t="n"/>
      <c r="C75" s="428" t="n"/>
      <c r="D75" s="429" t="n"/>
      <c r="E75" s="429" t="n"/>
    </row>
    <row r="76">
      <c r="A76" s="430" t="n"/>
      <c r="B76" s="431" t="n"/>
      <c r="C76" s="432" t="n"/>
      <c r="D76" s="433" t="n"/>
      <c r="E76" s="433" t="n"/>
    </row>
    <row r="77">
      <c r="A77" s="426" t="n"/>
      <c r="B77" s="427" t="n"/>
      <c r="C77" s="428" t="n"/>
      <c r="D77" s="429" t="n"/>
      <c r="E77" s="429" t="n"/>
    </row>
    <row r="78">
      <c r="A78" s="430" t="n"/>
      <c r="B78" s="431" t="n"/>
      <c r="C78" s="432" t="n"/>
      <c r="D78" s="433" t="n"/>
      <c r="E78" s="433" t="n"/>
    </row>
    <row r="79">
      <c r="A79" s="426" t="n"/>
      <c r="B79" s="427" t="n"/>
      <c r="C79" s="428" t="n"/>
      <c r="D79" s="429" t="n"/>
      <c r="E79" s="429" t="n"/>
    </row>
    <row r="80">
      <c r="A80" s="430" t="n"/>
      <c r="B80" s="431" t="n"/>
      <c r="C80" s="432" t="n"/>
      <c r="D80" s="433" t="n"/>
      <c r="E80" s="433" t="n"/>
    </row>
    <row r="81">
      <c r="A81" s="426" t="n"/>
      <c r="B81" s="427" t="n"/>
      <c r="C81" s="428" t="n"/>
      <c r="D81" s="429" t="n"/>
      <c r="E81" s="429" t="n"/>
    </row>
    <row r="82">
      <c r="A82" s="430" t="n"/>
      <c r="B82" s="431" t="n"/>
      <c r="C82" s="432" t="n"/>
      <c r="D82" s="433" t="n"/>
      <c r="E82" s="433" t="n"/>
    </row>
    <row r="83">
      <c r="A83" s="426" t="n"/>
      <c r="B83" s="427" t="n"/>
      <c r="C83" s="428" t="n"/>
      <c r="D83" s="429" t="n"/>
      <c r="E83" s="429" t="n"/>
    </row>
    <row r="84">
      <c r="A84" s="430" t="n"/>
      <c r="B84" s="431" t="n"/>
      <c r="C84" s="432" t="n"/>
      <c r="D84" s="433" t="n"/>
      <c r="E84" s="433" t="n"/>
    </row>
    <row r="85">
      <c r="A85" s="426" t="n"/>
      <c r="B85" s="427" t="n"/>
      <c r="C85" s="428" t="n"/>
      <c r="D85" s="429" t="n"/>
      <c r="E85" s="429" t="n"/>
    </row>
    <row r="86">
      <c r="A86" s="430" t="n"/>
      <c r="B86" s="431" t="n"/>
      <c r="C86" s="432" t="n"/>
      <c r="D86" s="433" t="n"/>
      <c r="E86" s="433" t="n"/>
    </row>
    <row r="87">
      <c r="A87" s="426" t="n"/>
      <c r="B87" s="427" t="n"/>
      <c r="C87" s="428" t="n"/>
      <c r="D87" s="429" t="n"/>
      <c r="E87" s="429" t="n"/>
    </row>
    <row r="88">
      <c r="A88" s="430" t="n"/>
      <c r="B88" s="431" t="n"/>
      <c r="C88" s="432" t="n"/>
      <c r="D88" s="433" t="n"/>
      <c r="E88" s="433" t="n"/>
    </row>
    <row r="89">
      <c r="A89" s="426" t="n"/>
      <c r="B89" s="427" t="n"/>
      <c r="C89" s="428" t="n"/>
      <c r="D89" s="429" t="n"/>
      <c r="E89" s="429" t="n"/>
    </row>
    <row r="90">
      <c r="A90" s="430" t="n"/>
      <c r="B90" s="431" t="n"/>
      <c r="C90" s="432" t="n"/>
      <c r="D90" s="433" t="n"/>
      <c r="E90" s="433" t="n"/>
    </row>
    <row r="91">
      <c r="A91" s="426" t="n"/>
      <c r="B91" s="427" t="n"/>
      <c r="C91" s="428" t="n"/>
      <c r="D91" s="429" t="n"/>
      <c r="E91" s="429" t="n"/>
    </row>
    <row r="92">
      <c r="A92" s="430" t="n"/>
      <c r="B92" s="431" t="n"/>
      <c r="C92" s="432" t="n"/>
      <c r="D92" s="433" t="n"/>
      <c r="E92" s="433" t="n"/>
    </row>
    <row r="93">
      <c r="A93" s="426" t="n"/>
      <c r="B93" s="427" t="n"/>
      <c r="C93" s="428" t="n"/>
      <c r="D93" s="429" t="n"/>
      <c r="E93" s="429" t="n"/>
    </row>
    <row r="94">
      <c r="A94" s="430" t="n"/>
      <c r="B94" s="431" t="n"/>
      <c r="C94" s="432" t="n"/>
      <c r="D94" s="433" t="n"/>
      <c r="E94" s="433" t="n"/>
    </row>
    <row r="95">
      <c r="A95" s="426" t="n"/>
      <c r="B95" s="427" t="n"/>
      <c r="C95" s="428" t="n"/>
      <c r="D95" s="429" t="n"/>
      <c r="E95" s="429" t="n"/>
    </row>
    <row r="96">
      <c r="A96" s="430" t="n"/>
      <c r="B96" s="431" t="n"/>
      <c r="C96" s="432" t="n"/>
      <c r="D96" s="433" t="n"/>
      <c r="E96" s="433" t="n"/>
    </row>
    <row r="97">
      <c r="A97" s="426" t="n"/>
      <c r="B97" s="427" t="n"/>
      <c r="C97" s="428" t="n"/>
      <c r="D97" s="429" t="n"/>
      <c r="E97" s="429" t="n"/>
    </row>
    <row r="98">
      <c r="A98" s="430" t="n"/>
      <c r="B98" s="431" t="n"/>
      <c r="C98" s="432" t="n"/>
      <c r="D98" s="433" t="n"/>
      <c r="E98" s="433" t="n"/>
    </row>
    <row r="99">
      <c r="A99" s="426" t="n"/>
      <c r="B99" s="427" t="n"/>
      <c r="C99" s="428" t="n"/>
      <c r="D99" s="429" t="n"/>
      <c r="E99" s="429" t="n"/>
    </row>
    <row r="100">
      <c r="A100" s="430" t="n"/>
      <c r="B100" s="431" t="n"/>
      <c r="C100" s="432" t="n"/>
      <c r="D100" s="433" t="n"/>
      <c r="E100" s="433" t="n"/>
    </row>
    <row r="101">
      <c r="A101" s="426" t="n"/>
      <c r="B101" s="427" t="n"/>
      <c r="C101" s="428" t="n"/>
      <c r="D101" s="429" t="n"/>
      <c r="E101" s="429" t="n"/>
    </row>
    <row r="102">
      <c r="A102" s="430" t="n"/>
      <c r="B102" s="431" t="n"/>
      <c r="C102" s="432" t="n"/>
      <c r="D102" s="433" t="n"/>
      <c r="E102" s="433" t="n"/>
    </row>
    <row r="103">
      <c r="A103" s="426" t="n"/>
      <c r="B103" s="427" t="n"/>
      <c r="C103" s="428" t="n"/>
      <c r="D103" s="429" t="n"/>
      <c r="E103" s="429" t="n"/>
    </row>
    <row r="104">
      <c r="A104" s="430" t="n"/>
      <c r="B104" s="431" t="n"/>
      <c r="C104" s="432" t="n"/>
      <c r="D104" s="433" t="n"/>
      <c r="E104" s="433" t="n"/>
    </row>
    <row r="105">
      <c r="A105" s="426" t="n"/>
      <c r="B105" s="427" t="n"/>
      <c r="C105" s="428" t="n"/>
      <c r="D105" s="429" t="n"/>
      <c r="E105" s="429" t="n"/>
    </row>
    <row r="106">
      <c r="A106" s="430" t="n"/>
      <c r="B106" s="431" t="n"/>
      <c r="C106" s="432" t="n"/>
      <c r="D106" s="433" t="n"/>
      <c r="E106" s="433" t="n"/>
    </row>
    <row r="107">
      <c r="A107" s="426" t="n"/>
      <c r="B107" s="427" t="n"/>
      <c r="C107" s="428" t="n"/>
      <c r="D107" s="429" t="n"/>
      <c r="E107" s="429" t="n"/>
    </row>
    <row r="108">
      <c r="A108" s="430" t="n"/>
      <c r="B108" s="431" t="n"/>
      <c r="C108" s="432" t="n"/>
      <c r="D108" s="433" t="n"/>
      <c r="E108" s="433" t="n"/>
    </row>
    <row r="109">
      <c r="A109" s="426" t="n"/>
      <c r="B109" s="427" t="n"/>
      <c r="C109" s="428" t="n"/>
      <c r="D109" s="429" t="n"/>
      <c r="E109" s="429" t="n"/>
    </row>
    <row r="110">
      <c r="A110" s="430" t="n"/>
      <c r="B110" s="431" t="n"/>
      <c r="C110" s="432" t="n"/>
      <c r="D110" s="433" t="n"/>
      <c r="E110" s="433" t="n"/>
    </row>
    <row r="111">
      <c r="A111" s="426" t="n"/>
      <c r="B111" s="427" t="n"/>
      <c r="C111" s="428" t="n"/>
      <c r="D111" s="429" t="n"/>
      <c r="E111" s="429" t="n"/>
    </row>
    <row r="112">
      <c r="A112" s="430" t="n"/>
      <c r="B112" s="431" t="n"/>
      <c r="C112" s="432" t="n"/>
      <c r="D112" s="433" t="n"/>
      <c r="E112" s="433" t="n"/>
    </row>
    <row r="113">
      <c r="A113" s="426" t="n"/>
      <c r="B113" s="427" t="n"/>
      <c r="C113" s="428" t="n"/>
      <c r="D113" s="429" t="n"/>
      <c r="E113" s="429" t="n"/>
    </row>
    <row r="114">
      <c r="A114" s="430" t="n"/>
      <c r="B114" s="431" t="n"/>
      <c r="C114" s="432" t="n"/>
      <c r="D114" s="433" t="n"/>
      <c r="E114" s="433" t="n"/>
    </row>
    <row r="115">
      <c r="A115" s="426" t="n"/>
      <c r="B115" s="427" t="n"/>
      <c r="C115" s="428" t="n"/>
      <c r="D115" s="429" t="n"/>
      <c r="E115" s="429" t="n"/>
    </row>
    <row r="116">
      <c r="A116" s="430" t="n"/>
      <c r="B116" s="431" t="n"/>
      <c r="C116" s="432" t="n"/>
      <c r="D116" s="433" t="n"/>
      <c r="E116" s="433" t="n"/>
    </row>
    <row r="117">
      <c r="A117" s="426" t="n"/>
      <c r="B117" s="427" t="n"/>
      <c r="C117" s="428" t="n"/>
      <c r="D117" s="429" t="n"/>
      <c r="E117" s="429" t="n"/>
    </row>
    <row r="118">
      <c r="A118" s="430" t="n"/>
      <c r="B118" s="431" t="n"/>
      <c r="C118" s="432" t="n"/>
      <c r="D118" s="433" t="n"/>
      <c r="E118" s="433" t="n"/>
    </row>
    <row r="119">
      <c r="A119" s="426" t="n"/>
      <c r="B119" s="427" t="n"/>
      <c r="C119" s="428" t="n"/>
      <c r="D119" s="429" t="n"/>
      <c r="E119" s="429" t="n"/>
    </row>
    <row r="120">
      <c r="A120" s="430" t="n"/>
      <c r="B120" s="431" t="n"/>
      <c r="C120" s="432" t="n"/>
      <c r="D120" s="433" t="n"/>
      <c r="E120" s="433" t="n"/>
    </row>
    <row r="121">
      <c r="A121" s="426" t="n"/>
      <c r="B121" s="427" t="n"/>
      <c r="C121" s="428" t="n"/>
      <c r="D121" s="429" t="n"/>
      <c r="E121" s="429" t="n"/>
    </row>
    <row r="122">
      <c r="A122" s="430" t="n"/>
      <c r="B122" s="431" t="n"/>
      <c r="C122" s="432" t="n"/>
      <c r="D122" s="433" t="n"/>
      <c r="E122" s="433" t="n"/>
    </row>
    <row r="123">
      <c r="A123" s="426" t="n"/>
      <c r="B123" s="427" t="n"/>
      <c r="C123" s="428" t="n"/>
      <c r="D123" s="429" t="n"/>
      <c r="E123" s="429" t="n"/>
    </row>
    <row r="124">
      <c r="A124" s="430" t="n"/>
      <c r="B124" s="431" t="n"/>
      <c r="C124" s="432" t="n"/>
      <c r="D124" s="433" t="n"/>
      <c r="E124" s="433" t="n"/>
    </row>
    <row r="125">
      <c r="A125" s="426" t="n"/>
      <c r="B125" s="427" t="n"/>
      <c r="C125" s="428" t="n"/>
      <c r="D125" s="429" t="n"/>
      <c r="E125" s="429" t="n"/>
    </row>
    <row r="126">
      <c r="A126" s="430" t="n"/>
      <c r="B126" s="431" t="n"/>
      <c r="C126" s="432" t="n"/>
      <c r="D126" s="433" t="n"/>
      <c r="E126" s="433" t="n"/>
    </row>
    <row r="127">
      <c r="A127" s="426" t="n"/>
      <c r="B127" s="427" t="n"/>
      <c r="C127" s="428" t="n"/>
      <c r="D127" s="429" t="n"/>
      <c r="E127" s="429" t="n"/>
    </row>
    <row r="128">
      <c r="A128" s="430" t="n"/>
      <c r="B128" s="431" t="n"/>
      <c r="C128" s="432" t="n"/>
      <c r="D128" s="433" t="n"/>
      <c r="E128" s="433" t="n"/>
    </row>
    <row r="129">
      <c r="A129" s="426" t="n"/>
      <c r="B129" s="427" t="n"/>
      <c r="C129" s="428" t="n"/>
      <c r="D129" s="429" t="n"/>
      <c r="E129" s="429" t="n"/>
    </row>
    <row r="130">
      <c r="A130" s="430" t="n"/>
      <c r="B130" s="431" t="n"/>
      <c r="C130" s="432" t="n"/>
      <c r="D130" s="433" t="n"/>
      <c r="E130" s="433" t="n"/>
    </row>
    <row r="131">
      <c r="A131" s="426" t="n"/>
      <c r="B131" s="427" t="n"/>
      <c r="C131" s="428" t="n"/>
      <c r="D131" s="429" t="n"/>
      <c r="E131" s="429" t="n"/>
    </row>
    <row r="132">
      <c r="A132" s="430" t="n"/>
      <c r="B132" s="431" t="n"/>
      <c r="C132" s="432" t="n"/>
      <c r="D132" s="433" t="n"/>
      <c r="E132" s="433" t="n"/>
    </row>
    <row r="133">
      <c r="A133" s="426" t="n"/>
      <c r="B133" s="427" t="n"/>
      <c r="C133" s="428" t="n"/>
      <c r="D133" s="429" t="n"/>
      <c r="E133" s="429" t="n"/>
    </row>
    <row r="134">
      <c r="A134" s="430" t="n"/>
      <c r="B134" s="431" t="n"/>
      <c r="C134" s="432" t="n"/>
      <c r="D134" s="433" t="n"/>
      <c r="E134" s="433" t="n"/>
    </row>
    <row r="135">
      <c r="A135" s="426" t="n"/>
      <c r="B135" s="427" t="n"/>
      <c r="C135" s="428" t="n"/>
      <c r="D135" s="429" t="n"/>
      <c r="E135" s="429" t="n"/>
    </row>
    <row r="136">
      <c r="A136" s="430" t="n"/>
      <c r="B136" s="431" t="n"/>
      <c r="C136" s="432" t="n"/>
      <c r="D136" s="433" t="n"/>
      <c r="E136" s="433" t="n"/>
    </row>
    <row r="137">
      <c r="A137" s="426" t="n"/>
      <c r="B137" s="427" t="n"/>
      <c r="C137" s="428" t="n"/>
      <c r="D137" s="429" t="n"/>
      <c r="E137" s="429" t="n"/>
    </row>
    <row r="138">
      <c r="A138" s="430" t="n"/>
      <c r="B138" s="431" t="n"/>
      <c r="C138" s="432" t="n"/>
      <c r="D138" s="433" t="n"/>
      <c r="E138" s="433" t="n"/>
    </row>
    <row r="139">
      <c r="A139" s="426" t="n"/>
      <c r="B139" s="427" t="n"/>
      <c r="C139" s="428" t="n"/>
      <c r="D139" s="429" t="n"/>
      <c r="E139" s="429" t="n"/>
    </row>
    <row r="140">
      <c r="A140" s="430" t="n"/>
      <c r="B140" s="431" t="n"/>
      <c r="C140" s="432" t="n"/>
      <c r="D140" s="433" t="n"/>
      <c r="E140" s="433" t="n"/>
    </row>
    <row r="141">
      <c r="A141" s="426" t="n"/>
      <c r="B141" s="427" t="n"/>
      <c r="C141" s="428" t="n"/>
      <c r="D141" s="429" t="n"/>
      <c r="E141" s="429" t="n"/>
    </row>
    <row r="142">
      <c r="A142" s="430" t="n"/>
      <c r="B142" s="431" t="n"/>
      <c r="C142" s="432" t="n"/>
      <c r="D142" s="433" t="n"/>
      <c r="E142" s="433" t="n"/>
    </row>
    <row r="143">
      <c r="A143" s="426" t="n"/>
      <c r="B143" s="427" t="n"/>
      <c r="C143" s="428" t="n"/>
      <c r="D143" s="429" t="n"/>
      <c r="E143" s="429" t="n"/>
    </row>
    <row r="144">
      <c r="A144" s="430" t="n"/>
      <c r="B144" s="431" t="n"/>
      <c r="C144" s="432" t="n"/>
      <c r="D144" s="433" t="n"/>
      <c r="E144" s="433" t="n"/>
    </row>
    <row r="145">
      <c r="A145" s="426" t="n"/>
      <c r="B145" s="427" t="n"/>
      <c r="C145" s="428" t="n"/>
      <c r="D145" s="429" t="n"/>
      <c r="E145" s="429" t="n"/>
    </row>
    <row r="146">
      <c r="A146" s="430" t="n"/>
      <c r="B146" s="431" t="n"/>
      <c r="C146" s="432" t="n"/>
      <c r="D146" s="433" t="n"/>
      <c r="E146" s="433" t="n"/>
    </row>
    <row r="147">
      <c r="A147" s="426" t="n"/>
      <c r="B147" s="427" t="n"/>
      <c r="C147" s="428" t="n"/>
      <c r="D147" s="429" t="n"/>
      <c r="E147" s="429" t="n"/>
    </row>
    <row r="148">
      <c r="A148" s="430" t="n"/>
      <c r="B148" s="431" t="n"/>
      <c r="C148" s="432" t="n"/>
      <c r="D148" s="433" t="n"/>
      <c r="E148" s="433" t="n"/>
    </row>
    <row r="149">
      <c r="A149" s="426" t="n"/>
      <c r="B149" s="427" t="n"/>
      <c r="C149" s="428" t="n"/>
      <c r="D149" s="429" t="n"/>
      <c r="E149" s="429" t="n"/>
    </row>
    <row r="150">
      <c r="A150" s="430" t="n"/>
      <c r="B150" s="431" t="n"/>
      <c r="C150" s="432" t="n"/>
      <c r="D150" s="433" t="n"/>
      <c r="E150" s="433" t="n"/>
    </row>
    <row r="151">
      <c r="A151" s="426" t="n"/>
      <c r="B151" s="427" t="n"/>
      <c r="C151" s="428" t="n"/>
      <c r="D151" s="429" t="n"/>
      <c r="E151" s="429" t="n"/>
    </row>
    <row r="152">
      <c r="A152" s="430" t="n"/>
      <c r="B152" s="431" t="n"/>
      <c r="C152" s="432" t="n"/>
      <c r="D152" s="433" t="n"/>
      <c r="E152" s="433" t="n"/>
    </row>
    <row r="153">
      <c r="A153" s="426" t="n"/>
      <c r="B153" s="427" t="n"/>
      <c r="C153" s="428" t="n"/>
      <c r="D153" s="429" t="n"/>
      <c r="E153" s="429" t="n"/>
    </row>
    <row r="154">
      <c r="A154" s="430" t="n"/>
      <c r="B154" s="431" t="n"/>
      <c r="C154" s="432" t="n"/>
      <c r="D154" s="433" t="n"/>
      <c r="E154" s="433" t="n"/>
    </row>
    <row r="155">
      <c r="A155" s="426" t="n"/>
      <c r="B155" s="427" t="n"/>
      <c r="C155" s="428" t="n"/>
      <c r="D155" s="429" t="n"/>
      <c r="E155" s="429" t="n"/>
    </row>
    <row r="156">
      <c r="A156" s="430" t="n"/>
      <c r="B156" s="431" t="n"/>
      <c r="C156" s="432" t="n"/>
      <c r="D156" s="433" t="n"/>
      <c r="E156" s="433" t="n"/>
    </row>
    <row r="157">
      <c r="A157" s="426" t="n"/>
      <c r="B157" s="427" t="n"/>
      <c r="C157" s="428" t="n"/>
      <c r="D157" s="429" t="n"/>
      <c r="E157" s="429" t="n"/>
    </row>
    <row r="158">
      <c r="A158" s="430" t="n"/>
      <c r="B158" s="431" t="n"/>
      <c r="C158" s="432" t="n"/>
      <c r="D158" s="433" t="n"/>
      <c r="E158" s="433" t="n"/>
    </row>
    <row r="159">
      <c r="A159" s="426" t="n"/>
      <c r="B159" s="427" t="n"/>
      <c r="C159" s="428" t="n"/>
      <c r="D159" s="429" t="n"/>
      <c r="E159" s="429" t="n"/>
    </row>
    <row r="160">
      <c r="A160" s="430" t="n"/>
      <c r="B160" s="431" t="n"/>
      <c r="C160" s="432" t="n"/>
      <c r="D160" s="433" t="n"/>
      <c r="E160" s="433" t="n"/>
    </row>
    <row r="161">
      <c r="A161" s="426" t="n"/>
      <c r="B161" s="427" t="n"/>
      <c r="C161" s="428" t="n"/>
      <c r="D161" s="429" t="n"/>
      <c r="E161" s="429" t="n"/>
    </row>
    <row r="162">
      <c r="A162" s="430" t="n"/>
      <c r="B162" s="431" t="n"/>
      <c r="C162" s="432" t="n"/>
      <c r="D162" s="433" t="n"/>
      <c r="E162" s="433" t="n"/>
    </row>
    <row r="163">
      <c r="A163" s="426" t="n"/>
      <c r="B163" s="427" t="n"/>
      <c r="C163" s="428" t="n"/>
      <c r="D163" s="429" t="n"/>
      <c r="E163" s="429" t="n"/>
    </row>
    <row r="164">
      <c r="A164" s="430" t="n"/>
      <c r="B164" s="431" t="n"/>
      <c r="C164" s="432" t="n"/>
      <c r="D164" s="433" t="n"/>
      <c r="E164" s="433" t="n"/>
    </row>
    <row r="165">
      <c r="A165" s="426" t="n"/>
      <c r="B165" s="427" t="n"/>
      <c r="C165" s="428" t="n"/>
      <c r="D165" s="429" t="n"/>
      <c r="E165" s="429" t="n"/>
    </row>
    <row r="166">
      <c r="A166" s="430" t="n"/>
      <c r="B166" s="431" t="n"/>
      <c r="C166" s="432" t="n"/>
      <c r="D166" s="433" t="n"/>
      <c r="E166" s="433" t="n"/>
    </row>
    <row r="167">
      <c r="A167" s="426" t="n"/>
      <c r="B167" s="427" t="n"/>
      <c r="C167" s="428" t="n"/>
      <c r="D167" s="429" t="n"/>
      <c r="E167" s="429" t="n"/>
    </row>
    <row r="168">
      <c r="A168" s="430" t="n"/>
      <c r="B168" s="431" t="n"/>
      <c r="C168" s="432" t="n"/>
      <c r="D168" s="433" t="n"/>
      <c r="E168" s="433" t="n"/>
    </row>
    <row r="169">
      <c r="A169" s="426" t="n"/>
      <c r="B169" s="427" t="n"/>
      <c r="C169" s="428" t="n"/>
      <c r="D169" s="429" t="n"/>
      <c r="E169" s="429" t="n"/>
    </row>
    <row r="170">
      <c r="A170" s="430" t="n"/>
      <c r="B170" s="431" t="n"/>
      <c r="C170" s="432" t="n"/>
      <c r="D170" s="433" t="n"/>
      <c r="E170" s="433" t="n"/>
    </row>
    <row r="171">
      <c r="A171" s="426" t="n"/>
      <c r="B171" s="427" t="n"/>
      <c r="C171" s="428" t="n"/>
      <c r="D171" s="429" t="n"/>
      <c r="E171" s="429" t="n"/>
    </row>
    <row r="172">
      <c r="A172" s="430" t="n"/>
      <c r="B172" s="431" t="n"/>
      <c r="C172" s="432" t="n"/>
      <c r="D172" s="433" t="n"/>
      <c r="E172" s="433" t="n"/>
    </row>
    <row r="173">
      <c r="A173" s="426" t="n"/>
      <c r="B173" s="427" t="n"/>
      <c r="C173" s="428" t="n"/>
      <c r="D173" s="429" t="n"/>
      <c r="E173" s="429" t="n"/>
    </row>
    <row r="174">
      <c r="A174" s="430" t="n"/>
      <c r="B174" s="431" t="n"/>
      <c r="C174" s="432" t="n"/>
      <c r="D174" s="433" t="n"/>
      <c r="E174" s="433" t="n"/>
    </row>
    <row r="175">
      <c r="A175" s="426" t="n"/>
      <c r="B175" s="427" t="n"/>
      <c r="C175" s="428" t="n"/>
      <c r="D175" s="429" t="n"/>
      <c r="E175" s="429" t="n"/>
    </row>
    <row r="176">
      <c r="A176" s="430" t="n"/>
      <c r="B176" s="431" t="n"/>
      <c r="C176" s="432" t="n"/>
      <c r="D176" s="433" t="n"/>
      <c r="E176" s="433" t="n"/>
    </row>
    <row r="177">
      <c r="A177" s="426" t="n"/>
      <c r="B177" s="427" t="n"/>
      <c r="C177" s="428" t="n"/>
      <c r="D177" s="429" t="n"/>
      <c r="E177" s="429" t="n"/>
    </row>
    <row r="178">
      <c r="A178" s="430" t="n"/>
      <c r="B178" s="431" t="n"/>
      <c r="C178" s="432" t="n"/>
      <c r="D178" s="433" t="n"/>
      <c r="E178" s="433" t="n"/>
    </row>
    <row r="179">
      <c r="A179" s="426" t="n"/>
      <c r="B179" s="427" t="n"/>
      <c r="C179" s="428" t="n"/>
      <c r="D179" s="429" t="n"/>
      <c r="E179" s="429" t="n"/>
    </row>
    <row r="180">
      <c r="A180" s="430" t="n"/>
      <c r="B180" s="431" t="n"/>
      <c r="C180" s="432" t="n"/>
      <c r="D180" s="433" t="n"/>
      <c r="E180" s="433" t="n"/>
    </row>
    <row r="181">
      <c r="A181" s="426" t="n"/>
      <c r="B181" s="427" t="n"/>
      <c r="C181" s="428" t="n"/>
      <c r="D181" s="429" t="n"/>
      <c r="E181" s="429" t="n"/>
    </row>
    <row r="182">
      <c r="A182" s="430" t="n"/>
      <c r="B182" s="431" t="n"/>
      <c r="C182" s="432" t="n"/>
      <c r="D182" s="433" t="n"/>
      <c r="E182" s="433" t="n"/>
    </row>
    <row r="183">
      <c r="A183" s="426" t="n"/>
      <c r="B183" s="427" t="n"/>
      <c r="C183" s="428" t="n"/>
      <c r="D183" s="429" t="n"/>
      <c r="E183" s="429" t="n"/>
    </row>
    <row r="184">
      <c r="A184" s="430" t="n"/>
      <c r="B184" s="431" t="n"/>
      <c r="C184" s="432" t="n"/>
      <c r="D184" s="433" t="n"/>
      <c r="E184" s="433" t="n"/>
    </row>
    <row r="185">
      <c r="A185" s="426" t="n"/>
      <c r="B185" s="427" t="n"/>
      <c r="C185" s="428" t="n"/>
      <c r="D185" s="429" t="n"/>
      <c r="E185" s="429" t="n"/>
    </row>
    <row r="186">
      <c r="A186" s="430" t="n"/>
      <c r="B186" s="431" t="n"/>
      <c r="C186" s="432" t="n"/>
      <c r="D186" s="433" t="n"/>
      <c r="E186" s="433" t="n"/>
    </row>
    <row r="187">
      <c r="A187" s="426" t="n"/>
      <c r="B187" s="427" t="n"/>
      <c r="C187" s="428" t="n"/>
      <c r="D187" s="429" t="n"/>
      <c r="E187" s="429" t="n"/>
    </row>
    <row r="188">
      <c r="A188" s="430" t="n"/>
      <c r="B188" s="431" t="n"/>
      <c r="C188" s="432" t="n"/>
      <c r="D188" s="433" t="n"/>
      <c r="E188" s="433" t="n"/>
    </row>
    <row r="189">
      <c r="A189" s="426" t="n"/>
      <c r="B189" s="427" t="n"/>
      <c r="C189" s="428" t="n"/>
      <c r="D189" s="429" t="n"/>
      <c r="E189" s="429" t="n"/>
    </row>
    <row r="190">
      <c r="A190" s="430" t="n"/>
      <c r="B190" s="431" t="n"/>
      <c r="C190" s="432" t="n"/>
      <c r="D190" s="433" t="n"/>
      <c r="E190" s="433" t="n"/>
    </row>
    <row r="191">
      <c r="A191" s="426" t="n"/>
      <c r="B191" s="427" t="n"/>
      <c r="C191" s="428" t="n"/>
      <c r="D191" s="429" t="n"/>
      <c r="E191" s="429" t="n"/>
    </row>
    <row r="192">
      <c r="A192" s="430" t="n"/>
      <c r="B192" s="431" t="n"/>
      <c r="C192" s="432" t="n"/>
      <c r="D192" s="433" t="n"/>
      <c r="E192" s="433" t="n"/>
    </row>
    <row r="193">
      <c r="A193" s="426" t="n"/>
      <c r="B193" s="427" t="n"/>
      <c r="C193" s="428" t="n"/>
      <c r="D193" s="429" t="n"/>
      <c r="E193" s="429" t="n"/>
    </row>
    <row r="194">
      <c r="A194" s="430" t="n"/>
      <c r="B194" s="431" t="n"/>
      <c r="C194" s="432" t="n"/>
      <c r="D194" s="433" t="n"/>
      <c r="E194" s="433" t="n"/>
    </row>
    <row r="195">
      <c r="A195" s="426" t="n"/>
      <c r="B195" s="427" t="n"/>
      <c r="C195" s="428" t="n"/>
      <c r="D195" s="429" t="n"/>
      <c r="E195" s="429" t="n"/>
    </row>
    <row r="196">
      <c r="A196" s="430" t="n"/>
      <c r="B196" s="431" t="n"/>
      <c r="C196" s="432" t="n"/>
      <c r="D196" s="433" t="n"/>
      <c r="E196" s="433" t="n"/>
    </row>
    <row r="197">
      <c r="A197" s="426" t="n"/>
      <c r="B197" s="427" t="n"/>
      <c r="C197" s="428" t="n"/>
      <c r="D197" s="429" t="n"/>
      <c r="E197" s="429" t="n"/>
    </row>
    <row r="198">
      <c r="A198" s="430" t="n"/>
      <c r="B198" s="431" t="n"/>
      <c r="C198" s="432" t="n"/>
      <c r="D198" s="433" t="n"/>
      <c r="E198" s="433" t="n"/>
    </row>
    <row r="199">
      <c r="A199" s="426" t="n"/>
      <c r="B199" s="427" t="n"/>
      <c r="C199" s="428" t="n"/>
      <c r="D199" s="429" t="n"/>
      <c r="E199" s="429" t="n"/>
    </row>
    <row r="200">
      <c r="A200" s="430" t="n"/>
      <c r="B200" s="431" t="n"/>
      <c r="C200" s="432" t="n"/>
      <c r="D200" s="433" t="n"/>
      <c r="E200" s="433" t="n"/>
    </row>
    <row r="201">
      <c r="A201" s="426" t="n"/>
      <c r="B201" s="427" t="n"/>
      <c r="C201" s="428" t="n"/>
      <c r="D201" s="429" t="n"/>
      <c r="E201" s="429" t="n"/>
    </row>
    <row r="202">
      <c r="A202" s="430" t="n"/>
      <c r="B202" s="431" t="n"/>
      <c r="C202" s="432" t="n"/>
      <c r="D202" s="433" t="n"/>
      <c r="E202" s="433" t="n"/>
    </row>
    <row r="203">
      <c r="A203" s="426" t="n"/>
      <c r="B203" s="427" t="n"/>
      <c r="C203" s="428" t="n"/>
      <c r="D203" s="429" t="n"/>
      <c r="E203" s="429" t="n"/>
    </row>
    <row r="204">
      <c r="A204" s="430" t="n"/>
      <c r="B204" s="431" t="n"/>
      <c r="C204" s="432" t="n"/>
      <c r="D204" s="433" t="n"/>
      <c r="E204" s="433" t="n"/>
    </row>
    <row r="205">
      <c r="A205" s="426" t="n"/>
      <c r="B205" s="427" t="n"/>
      <c r="C205" s="428" t="n"/>
      <c r="D205" s="429" t="n"/>
      <c r="E205" s="429" t="n"/>
    </row>
    <row r="206">
      <c r="A206" s="430" t="n"/>
      <c r="B206" s="431" t="n"/>
      <c r="C206" s="432" t="n"/>
      <c r="D206" s="433" t="n"/>
      <c r="E206" s="433" t="n"/>
    </row>
    <row r="207">
      <c r="A207" s="426" t="n"/>
      <c r="B207" s="427" t="n"/>
      <c r="C207" s="428" t="n"/>
      <c r="D207" s="429" t="n"/>
      <c r="E207" s="429" t="n"/>
    </row>
    <row r="208">
      <c r="A208" s="430" t="n"/>
      <c r="B208" s="431" t="n"/>
      <c r="C208" s="432" t="n"/>
      <c r="D208" s="433" t="n"/>
      <c r="E208" s="433" t="n"/>
    </row>
    <row r="209">
      <c r="A209" s="426" t="n"/>
      <c r="B209" s="427" t="n"/>
      <c r="C209" s="428" t="n"/>
      <c r="D209" s="429" t="n"/>
      <c r="E209" s="429" t="n"/>
    </row>
    <row r="210">
      <c r="A210" s="430" t="n"/>
      <c r="B210" s="431" t="n"/>
      <c r="C210" s="432" t="n"/>
      <c r="D210" s="433" t="n"/>
      <c r="E210" s="433" t="n"/>
    </row>
    <row r="211">
      <c r="A211" s="426" t="n"/>
      <c r="B211" s="427" t="n"/>
      <c r="C211" s="428" t="n"/>
      <c r="D211" s="429" t="n"/>
      <c r="E211" s="429" t="n"/>
    </row>
    <row r="212">
      <c r="A212" s="430" t="n"/>
      <c r="B212" s="431" t="n"/>
      <c r="C212" s="432" t="n"/>
      <c r="D212" s="433" t="n"/>
      <c r="E212" s="433" t="n"/>
    </row>
    <row r="213">
      <c r="A213" s="426" t="n"/>
      <c r="B213" s="427" t="n"/>
      <c r="C213" s="428" t="n"/>
      <c r="D213" s="429" t="n"/>
      <c r="E213" s="429" t="n"/>
    </row>
    <row r="214">
      <c r="A214" s="430" t="n"/>
      <c r="B214" s="431" t="n"/>
      <c r="C214" s="432" t="n"/>
      <c r="D214" s="433" t="n"/>
      <c r="E214" s="433" t="n"/>
    </row>
    <row r="215">
      <c r="A215" s="426" t="n"/>
      <c r="B215" s="427" t="n"/>
      <c r="C215" s="428" t="n"/>
      <c r="D215" s="429" t="n"/>
      <c r="E215" s="429" t="n"/>
    </row>
    <row r="216">
      <c r="A216" s="430" t="n"/>
      <c r="B216" s="431" t="n"/>
      <c r="C216" s="432" t="n"/>
      <c r="D216" s="433" t="n"/>
      <c r="E216" s="433" t="n"/>
    </row>
    <row r="217">
      <c r="A217" s="426" t="n"/>
      <c r="B217" s="427" t="n"/>
      <c r="C217" s="428" t="n"/>
      <c r="D217" s="429" t="n"/>
      <c r="E217" s="429" t="n"/>
    </row>
    <row r="218">
      <c r="A218" s="430" t="n"/>
      <c r="B218" s="431" t="n"/>
      <c r="C218" s="432" t="n"/>
      <c r="D218" s="433" t="n"/>
      <c r="E218" s="433" t="n"/>
    </row>
    <row r="219">
      <c r="A219" s="426" t="n"/>
      <c r="B219" s="427" t="n"/>
      <c r="C219" s="428" t="n"/>
      <c r="D219" s="429" t="n"/>
      <c r="E219" s="429" t="n"/>
    </row>
    <row r="220">
      <c r="A220" s="430" t="n"/>
      <c r="B220" s="431" t="n"/>
      <c r="C220" s="432" t="n"/>
      <c r="D220" s="433" t="n"/>
      <c r="E220" s="433" t="n"/>
    </row>
    <row r="221">
      <c r="A221" s="426" t="n"/>
      <c r="B221" s="427" t="n"/>
      <c r="C221" s="428" t="n"/>
      <c r="D221" s="429" t="n"/>
      <c r="E221" s="429" t="n"/>
    </row>
    <row r="222">
      <c r="A222" s="430" t="n"/>
      <c r="B222" s="431" t="n"/>
      <c r="C222" s="432" t="n"/>
      <c r="D222" s="433" t="n"/>
      <c r="E222" s="433" t="n"/>
    </row>
    <row r="223">
      <c r="A223" s="426" t="n"/>
      <c r="B223" s="427" t="n"/>
      <c r="C223" s="428" t="n"/>
      <c r="D223" s="429" t="n"/>
      <c r="E223" s="429" t="n"/>
    </row>
    <row r="224">
      <c r="A224" s="430" t="n"/>
      <c r="B224" s="431" t="n"/>
      <c r="C224" s="432" t="n"/>
      <c r="D224" s="433" t="n"/>
      <c r="E224" s="433" t="n"/>
    </row>
    <row r="225">
      <c r="A225" s="426" t="n"/>
      <c r="B225" s="427" t="n"/>
      <c r="C225" s="428" t="n"/>
      <c r="D225" s="429" t="n"/>
      <c r="E225" s="429" t="n"/>
    </row>
    <row r="226">
      <c r="A226" s="430" t="n"/>
      <c r="B226" s="431" t="n"/>
      <c r="C226" s="432" t="n"/>
      <c r="D226" s="433" t="n"/>
      <c r="E226" s="433" t="n"/>
    </row>
    <row r="227">
      <c r="A227" s="426" t="n"/>
      <c r="B227" s="427" t="n"/>
      <c r="C227" s="428" t="n"/>
      <c r="D227" s="429" t="n"/>
      <c r="E227" s="429" t="n"/>
    </row>
    <row r="228">
      <c r="A228" s="430" t="n"/>
      <c r="B228" s="431" t="n"/>
      <c r="C228" s="432" t="n"/>
      <c r="D228" s="433" t="n"/>
      <c r="E228" s="433" t="n"/>
    </row>
    <row r="229">
      <c r="A229" s="426" t="n"/>
      <c r="B229" s="427" t="n"/>
      <c r="C229" s="428" t="n"/>
      <c r="D229" s="429" t="n"/>
      <c r="E229" s="429" t="n"/>
    </row>
    <row r="230">
      <c r="A230" s="430" t="n"/>
      <c r="B230" s="431" t="n"/>
      <c r="C230" s="432" t="n"/>
      <c r="D230" s="433" t="n"/>
      <c r="E230" s="433" t="n"/>
    </row>
    <row r="231">
      <c r="A231" s="426" t="n"/>
      <c r="B231" s="427" t="n"/>
      <c r="C231" s="428" t="n"/>
      <c r="D231" s="429" t="n"/>
      <c r="E231" s="429" t="n"/>
    </row>
    <row r="232">
      <c r="A232" s="430" t="n"/>
      <c r="B232" s="431" t="n"/>
      <c r="C232" s="432" t="n"/>
      <c r="D232" s="433" t="n"/>
      <c r="E232" s="433" t="n"/>
    </row>
    <row r="233">
      <c r="A233" s="426" t="n"/>
      <c r="B233" s="427" t="n"/>
      <c r="C233" s="428" t="n"/>
      <c r="D233" s="429" t="n"/>
      <c r="E233" s="429" t="n"/>
    </row>
    <row r="234">
      <c r="A234" s="430" t="n"/>
      <c r="B234" s="431" t="n"/>
      <c r="C234" s="432" t="n"/>
      <c r="D234" s="433" t="n"/>
      <c r="E234" s="433" t="n"/>
    </row>
    <row r="235">
      <c r="A235" s="426" t="n"/>
      <c r="B235" s="427" t="n"/>
      <c r="C235" s="428" t="n"/>
      <c r="D235" s="429" t="n"/>
      <c r="E235" s="429" t="n"/>
    </row>
    <row r="236">
      <c r="A236" s="430" t="n"/>
      <c r="B236" s="431" t="n"/>
      <c r="C236" s="432" t="n"/>
      <c r="D236" s="433" t="n"/>
      <c r="E236" s="433" t="n"/>
    </row>
    <row r="237">
      <c r="A237" s="426" t="n"/>
      <c r="B237" s="427" t="n"/>
      <c r="C237" s="428" t="n"/>
      <c r="D237" s="429" t="n"/>
      <c r="E237" s="429" t="n"/>
    </row>
    <row r="238">
      <c r="A238" s="430" t="n"/>
      <c r="B238" s="431" t="n"/>
      <c r="C238" s="432" t="n"/>
      <c r="D238" s="433" t="n"/>
      <c r="E238" s="433" t="n"/>
    </row>
    <row r="239">
      <c r="A239" s="426" t="n"/>
      <c r="B239" s="427" t="n"/>
      <c r="C239" s="428" t="n"/>
      <c r="D239" s="429" t="n"/>
      <c r="E239" s="429" t="n"/>
    </row>
    <row r="240">
      <c r="A240" s="430" t="n"/>
      <c r="B240" s="431" t="n"/>
      <c r="C240" s="432" t="n"/>
      <c r="D240" s="433" t="n"/>
      <c r="E240" s="433" t="n"/>
    </row>
    <row r="241">
      <c r="A241" s="426" t="n"/>
      <c r="B241" s="427" t="n"/>
      <c r="C241" s="428" t="n"/>
      <c r="D241" s="429" t="n"/>
      <c r="E241" s="429" t="n"/>
    </row>
    <row r="242">
      <c r="A242" s="430" t="n"/>
      <c r="B242" s="431" t="n"/>
      <c r="C242" s="432" t="n"/>
      <c r="D242" s="433" t="n"/>
      <c r="E242" s="433" t="n"/>
    </row>
    <row r="243">
      <c r="A243" s="426" t="n"/>
      <c r="B243" s="427" t="n"/>
      <c r="C243" s="428" t="n"/>
      <c r="D243" s="429" t="n"/>
      <c r="E243" s="429" t="n"/>
    </row>
    <row r="244">
      <c r="A244" s="430" t="n"/>
      <c r="B244" s="431" t="n"/>
      <c r="C244" s="432" t="n"/>
      <c r="D244" s="433" t="n"/>
      <c r="E244" s="433" t="n"/>
    </row>
    <row r="245">
      <c r="A245" s="426" t="n"/>
      <c r="B245" s="427" t="n"/>
      <c r="C245" s="428" t="n"/>
      <c r="D245" s="429" t="n"/>
      <c r="E245" s="429" t="n"/>
    </row>
    <row r="246">
      <c r="A246" s="430" t="n"/>
      <c r="B246" s="431" t="n"/>
      <c r="C246" s="432" t="n"/>
      <c r="D246" s="433" t="n"/>
      <c r="E246" s="433" t="n"/>
    </row>
    <row r="247">
      <c r="A247" s="426" t="n"/>
      <c r="B247" s="427" t="n"/>
      <c r="C247" s="428" t="n"/>
      <c r="D247" s="429" t="n"/>
      <c r="E247" s="429" t="n"/>
    </row>
    <row r="248">
      <c r="A248" s="430" t="n"/>
      <c r="B248" s="431" t="n"/>
      <c r="C248" s="432" t="n"/>
      <c r="D248" s="433" t="n"/>
      <c r="E248" s="433" t="n"/>
    </row>
    <row r="249">
      <c r="A249" s="426" t="n"/>
      <c r="B249" s="427" t="n"/>
      <c r="C249" s="428" t="n"/>
      <c r="D249" s="429" t="n"/>
      <c r="E249" s="429" t="n"/>
    </row>
    <row r="250">
      <c r="A250" s="430" t="n"/>
      <c r="B250" s="431" t="n"/>
      <c r="C250" s="432" t="n"/>
      <c r="D250" s="433" t="n"/>
      <c r="E250" s="433" t="n"/>
    </row>
    <row r="251">
      <c r="A251" s="426" t="n"/>
      <c r="B251" s="427" t="n"/>
      <c r="C251" s="428" t="n"/>
      <c r="D251" s="429" t="n"/>
      <c r="E251" s="429" t="n"/>
    </row>
    <row r="252">
      <c r="A252" s="430" t="n"/>
      <c r="B252" s="431" t="n"/>
      <c r="C252" s="432" t="n"/>
      <c r="D252" s="433" t="n"/>
      <c r="E252" s="433" t="n"/>
    </row>
    <row r="253">
      <c r="A253" s="426" t="n"/>
      <c r="B253" s="427" t="n"/>
      <c r="C253" s="428" t="n"/>
      <c r="D253" s="429" t="n"/>
      <c r="E253" s="429" t="n"/>
    </row>
    <row r="254">
      <c r="A254" s="430" t="n"/>
      <c r="B254" s="431" t="n"/>
      <c r="C254" s="432" t="n"/>
      <c r="D254" s="433" t="n"/>
      <c r="E254" s="433" t="n"/>
    </row>
    <row r="255">
      <c r="A255" s="426" t="n"/>
      <c r="B255" s="427" t="n"/>
      <c r="C255" s="428" t="n"/>
      <c r="D255" s="429" t="n"/>
      <c r="E255" s="429" t="n"/>
    </row>
    <row r="256">
      <c r="A256" s="430" t="n"/>
      <c r="B256" s="431" t="n"/>
      <c r="C256" s="432" t="n"/>
      <c r="D256" s="433" t="n"/>
      <c r="E256" s="433" t="n"/>
    </row>
    <row r="257">
      <c r="A257" s="426" t="n"/>
      <c r="B257" s="427" t="n"/>
      <c r="C257" s="428" t="n"/>
      <c r="D257" s="429" t="n"/>
      <c r="E257" s="429" t="n"/>
    </row>
    <row r="258">
      <c r="A258" s="430" t="n"/>
      <c r="B258" s="431" t="n"/>
      <c r="C258" s="432" t="n"/>
      <c r="D258" s="433" t="n"/>
      <c r="E258" s="433" t="n"/>
    </row>
    <row r="259">
      <c r="A259" s="426" t="n"/>
      <c r="B259" s="427" t="n"/>
      <c r="C259" s="428" t="n"/>
      <c r="D259" s="429" t="n"/>
      <c r="E259" s="429" t="n"/>
    </row>
    <row r="260">
      <c r="A260" s="430" t="n"/>
      <c r="B260" s="431" t="n"/>
      <c r="C260" s="432" t="n"/>
      <c r="D260" s="433" t="n"/>
      <c r="E260" s="433" t="n"/>
    </row>
    <row r="261">
      <c r="A261" s="426" t="n"/>
      <c r="B261" s="427" t="n"/>
      <c r="C261" s="428" t="n"/>
      <c r="D261" s="429" t="n"/>
      <c r="E261" s="429" t="n"/>
    </row>
    <row r="262">
      <c r="A262" s="430" t="n"/>
      <c r="B262" s="431" t="n"/>
      <c r="C262" s="432" t="n"/>
      <c r="D262" s="433" t="n"/>
      <c r="E262" s="433" t="n"/>
    </row>
    <row r="263">
      <c r="A263" s="426" t="n"/>
      <c r="B263" s="427" t="n"/>
      <c r="C263" s="428" t="n"/>
      <c r="D263" s="429" t="n"/>
      <c r="E263" s="429" t="n"/>
    </row>
    <row r="264">
      <c r="A264" s="430" t="n"/>
      <c r="B264" s="431" t="n"/>
      <c r="C264" s="432" t="n"/>
      <c r="D264" s="433" t="n"/>
      <c r="E264" s="433" t="n"/>
    </row>
    <row r="265">
      <c r="A265" s="426" t="n"/>
      <c r="B265" s="427" t="n"/>
      <c r="C265" s="428" t="n"/>
      <c r="D265" s="429" t="n"/>
      <c r="E265" s="429" t="n"/>
    </row>
    <row r="266">
      <c r="A266" s="430" t="n"/>
      <c r="B266" s="431" t="n"/>
      <c r="C266" s="432" t="n"/>
      <c r="D266" s="433" t="n"/>
      <c r="E266" s="433" t="n"/>
    </row>
    <row r="267">
      <c r="A267" s="426" t="n"/>
      <c r="B267" s="427" t="n"/>
      <c r="C267" s="428" t="n"/>
      <c r="D267" s="429" t="n"/>
      <c r="E267" s="429" t="n"/>
    </row>
    <row r="268">
      <c r="A268" s="430" t="n"/>
      <c r="B268" s="431" t="n"/>
      <c r="C268" s="432" t="n"/>
      <c r="D268" s="433" t="n"/>
      <c r="E268" s="433" t="n"/>
    </row>
    <row r="269">
      <c r="A269" s="426" t="n"/>
      <c r="B269" s="427" t="n"/>
      <c r="C269" s="428" t="n"/>
      <c r="D269" s="429" t="n"/>
      <c r="E269" s="429" t="n"/>
    </row>
    <row r="270">
      <c r="A270" s="430" t="n"/>
      <c r="B270" s="431" t="n"/>
      <c r="C270" s="432" t="n"/>
      <c r="D270" s="433" t="n"/>
      <c r="E270" s="433" t="n"/>
    </row>
    <row r="271">
      <c r="A271" s="426" t="n"/>
      <c r="B271" s="427" t="n"/>
      <c r="C271" s="428" t="n"/>
      <c r="D271" s="429" t="n"/>
      <c r="E271" s="429" t="n"/>
    </row>
    <row r="272">
      <c r="A272" s="430" t="n"/>
      <c r="B272" s="431" t="n"/>
      <c r="C272" s="432" t="n"/>
      <c r="D272" s="433" t="n"/>
      <c r="E272" s="433" t="n"/>
    </row>
    <row r="273">
      <c r="A273" s="426" t="n"/>
      <c r="B273" s="427" t="n"/>
      <c r="C273" s="428" t="n"/>
      <c r="D273" s="429" t="n"/>
      <c r="E273" s="429" t="n"/>
    </row>
    <row r="274">
      <c r="A274" s="430" t="n"/>
      <c r="B274" s="431" t="n"/>
      <c r="C274" s="432" t="n"/>
      <c r="D274" s="433" t="n"/>
      <c r="E274" s="433" t="n"/>
    </row>
    <row r="275">
      <c r="A275" s="426" t="n"/>
      <c r="B275" s="427" t="n"/>
      <c r="C275" s="428" t="n"/>
      <c r="D275" s="429" t="n"/>
      <c r="E275" s="429" t="n"/>
    </row>
    <row r="276">
      <c r="A276" s="430" t="n"/>
      <c r="B276" s="431" t="n"/>
      <c r="C276" s="432" t="n"/>
      <c r="D276" s="433" t="n"/>
      <c r="E276" s="433" t="n"/>
    </row>
    <row r="277">
      <c r="A277" s="426" t="n"/>
      <c r="B277" s="427" t="n"/>
      <c r="C277" s="428" t="n"/>
      <c r="D277" s="429" t="n"/>
      <c r="E277" s="429" t="n"/>
    </row>
    <row r="278">
      <c r="A278" s="430" t="n"/>
      <c r="B278" s="431" t="n"/>
      <c r="C278" s="432" t="n"/>
      <c r="D278" s="433" t="n"/>
      <c r="E278" s="433" t="n"/>
    </row>
    <row r="279">
      <c r="A279" s="426" t="n"/>
      <c r="B279" s="427" t="n"/>
      <c r="C279" s="428" t="n"/>
      <c r="D279" s="429" t="n"/>
      <c r="E279" s="429" t="n"/>
    </row>
    <row r="280">
      <c r="A280" s="430" t="n"/>
      <c r="B280" s="431" t="n"/>
      <c r="C280" s="432" t="n"/>
      <c r="D280" s="433" t="n"/>
      <c r="E280" s="433" t="n"/>
    </row>
    <row r="281">
      <c r="A281" s="426" t="n"/>
      <c r="B281" s="427" t="n"/>
      <c r="C281" s="428" t="n"/>
      <c r="D281" s="429" t="n"/>
      <c r="E281" s="429" t="n"/>
    </row>
    <row r="282">
      <c r="A282" s="430" t="n"/>
      <c r="B282" s="431" t="n"/>
      <c r="C282" s="432" t="n"/>
      <c r="D282" s="433" t="n"/>
      <c r="E282" s="433" t="n"/>
    </row>
    <row r="283">
      <c r="A283" s="426" t="n"/>
      <c r="B283" s="427" t="n"/>
      <c r="C283" s="428" t="n"/>
      <c r="D283" s="429" t="n"/>
      <c r="E283" s="429" t="n"/>
    </row>
    <row r="284">
      <c r="A284" s="430" t="n"/>
      <c r="B284" s="431" t="n"/>
      <c r="C284" s="432" t="n"/>
      <c r="D284" s="433" t="n"/>
      <c r="E284" s="433" t="n"/>
    </row>
    <row r="285">
      <c r="A285" s="426" t="n"/>
      <c r="B285" s="427" t="n"/>
      <c r="C285" s="428" t="n"/>
      <c r="D285" s="429" t="n"/>
      <c r="E285" s="429" t="n"/>
    </row>
    <row r="286">
      <c r="A286" s="430" t="n"/>
      <c r="B286" s="431" t="n"/>
      <c r="C286" s="432" t="n"/>
      <c r="D286" s="433" t="n"/>
      <c r="E286" s="433" t="n"/>
    </row>
    <row r="287">
      <c r="A287" s="426" t="n"/>
      <c r="B287" s="427" t="n"/>
      <c r="C287" s="428" t="n"/>
      <c r="D287" s="429" t="n"/>
      <c r="E287" s="429" t="n"/>
    </row>
    <row r="288">
      <c r="A288" s="430" t="n"/>
      <c r="B288" s="431" t="n"/>
      <c r="C288" s="432" t="n"/>
      <c r="D288" s="433" t="n"/>
      <c r="E288" s="433" t="n"/>
    </row>
    <row r="289">
      <c r="A289" s="426" t="n"/>
      <c r="B289" s="427" t="n"/>
      <c r="C289" s="428" t="n"/>
      <c r="D289" s="429" t="n"/>
      <c r="E289" s="429" t="n"/>
    </row>
    <row r="290">
      <c r="A290" s="430" t="n"/>
      <c r="B290" s="431" t="n"/>
      <c r="C290" s="432" t="n"/>
      <c r="D290" s="433" t="n"/>
      <c r="E290" s="433" t="n"/>
    </row>
    <row r="291">
      <c r="A291" s="426" t="n"/>
      <c r="B291" s="427" t="n"/>
      <c r="C291" s="428" t="n"/>
      <c r="D291" s="429" t="n"/>
      <c r="E291" s="429" t="n"/>
    </row>
    <row r="292">
      <c r="A292" s="430" t="n"/>
      <c r="B292" s="431" t="n"/>
      <c r="C292" s="432" t="n"/>
      <c r="D292" s="433" t="n"/>
      <c r="E292" s="433" t="n"/>
    </row>
    <row r="293">
      <c r="A293" s="426" t="n"/>
      <c r="B293" s="427" t="n"/>
      <c r="C293" s="428" t="n"/>
      <c r="D293" s="429" t="n"/>
      <c r="E293" s="429" t="n"/>
    </row>
    <row r="294">
      <c r="A294" s="430" t="n"/>
      <c r="B294" s="431" t="n"/>
      <c r="C294" s="432" t="n"/>
      <c r="D294" s="433" t="n"/>
      <c r="E294" s="433" t="n"/>
    </row>
    <row r="295">
      <c r="A295" s="426" t="n"/>
      <c r="B295" s="427" t="n"/>
      <c r="C295" s="428" t="n"/>
      <c r="D295" s="429" t="n"/>
      <c r="E295" s="429" t="n"/>
    </row>
    <row r="296">
      <c r="A296" s="430" t="n"/>
      <c r="B296" s="431" t="n"/>
      <c r="C296" s="432" t="n"/>
      <c r="D296" s="433" t="n"/>
      <c r="E296" s="433" t="n"/>
    </row>
    <row r="297">
      <c r="A297" s="426" t="n"/>
      <c r="B297" s="427" t="n"/>
      <c r="C297" s="428" t="n"/>
      <c r="D297" s="429" t="n"/>
      <c r="E297" s="429" t="n"/>
    </row>
    <row r="298">
      <c r="A298" s="430" t="n"/>
      <c r="B298" s="431" t="n"/>
      <c r="C298" s="432" t="n"/>
      <c r="D298" s="433" t="n"/>
      <c r="E298" s="433" t="n"/>
    </row>
    <row r="299">
      <c r="A299" s="426" t="n"/>
      <c r="B299" s="427" t="n"/>
      <c r="C299" s="428" t="n"/>
      <c r="D299" s="429" t="n"/>
      <c r="E299" s="429" t="n"/>
    </row>
    <row r="300">
      <c r="A300" s="430" t="n"/>
      <c r="B300" s="431" t="n"/>
      <c r="C300" s="432" t="n"/>
      <c r="D300" s="433" t="n"/>
      <c r="E300" s="433" t="n"/>
    </row>
    <row r="301">
      <c r="A301" s="426" t="n"/>
      <c r="B301" s="427" t="n"/>
      <c r="C301" s="428" t="n"/>
      <c r="D301" s="429" t="n"/>
      <c r="E301" s="429" t="n"/>
    </row>
    <row r="302">
      <c r="A302" s="430" t="n"/>
      <c r="B302" s="431" t="n"/>
      <c r="C302" s="432" t="n"/>
      <c r="D302" s="433" t="n"/>
      <c r="E302" s="433" t="n"/>
    </row>
    <row r="303">
      <c r="A303" s="426" t="n"/>
      <c r="B303" s="427" t="n"/>
      <c r="C303" s="428" t="n"/>
      <c r="D303" s="429" t="n"/>
      <c r="E303" s="429" t="n"/>
    </row>
    <row r="304">
      <c r="A304" s="430" t="n"/>
      <c r="B304" s="431" t="n"/>
      <c r="C304" s="432" t="n"/>
      <c r="D304" s="433" t="n"/>
      <c r="E304" s="433" t="n"/>
    </row>
    <row r="305">
      <c r="A305" s="426" t="n"/>
      <c r="B305" s="427" t="n"/>
      <c r="C305" s="428" t="n"/>
      <c r="D305" s="429" t="n"/>
      <c r="E305" s="429" t="n"/>
    </row>
    <row r="306">
      <c r="A306" s="430" t="n"/>
      <c r="B306" s="431" t="n"/>
      <c r="C306" s="432" t="n"/>
      <c r="D306" s="433" t="n"/>
      <c r="E306" s="433" t="n"/>
    </row>
    <row r="307">
      <c r="A307" s="426" t="n"/>
      <c r="B307" s="427" t="n"/>
      <c r="C307" s="428" t="n"/>
      <c r="D307" s="429" t="n"/>
      <c r="E307" s="429" t="n"/>
    </row>
    <row r="308">
      <c r="A308" s="430" t="n"/>
      <c r="B308" s="431" t="n"/>
      <c r="C308" s="432" t="n"/>
      <c r="D308" s="433" t="n"/>
      <c r="E308" s="433" t="n"/>
    </row>
    <row r="309">
      <c r="A309" s="426" t="n"/>
      <c r="B309" s="427" t="n"/>
      <c r="C309" s="428" t="n"/>
      <c r="D309" s="429" t="n"/>
      <c r="E309" s="429" t="n"/>
    </row>
    <row r="310">
      <c r="A310" s="430" t="n"/>
      <c r="B310" s="431" t="n"/>
      <c r="C310" s="432" t="n"/>
      <c r="D310" s="433" t="n"/>
      <c r="E310" s="433" t="n"/>
    </row>
    <row r="311">
      <c r="A311" s="426" t="n"/>
      <c r="B311" s="427" t="n"/>
      <c r="C311" s="428" t="n"/>
      <c r="D311" s="429" t="n"/>
      <c r="E311" s="429" t="n"/>
    </row>
    <row r="312">
      <c r="A312" s="430" t="n"/>
      <c r="B312" s="431" t="n"/>
      <c r="C312" s="432" t="n"/>
      <c r="D312" s="433" t="n"/>
      <c r="E312" s="433" t="n"/>
    </row>
    <row r="313">
      <c r="A313" s="426" t="n"/>
      <c r="B313" s="427" t="n"/>
      <c r="C313" s="428" t="n"/>
      <c r="D313" s="429" t="n"/>
      <c r="E313" s="429" t="n"/>
    </row>
    <row r="314">
      <c r="A314" s="430" t="n"/>
      <c r="B314" s="431" t="n"/>
      <c r="C314" s="432" t="n"/>
      <c r="D314" s="433" t="n"/>
      <c r="E314" s="433" t="n"/>
    </row>
    <row r="315">
      <c r="A315" s="426" t="n"/>
      <c r="B315" s="427" t="n"/>
      <c r="C315" s="428" t="n"/>
      <c r="D315" s="429" t="n"/>
      <c r="E315" s="429" t="n"/>
    </row>
    <row r="316">
      <c r="A316" s="430" t="n"/>
      <c r="B316" s="431" t="n"/>
      <c r="C316" s="432" t="n"/>
      <c r="D316" s="433" t="n"/>
      <c r="E316" s="433" t="n"/>
    </row>
    <row r="317">
      <c r="A317" s="426" t="n"/>
      <c r="B317" s="427" t="n"/>
      <c r="C317" s="428" t="n"/>
      <c r="D317" s="429" t="n"/>
      <c r="E317" s="429" t="n"/>
    </row>
    <row r="318">
      <c r="A318" s="430" t="n"/>
      <c r="B318" s="431" t="n"/>
      <c r="C318" s="432" t="n"/>
      <c r="D318" s="433" t="n"/>
      <c r="E318" s="433" t="n"/>
    </row>
    <row r="319">
      <c r="A319" s="426" t="n"/>
      <c r="B319" s="427" t="n"/>
      <c r="C319" s="428" t="n"/>
      <c r="D319" s="429" t="n"/>
      <c r="E319" s="429" t="n"/>
    </row>
    <row r="320">
      <c r="A320" s="430" t="n"/>
      <c r="B320" s="431" t="n"/>
      <c r="C320" s="432" t="n"/>
      <c r="D320" s="433" t="n"/>
      <c r="E320" s="433" t="n"/>
    </row>
    <row r="321">
      <c r="A321" s="426" t="n"/>
      <c r="B321" s="427" t="n"/>
      <c r="C321" s="428" t="n"/>
      <c r="D321" s="429" t="n"/>
      <c r="E321" s="429" t="n"/>
    </row>
    <row r="322">
      <c r="A322" s="430" t="n"/>
      <c r="B322" s="431" t="n"/>
      <c r="C322" s="432" t="n"/>
      <c r="D322" s="433" t="n"/>
      <c r="E322" s="433" t="n"/>
    </row>
    <row r="323">
      <c r="A323" s="426" t="n"/>
      <c r="B323" s="427" t="n"/>
      <c r="C323" s="428" t="n"/>
      <c r="D323" s="429" t="n"/>
      <c r="E323" s="429" t="n"/>
    </row>
    <row r="324">
      <c r="A324" s="430" t="n"/>
      <c r="B324" s="431" t="n"/>
      <c r="C324" s="432" t="n"/>
      <c r="D324" s="433" t="n"/>
      <c r="E324" s="433" t="n"/>
    </row>
    <row r="325">
      <c r="A325" s="426" t="n"/>
      <c r="B325" s="427" t="n"/>
      <c r="C325" s="428" t="n"/>
      <c r="D325" s="429" t="n"/>
      <c r="E325" s="429" t="n"/>
    </row>
    <row r="326">
      <c r="A326" s="430" t="n"/>
      <c r="B326" s="431" t="n"/>
      <c r="C326" s="432" t="n"/>
      <c r="D326" s="433" t="n"/>
      <c r="E326" s="433" t="n"/>
    </row>
    <row r="327">
      <c r="A327" s="426" t="n"/>
      <c r="B327" s="427" t="n"/>
      <c r="C327" s="428" t="n"/>
      <c r="D327" s="429" t="n"/>
      <c r="E327" s="429" t="n"/>
    </row>
    <row r="328">
      <c r="A328" s="430" t="n"/>
      <c r="B328" s="431" t="n"/>
      <c r="C328" s="432" t="n"/>
      <c r="D328" s="433" t="n"/>
      <c r="E328" s="433" t="n"/>
    </row>
    <row r="329">
      <c r="A329" s="426" t="n"/>
      <c r="B329" s="427" t="n"/>
      <c r="C329" s="428" t="n"/>
      <c r="D329" s="429" t="n"/>
      <c r="E329" s="429" t="n"/>
    </row>
    <row r="330">
      <c r="A330" s="430" t="n"/>
      <c r="B330" s="431" t="n"/>
      <c r="C330" s="432" t="n"/>
      <c r="D330" s="433" t="n"/>
      <c r="E330" s="433" t="n"/>
    </row>
    <row r="331">
      <c r="A331" s="426" t="n"/>
      <c r="B331" s="427" t="n"/>
      <c r="C331" s="428" t="n"/>
      <c r="D331" s="429" t="n"/>
      <c r="E331" s="429" t="n"/>
    </row>
    <row r="332">
      <c r="A332" s="430" t="n"/>
      <c r="B332" s="431" t="n"/>
      <c r="C332" s="432" t="n"/>
      <c r="D332" s="433" t="n"/>
      <c r="E332" s="433" t="n"/>
    </row>
    <row r="333">
      <c r="A333" s="426" t="n"/>
      <c r="B333" s="427" t="n"/>
      <c r="C333" s="428" t="n"/>
      <c r="D333" s="429" t="n"/>
      <c r="E333" s="429" t="n"/>
    </row>
    <row r="334">
      <c r="A334" s="430" t="n"/>
      <c r="B334" s="431" t="n"/>
      <c r="C334" s="432" t="n"/>
      <c r="D334" s="433" t="n"/>
      <c r="E334" s="433" t="n"/>
    </row>
    <row r="335">
      <c r="A335" s="426" t="n"/>
      <c r="B335" s="427" t="n"/>
      <c r="C335" s="428" t="n"/>
      <c r="D335" s="429" t="n"/>
      <c r="E335" s="429" t="n"/>
    </row>
    <row r="336">
      <c r="A336" s="430" t="n"/>
      <c r="B336" s="431" t="n"/>
      <c r="C336" s="432" t="n"/>
      <c r="D336" s="433" t="n"/>
      <c r="E336" s="433" t="n"/>
    </row>
    <row r="337">
      <c r="A337" s="426" t="n"/>
      <c r="B337" s="427" t="n"/>
      <c r="C337" s="428" t="n"/>
      <c r="D337" s="429" t="n"/>
      <c r="E337" s="429" t="n"/>
    </row>
    <row r="338">
      <c r="A338" s="430" t="n"/>
      <c r="B338" s="431" t="n"/>
      <c r="C338" s="432" t="n"/>
      <c r="D338" s="433" t="n"/>
      <c r="E338" s="433" t="n"/>
    </row>
    <row r="339">
      <c r="A339" s="426" t="n"/>
      <c r="B339" s="427" t="n"/>
      <c r="C339" s="428" t="n"/>
      <c r="D339" s="429" t="n"/>
      <c r="E339" s="429" t="n"/>
    </row>
    <row r="340">
      <c r="A340" s="430" t="n"/>
      <c r="B340" s="431" t="n"/>
      <c r="C340" s="432" t="n"/>
      <c r="D340" s="433" t="n"/>
      <c r="E340" s="433" t="n"/>
    </row>
    <row r="341">
      <c r="A341" s="426" t="n"/>
      <c r="B341" s="427" t="n"/>
      <c r="C341" s="428" t="n"/>
      <c r="D341" s="429" t="n"/>
      <c r="E341" s="429" t="n"/>
    </row>
    <row r="342">
      <c r="A342" s="430" t="n"/>
      <c r="B342" s="431" t="n"/>
      <c r="C342" s="432" t="n"/>
      <c r="D342" s="433" t="n"/>
      <c r="E342" s="433" t="n"/>
    </row>
    <row r="343">
      <c r="A343" s="426" t="n"/>
      <c r="B343" s="427" t="n"/>
      <c r="C343" s="428" t="n"/>
      <c r="D343" s="429" t="n"/>
      <c r="E343" s="429" t="n"/>
    </row>
    <row r="344">
      <c r="A344" s="430" t="n"/>
      <c r="B344" s="431" t="n"/>
      <c r="C344" s="432" t="n"/>
      <c r="D344" s="433" t="n"/>
      <c r="E344" s="433" t="n"/>
    </row>
    <row r="345">
      <c r="A345" s="426" t="n"/>
      <c r="B345" s="427" t="n"/>
      <c r="C345" s="428" t="n"/>
      <c r="D345" s="429" t="n"/>
      <c r="E345" s="429" t="n"/>
    </row>
    <row r="346">
      <c r="A346" s="430" t="n"/>
      <c r="B346" s="431" t="n"/>
      <c r="C346" s="432" t="n"/>
      <c r="D346" s="433" t="n"/>
      <c r="E346" s="433" t="n"/>
    </row>
    <row r="347">
      <c r="A347" s="426" t="n"/>
      <c r="B347" s="427" t="n"/>
      <c r="C347" s="428" t="n"/>
      <c r="D347" s="429" t="n"/>
      <c r="E347" s="429" t="n"/>
    </row>
    <row r="348">
      <c r="A348" s="430" t="n"/>
      <c r="B348" s="431" t="n"/>
      <c r="C348" s="432" t="n"/>
      <c r="D348" s="433" t="n"/>
      <c r="E348" s="433" t="n"/>
    </row>
    <row r="349">
      <c r="A349" s="426" t="n"/>
      <c r="B349" s="427" t="n"/>
      <c r="C349" s="428" t="n"/>
      <c r="D349" s="429" t="n"/>
      <c r="E349" s="429" t="n"/>
    </row>
    <row r="350">
      <c r="A350" s="430" t="n"/>
      <c r="B350" s="431" t="n"/>
      <c r="C350" s="432" t="n"/>
      <c r="D350" s="433" t="n"/>
      <c r="E350" s="433" t="n"/>
    </row>
    <row r="351">
      <c r="A351" s="426" t="n"/>
      <c r="B351" s="427" t="n"/>
      <c r="C351" s="428" t="n"/>
      <c r="D351" s="429" t="n"/>
      <c r="E351" s="429" t="n"/>
    </row>
    <row r="352">
      <c r="A352" s="430" t="n"/>
      <c r="B352" s="431" t="n"/>
      <c r="C352" s="432" t="n"/>
      <c r="D352" s="433" t="n"/>
      <c r="E352" s="433" t="n"/>
    </row>
    <row r="353">
      <c r="A353" s="426" t="n"/>
      <c r="B353" s="427" t="n"/>
      <c r="C353" s="428" t="n"/>
      <c r="D353" s="429" t="n"/>
      <c r="E353" s="429" t="n"/>
    </row>
    <row r="354">
      <c r="A354" s="430" t="n"/>
      <c r="B354" s="431" t="n"/>
      <c r="C354" s="432" t="n"/>
      <c r="D354" s="433" t="n"/>
      <c r="E354" s="433" t="n"/>
    </row>
    <row r="355">
      <c r="A355" s="426" t="n"/>
      <c r="B355" s="427" t="n"/>
      <c r="C355" s="428" t="n"/>
      <c r="D355" s="429" t="n"/>
      <c r="E355" s="429" t="n"/>
    </row>
    <row r="356">
      <c r="A356" s="430" t="n"/>
      <c r="B356" s="431" t="n"/>
      <c r="C356" s="432" t="n"/>
      <c r="D356" s="433" t="n"/>
      <c r="E356" s="433" t="n"/>
    </row>
    <row r="357">
      <c r="A357" s="426" t="n"/>
      <c r="B357" s="427" t="n"/>
      <c r="C357" s="428" t="n"/>
      <c r="D357" s="429" t="n"/>
      <c r="E357" s="429" t="n"/>
    </row>
    <row r="358">
      <c r="A358" s="430" t="n"/>
      <c r="B358" s="431" t="n"/>
      <c r="C358" s="432" t="n"/>
      <c r="D358" s="433" t="n"/>
      <c r="E358" s="433" t="n"/>
    </row>
    <row r="359">
      <c r="A359" s="426" t="n"/>
      <c r="B359" s="427" t="n"/>
      <c r="C359" s="428" t="n"/>
      <c r="D359" s="429" t="n"/>
      <c r="E359" s="429" t="n"/>
    </row>
    <row r="360">
      <c r="A360" s="430" t="n"/>
      <c r="B360" s="431" t="n"/>
      <c r="C360" s="432" t="n"/>
      <c r="D360" s="433" t="n"/>
      <c r="E360" s="433" t="n"/>
    </row>
    <row r="361">
      <c r="A361" s="426" t="n"/>
      <c r="B361" s="427" t="n"/>
      <c r="C361" s="428" t="n"/>
      <c r="D361" s="429" t="n"/>
      <c r="E361" s="429" t="n"/>
    </row>
    <row r="362">
      <c r="A362" s="430" t="n"/>
      <c r="B362" s="431" t="n"/>
      <c r="C362" s="432" t="n"/>
      <c r="D362" s="433" t="n"/>
      <c r="E362" s="433" t="n"/>
    </row>
    <row r="363">
      <c r="A363" s="426" t="n"/>
      <c r="B363" s="427" t="n"/>
      <c r="C363" s="428" t="n"/>
      <c r="D363" s="429" t="n"/>
      <c r="E363" s="429" t="n"/>
    </row>
    <row r="364">
      <c r="A364" s="430" t="n"/>
      <c r="B364" s="431" t="n"/>
      <c r="C364" s="432" t="n"/>
      <c r="D364" s="433" t="n"/>
      <c r="E364" s="433" t="n"/>
    </row>
    <row r="365">
      <c r="A365" s="426" t="n"/>
      <c r="B365" s="427" t="n"/>
      <c r="C365" s="428" t="n"/>
      <c r="D365" s="429" t="n"/>
      <c r="E365" s="429" t="n"/>
    </row>
    <row r="366">
      <c r="A366" s="430" t="n"/>
      <c r="B366" s="431" t="n"/>
      <c r="C366" s="432" t="n"/>
      <c r="D366" s="433" t="n"/>
      <c r="E366" s="433" t="n"/>
    </row>
    <row r="367">
      <c r="A367" s="426" t="n"/>
      <c r="B367" s="427" t="n"/>
      <c r="C367" s="428" t="n"/>
      <c r="D367" s="429" t="n"/>
      <c r="E367" s="429" t="n"/>
    </row>
    <row r="368">
      <c r="A368" s="430" t="n"/>
      <c r="B368" s="431" t="n"/>
      <c r="C368" s="432" t="n"/>
      <c r="D368" s="433" t="n"/>
      <c r="E368" s="433" t="n"/>
    </row>
    <row r="369">
      <c r="A369" s="426" t="n"/>
      <c r="B369" s="427" t="n"/>
      <c r="C369" s="428" t="n"/>
      <c r="D369" s="429" t="n"/>
      <c r="E369" s="429" t="n"/>
    </row>
    <row r="370">
      <c r="A370" s="430" t="n"/>
      <c r="B370" s="431" t="n"/>
      <c r="C370" s="432" t="n"/>
      <c r="D370" s="433" t="n"/>
      <c r="E370" s="433" t="n"/>
    </row>
    <row r="371">
      <c r="A371" s="426" t="n"/>
      <c r="B371" s="427" t="n"/>
      <c r="C371" s="428" t="n"/>
      <c r="D371" s="429" t="n"/>
      <c r="E371" s="429" t="n"/>
    </row>
    <row r="372">
      <c r="A372" s="430" t="n"/>
      <c r="B372" s="431" t="n"/>
      <c r="C372" s="432" t="n"/>
      <c r="D372" s="433" t="n"/>
      <c r="E372" s="433" t="n"/>
    </row>
    <row r="373">
      <c r="A373" s="426" t="n"/>
      <c r="B373" s="427" t="n"/>
      <c r="C373" s="428" t="n"/>
      <c r="D373" s="429" t="n"/>
      <c r="E373" s="429" t="n"/>
    </row>
    <row r="374">
      <c r="A374" s="430" t="n"/>
      <c r="B374" s="431" t="n"/>
      <c r="C374" s="432" t="n"/>
      <c r="D374" s="433" t="n"/>
      <c r="E374" s="433" t="n"/>
    </row>
    <row r="375">
      <c r="A375" s="426" t="n"/>
      <c r="B375" s="427" t="n"/>
      <c r="C375" s="428" t="n"/>
      <c r="D375" s="429" t="n"/>
      <c r="E375" s="429" t="n"/>
    </row>
    <row r="376">
      <c r="A376" s="430" t="n"/>
      <c r="B376" s="431" t="n"/>
      <c r="C376" s="432" t="n"/>
      <c r="D376" s="433" t="n"/>
      <c r="E376" s="433" t="n"/>
    </row>
    <row r="377">
      <c r="A377" s="426" t="n"/>
      <c r="B377" s="427" t="n"/>
      <c r="C377" s="428" t="n"/>
      <c r="D377" s="429" t="n"/>
      <c r="E377" s="429" t="n"/>
    </row>
    <row r="378">
      <c r="A378" s="430" t="n"/>
      <c r="B378" s="431" t="n"/>
      <c r="C378" s="432" t="n"/>
      <c r="D378" s="433" t="n"/>
      <c r="E378" s="433" t="n"/>
    </row>
    <row r="379">
      <c r="A379" s="426" t="n"/>
      <c r="B379" s="427" t="n"/>
      <c r="C379" s="428" t="n"/>
      <c r="D379" s="429" t="n"/>
      <c r="E379" s="429" t="n"/>
    </row>
    <row r="380">
      <c r="A380" s="430" t="n"/>
      <c r="B380" s="431" t="n"/>
      <c r="C380" s="432" t="n"/>
      <c r="D380" s="433" t="n"/>
      <c r="E380" s="433" t="n"/>
    </row>
    <row r="381">
      <c r="A381" s="426" t="n"/>
      <c r="B381" s="427" t="n"/>
      <c r="C381" s="428" t="n"/>
      <c r="D381" s="429" t="n"/>
      <c r="E381" s="429" t="n"/>
    </row>
    <row r="382">
      <c r="A382" s="430" t="n"/>
      <c r="B382" s="431" t="n"/>
      <c r="C382" s="432" t="n"/>
      <c r="D382" s="433" t="n"/>
      <c r="E382" s="433" t="n"/>
    </row>
    <row r="383">
      <c r="A383" s="426" t="n"/>
      <c r="B383" s="427" t="n"/>
      <c r="C383" s="428" t="n"/>
      <c r="D383" s="429" t="n"/>
      <c r="E383" s="429" t="n"/>
    </row>
    <row r="384">
      <c r="A384" s="430" t="n"/>
      <c r="B384" s="431" t="n"/>
      <c r="C384" s="432" t="n"/>
      <c r="D384" s="433" t="n"/>
      <c r="E384" s="433" t="n"/>
    </row>
    <row r="385">
      <c r="A385" s="426" t="n"/>
      <c r="B385" s="427" t="n"/>
      <c r="C385" s="428" t="n"/>
      <c r="D385" s="429" t="n"/>
      <c r="E385" s="429" t="n"/>
    </row>
    <row r="386">
      <c r="A386" s="430" t="n"/>
      <c r="B386" s="431" t="n"/>
      <c r="C386" s="432" t="n"/>
      <c r="D386" s="433" t="n"/>
      <c r="E386" s="433" t="n"/>
    </row>
    <row r="387">
      <c r="A387" s="426" t="n"/>
      <c r="B387" s="427" t="n"/>
      <c r="C387" s="428" t="n"/>
      <c r="D387" s="429" t="n"/>
      <c r="E387" s="429" t="n"/>
    </row>
    <row r="388">
      <c r="A388" s="430" t="n"/>
      <c r="B388" s="431" t="n"/>
      <c r="C388" s="432" t="n"/>
      <c r="D388" s="433" t="n"/>
      <c r="E388" s="433" t="n"/>
    </row>
    <row r="389">
      <c r="A389" s="426" t="n"/>
      <c r="B389" s="427" t="n"/>
      <c r="C389" s="428" t="n"/>
      <c r="D389" s="429" t="n"/>
      <c r="E389" s="429" t="n"/>
    </row>
    <row r="390">
      <c r="A390" s="430" t="n"/>
      <c r="B390" s="431" t="n"/>
      <c r="C390" s="432" t="n"/>
      <c r="D390" s="433" t="n"/>
      <c r="E390" s="433" t="n"/>
    </row>
    <row r="391">
      <c r="A391" s="426" t="n"/>
      <c r="B391" s="427" t="n"/>
      <c r="C391" s="428" t="n"/>
      <c r="D391" s="429" t="n"/>
      <c r="E391" s="429" t="n"/>
    </row>
    <row r="392">
      <c r="A392" s="430" t="n"/>
      <c r="B392" s="431" t="n"/>
      <c r="C392" s="432" t="n"/>
      <c r="D392" s="433" t="n"/>
      <c r="E392" s="433" t="n"/>
    </row>
    <row r="393">
      <c r="A393" s="426" t="n"/>
      <c r="B393" s="427" t="n"/>
      <c r="C393" s="428" t="n"/>
      <c r="D393" s="429" t="n"/>
      <c r="E393" s="429" t="n"/>
    </row>
    <row r="394">
      <c r="A394" s="430" t="n"/>
      <c r="B394" s="431" t="n"/>
      <c r="C394" s="432" t="n"/>
      <c r="D394" s="433" t="n"/>
      <c r="E394" s="433" t="n"/>
    </row>
    <row r="395">
      <c r="A395" s="426" t="n"/>
      <c r="B395" s="427" t="n"/>
      <c r="C395" s="428" t="n"/>
      <c r="D395" s="429" t="n"/>
      <c r="E395" s="429" t="n"/>
    </row>
    <row r="396">
      <c r="A396" s="430" t="n"/>
      <c r="B396" s="431" t="n"/>
      <c r="C396" s="432" t="n"/>
      <c r="D396" s="433" t="n"/>
      <c r="E396" s="433" t="n"/>
    </row>
    <row r="397">
      <c r="A397" s="426" t="n"/>
      <c r="B397" s="427" t="n"/>
      <c r="C397" s="428" t="n"/>
      <c r="D397" s="429" t="n"/>
      <c r="E397" s="429" t="n"/>
    </row>
    <row r="398">
      <c r="A398" s="430" t="n"/>
      <c r="B398" s="431" t="n"/>
      <c r="C398" s="432" t="n"/>
      <c r="D398" s="433" t="n"/>
      <c r="E398" s="433" t="n"/>
    </row>
    <row r="399">
      <c r="A399" s="426" t="n"/>
      <c r="B399" s="427" t="n"/>
      <c r="C399" s="428" t="n"/>
      <c r="D399" s="429" t="n"/>
      <c r="E399" s="429" t="n"/>
    </row>
    <row r="400">
      <c r="A400" s="430" t="n"/>
      <c r="B400" s="431" t="n"/>
      <c r="C400" s="432" t="n"/>
      <c r="D400" s="433" t="n"/>
      <c r="E400" s="433" t="n"/>
    </row>
    <row r="401">
      <c r="A401" s="426" t="n"/>
      <c r="B401" s="427" t="n"/>
      <c r="C401" s="428" t="n"/>
      <c r="D401" s="429" t="n"/>
      <c r="E401" s="429" t="n"/>
    </row>
    <row r="402">
      <c r="A402" s="430" t="n"/>
      <c r="B402" s="431" t="n"/>
      <c r="C402" s="432" t="n"/>
      <c r="D402" s="433" t="n"/>
      <c r="E402" s="433" t="n"/>
    </row>
    <row r="403">
      <c r="A403" s="426" t="n"/>
      <c r="B403" s="427" t="n"/>
      <c r="C403" s="428" t="n"/>
      <c r="D403" s="429" t="n"/>
      <c r="E403" s="429" t="n"/>
    </row>
    <row r="404">
      <c r="A404" s="430" t="n"/>
      <c r="B404" s="431" t="n"/>
      <c r="C404" s="432" t="n"/>
      <c r="D404" s="433" t="n"/>
      <c r="E404" s="433" t="n"/>
    </row>
    <row r="405">
      <c r="A405" s="426" t="n"/>
      <c r="B405" s="427" t="n"/>
      <c r="C405" s="428" t="n"/>
      <c r="D405" s="429" t="n"/>
      <c r="E405" s="429" t="n"/>
    </row>
    <row r="406">
      <c r="A406" s="430" t="n"/>
      <c r="B406" s="431" t="n"/>
      <c r="C406" s="432" t="n"/>
      <c r="D406" s="433" t="n"/>
      <c r="E406" s="433" t="n"/>
    </row>
    <row r="407">
      <c r="A407" s="426" t="n"/>
      <c r="B407" s="427" t="n"/>
      <c r="C407" s="428" t="n"/>
      <c r="D407" s="429" t="n"/>
      <c r="E407" s="429" t="n"/>
    </row>
    <row r="408">
      <c r="A408" s="430" t="n"/>
      <c r="B408" s="431" t="n"/>
      <c r="C408" s="432" t="n"/>
      <c r="D408" s="433" t="n"/>
      <c r="E408" s="433" t="n"/>
    </row>
    <row r="409">
      <c r="A409" s="426" t="n"/>
      <c r="B409" s="427" t="n"/>
      <c r="C409" s="428" t="n"/>
      <c r="D409" s="429" t="n"/>
      <c r="E409" s="429" t="n"/>
    </row>
    <row r="410">
      <c r="A410" s="430" t="n"/>
      <c r="B410" s="431" t="n"/>
      <c r="C410" s="432" t="n"/>
      <c r="D410" s="433" t="n"/>
      <c r="E410" s="433" t="n"/>
    </row>
    <row r="411">
      <c r="A411" s="426" t="n"/>
      <c r="B411" s="427" t="n"/>
      <c r="C411" s="428" t="n"/>
      <c r="D411" s="429" t="n"/>
      <c r="E411" s="429" t="n"/>
    </row>
    <row r="412">
      <c r="A412" s="430" t="n"/>
      <c r="B412" s="431" t="n"/>
      <c r="C412" s="432" t="n"/>
      <c r="D412" s="433" t="n"/>
      <c r="E412" s="433" t="n"/>
    </row>
    <row r="413">
      <c r="A413" s="426" t="n"/>
      <c r="B413" s="427" t="n"/>
      <c r="C413" s="428" t="n"/>
      <c r="D413" s="429" t="n"/>
      <c r="E413" s="429" t="n"/>
    </row>
    <row r="414">
      <c r="A414" s="430" t="n"/>
      <c r="B414" s="431" t="n"/>
      <c r="C414" s="432" t="n"/>
      <c r="D414" s="433" t="n"/>
      <c r="E414" s="433" t="n"/>
    </row>
    <row r="415">
      <c r="A415" s="426" t="n"/>
      <c r="B415" s="427" t="n"/>
      <c r="C415" s="428" t="n"/>
      <c r="D415" s="429" t="n"/>
      <c r="E415" s="429" t="n"/>
    </row>
    <row r="416">
      <c r="A416" s="430" t="n"/>
      <c r="B416" s="431" t="n"/>
      <c r="C416" s="432" t="n"/>
      <c r="D416" s="433" t="n"/>
      <c r="E416" s="433" t="n"/>
    </row>
    <row r="417">
      <c r="A417" s="426" t="n"/>
      <c r="B417" s="427" t="n"/>
      <c r="C417" s="428" t="n"/>
      <c r="D417" s="429" t="n"/>
      <c r="E417" s="429" t="n"/>
    </row>
    <row r="418">
      <c r="A418" s="430" t="n"/>
      <c r="B418" s="431" t="n"/>
      <c r="C418" s="432" t="n"/>
      <c r="D418" s="433" t="n"/>
      <c r="E418" s="433" t="n"/>
    </row>
    <row r="419">
      <c r="A419" s="426" t="n"/>
      <c r="B419" s="427" t="n"/>
      <c r="C419" s="428" t="n"/>
      <c r="D419" s="429" t="n"/>
      <c r="E419" s="429" t="n"/>
    </row>
    <row r="420">
      <c r="A420" s="430" t="n"/>
      <c r="B420" s="431" t="n"/>
      <c r="C420" s="432" t="n"/>
      <c r="D420" s="433" t="n"/>
      <c r="E420" s="433" t="n"/>
    </row>
    <row r="421">
      <c r="A421" s="426" t="n"/>
      <c r="B421" s="427" t="n"/>
      <c r="C421" s="428" t="n"/>
      <c r="D421" s="429" t="n"/>
      <c r="E421" s="429" t="n"/>
    </row>
    <row r="422">
      <c r="A422" s="430" t="n"/>
      <c r="B422" s="431" t="n"/>
      <c r="C422" s="432" t="n"/>
      <c r="D422" s="433" t="n"/>
      <c r="E422" s="433" t="n"/>
    </row>
    <row r="423">
      <c r="A423" s="426" t="n"/>
      <c r="B423" s="427" t="n"/>
      <c r="C423" s="428" t="n"/>
      <c r="D423" s="429" t="n"/>
      <c r="E423" s="429" t="n"/>
    </row>
    <row r="424">
      <c r="A424" s="430" t="n"/>
      <c r="B424" s="431" t="n"/>
      <c r="C424" s="432" t="n"/>
      <c r="D424" s="433" t="n"/>
      <c r="E424" s="433" t="n"/>
    </row>
    <row r="425">
      <c r="A425" s="426" t="n"/>
      <c r="B425" s="427" t="n"/>
      <c r="C425" s="428" t="n"/>
      <c r="D425" s="429" t="n"/>
      <c r="E425" s="429" t="n"/>
    </row>
    <row r="426">
      <c r="A426" s="430" t="n"/>
      <c r="B426" s="431" t="n"/>
      <c r="C426" s="432" t="n"/>
      <c r="D426" s="433" t="n"/>
      <c r="E426" s="433" t="n"/>
    </row>
    <row r="427">
      <c r="A427" s="426" t="n"/>
      <c r="B427" s="427" t="n"/>
      <c r="C427" s="428" t="n"/>
      <c r="D427" s="429" t="n"/>
      <c r="E427" s="429" t="n"/>
    </row>
    <row r="428">
      <c r="A428" s="430" t="n"/>
      <c r="B428" s="431" t="n"/>
      <c r="C428" s="432" t="n"/>
      <c r="D428" s="433" t="n"/>
      <c r="E428" s="433" t="n"/>
    </row>
    <row r="429">
      <c r="A429" s="426" t="n"/>
      <c r="B429" s="427" t="n"/>
      <c r="C429" s="428" t="n"/>
      <c r="D429" s="429" t="n"/>
      <c r="E429" s="429" t="n"/>
    </row>
    <row r="430">
      <c r="A430" s="430" t="n"/>
      <c r="B430" s="431" t="n"/>
      <c r="C430" s="432" t="n"/>
      <c r="D430" s="433" t="n"/>
      <c r="E430" s="433" t="n"/>
    </row>
    <row r="431">
      <c r="A431" s="426" t="n"/>
      <c r="B431" s="427" t="n"/>
      <c r="C431" s="428" t="n"/>
      <c r="D431" s="429" t="n"/>
      <c r="E431" s="429" t="n"/>
    </row>
    <row r="432">
      <c r="A432" s="430" t="n"/>
      <c r="B432" s="431" t="n"/>
      <c r="C432" s="432" t="n"/>
      <c r="D432" s="433" t="n"/>
      <c r="E432" s="433" t="n"/>
    </row>
    <row r="433">
      <c r="A433" s="426" t="n"/>
      <c r="B433" s="427" t="n"/>
      <c r="C433" s="428" t="n"/>
      <c r="D433" s="429" t="n"/>
      <c r="E433" s="429" t="n"/>
    </row>
    <row r="434">
      <c r="A434" s="430" t="n"/>
      <c r="B434" s="431" t="n"/>
      <c r="C434" s="432" t="n"/>
      <c r="D434" s="433" t="n"/>
      <c r="E434" s="433" t="n"/>
    </row>
    <row r="435">
      <c r="A435" s="426" t="n"/>
      <c r="B435" s="427" t="n"/>
      <c r="C435" s="428" t="n"/>
      <c r="D435" s="429" t="n"/>
      <c r="E435" s="429" t="n"/>
    </row>
    <row r="436">
      <c r="A436" s="430" t="n"/>
      <c r="B436" s="431" t="n"/>
      <c r="C436" s="432" t="n"/>
      <c r="D436" s="433" t="n"/>
      <c r="E436" s="433" t="n"/>
    </row>
    <row r="437">
      <c r="A437" s="426" t="n"/>
      <c r="B437" s="427" t="n"/>
      <c r="C437" s="428" t="n"/>
      <c r="D437" s="429" t="n"/>
      <c r="E437" s="429" t="n"/>
    </row>
    <row r="438">
      <c r="A438" s="430" t="n"/>
      <c r="B438" s="431" t="n"/>
      <c r="C438" s="432" t="n"/>
      <c r="D438" s="433" t="n"/>
      <c r="E438" s="433" t="n"/>
    </row>
    <row r="439">
      <c r="A439" s="426" t="n"/>
      <c r="B439" s="427" t="n"/>
      <c r="C439" s="428" t="n"/>
      <c r="D439" s="429" t="n"/>
      <c r="E439" s="429" t="n"/>
    </row>
    <row r="440">
      <c r="A440" s="430" t="n"/>
      <c r="B440" s="431" t="n"/>
      <c r="C440" s="432" t="n"/>
      <c r="D440" s="433" t="n"/>
      <c r="E440" s="433" t="n"/>
    </row>
    <row r="441">
      <c r="A441" s="426" t="n"/>
      <c r="B441" s="427" t="n"/>
      <c r="C441" s="428" t="n"/>
      <c r="D441" s="429" t="n"/>
      <c r="E441" s="429" t="n"/>
    </row>
    <row r="442">
      <c r="A442" s="430" t="n"/>
      <c r="B442" s="431" t="n"/>
      <c r="C442" s="432" t="n"/>
      <c r="D442" s="433" t="n"/>
      <c r="E442" s="433" t="n"/>
    </row>
    <row r="443">
      <c r="A443" s="426" t="n"/>
      <c r="B443" s="427" t="n"/>
      <c r="C443" s="428" t="n"/>
      <c r="D443" s="429" t="n"/>
      <c r="E443" s="429" t="n"/>
    </row>
    <row r="444">
      <c r="A444" s="430" t="n"/>
      <c r="B444" s="431" t="n"/>
      <c r="C444" s="432" t="n"/>
      <c r="D444" s="433" t="n"/>
      <c r="E444" s="433" t="n"/>
    </row>
    <row r="445">
      <c r="A445" s="426" t="n"/>
      <c r="B445" s="427" t="n"/>
      <c r="C445" s="428" t="n"/>
      <c r="D445" s="429" t="n"/>
      <c r="E445" s="429" t="n"/>
    </row>
    <row r="446">
      <c r="A446" s="430" t="n"/>
      <c r="B446" s="431" t="n"/>
      <c r="C446" s="432" t="n"/>
      <c r="D446" s="433" t="n"/>
      <c r="E446" s="433" t="n"/>
    </row>
    <row r="447">
      <c r="A447" s="426" t="n"/>
      <c r="B447" s="427" t="n"/>
      <c r="C447" s="428" t="n"/>
      <c r="D447" s="429" t="n"/>
      <c r="E447" s="429" t="n"/>
    </row>
    <row r="448">
      <c r="A448" s="430" t="n"/>
      <c r="B448" s="431" t="n"/>
      <c r="C448" s="432" t="n"/>
      <c r="D448" s="433" t="n"/>
      <c r="E448" s="433" t="n"/>
    </row>
    <row r="449">
      <c r="A449" s="426" t="n"/>
      <c r="B449" s="427" t="n"/>
      <c r="C449" s="428" t="n"/>
      <c r="D449" s="429" t="n"/>
      <c r="E449" s="429" t="n"/>
    </row>
    <row r="450">
      <c r="A450" s="430" t="n"/>
      <c r="B450" s="431" t="n"/>
      <c r="C450" s="432" t="n"/>
      <c r="D450" s="433" t="n"/>
      <c r="E450" s="433" t="n"/>
    </row>
    <row r="451">
      <c r="A451" s="426" t="n"/>
      <c r="B451" s="427" t="n"/>
      <c r="C451" s="428" t="n"/>
      <c r="D451" s="429" t="n"/>
      <c r="E451" s="429" t="n"/>
    </row>
    <row r="452">
      <c r="A452" s="430" t="n"/>
      <c r="B452" s="431" t="n"/>
      <c r="C452" s="432" t="n"/>
      <c r="D452" s="433" t="n"/>
      <c r="E452" s="433" t="n"/>
    </row>
    <row r="453">
      <c r="A453" s="426" t="n"/>
      <c r="B453" s="427" t="n"/>
      <c r="C453" s="428" t="n"/>
      <c r="D453" s="429" t="n"/>
      <c r="E453" s="429" t="n"/>
    </row>
    <row r="454">
      <c r="A454" s="430" t="n"/>
      <c r="B454" s="431" t="n"/>
      <c r="C454" s="432" t="n"/>
      <c r="D454" s="433" t="n"/>
      <c r="E454" s="433" t="n"/>
    </row>
    <row r="455">
      <c r="A455" s="426" t="n"/>
      <c r="B455" s="427" t="n"/>
      <c r="C455" s="428" t="n"/>
      <c r="D455" s="429" t="n"/>
      <c r="E455" s="429" t="n"/>
    </row>
    <row r="456">
      <c r="A456" s="430" t="n"/>
      <c r="B456" s="431" t="n"/>
      <c r="C456" s="432" t="n"/>
      <c r="D456" s="433" t="n"/>
      <c r="E456" s="433" t="n"/>
    </row>
    <row r="457">
      <c r="A457" s="426" t="n"/>
      <c r="B457" s="427" t="n"/>
      <c r="C457" s="428" t="n"/>
      <c r="D457" s="429" t="n"/>
      <c r="E457" s="429" t="n"/>
    </row>
    <row r="458">
      <c r="A458" s="430" t="n"/>
      <c r="B458" s="431" t="n"/>
      <c r="C458" s="432" t="n"/>
      <c r="D458" s="433" t="n"/>
      <c r="E458" s="433" t="n"/>
    </row>
    <row r="459">
      <c r="A459" s="426" t="n"/>
      <c r="B459" s="427" t="n"/>
      <c r="C459" s="428" t="n"/>
      <c r="D459" s="429" t="n"/>
      <c r="E459" s="429" t="n"/>
    </row>
    <row r="460">
      <c r="A460" s="430" t="n"/>
      <c r="B460" s="431" t="n"/>
      <c r="C460" s="432" t="n"/>
      <c r="D460" s="433" t="n"/>
      <c r="E460" s="433" t="n"/>
    </row>
    <row r="461">
      <c r="A461" s="426" t="n"/>
      <c r="B461" s="427" t="n"/>
      <c r="C461" s="428" t="n"/>
      <c r="D461" s="429" t="n"/>
      <c r="E461" s="429" t="n"/>
    </row>
    <row r="462">
      <c r="A462" s="430" t="n"/>
      <c r="B462" s="431" t="n"/>
      <c r="C462" s="432" t="n"/>
      <c r="D462" s="433" t="n"/>
      <c r="E462" s="433" t="n"/>
    </row>
    <row r="463">
      <c r="A463" s="426" t="n"/>
      <c r="B463" s="427" t="n"/>
      <c r="C463" s="428" t="n"/>
      <c r="D463" s="429" t="n"/>
      <c r="E463" s="429" t="n"/>
    </row>
    <row r="464">
      <c r="A464" s="430" t="n"/>
      <c r="B464" s="431" t="n"/>
      <c r="C464" s="432" t="n"/>
      <c r="D464" s="433" t="n"/>
      <c r="E464" s="433" t="n"/>
    </row>
    <row r="465">
      <c r="A465" s="426" t="n"/>
      <c r="B465" s="427" t="n"/>
      <c r="C465" s="428" t="n"/>
      <c r="D465" s="429" t="n"/>
      <c r="E465" s="429" t="n"/>
    </row>
    <row r="466">
      <c r="A466" s="430" t="n"/>
      <c r="B466" s="431" t="n"/>
      <c r="C466" s="432" t="n"/>
      <c r="D466" s="433" t="n"/>
      <c r="E466" s="433" t="n"/>
    </row>
    <row r="467">
      <c r="A467" s="426" t="n"/>
      <c r="B467" s="427" t="n"/>
      <c r="C467" s="428" t="n"/>
      <c r="D467" s="429" t="n"/>
      <c r="E467" s="429" t="n"/>
    </row>
    <row r="468">
      <c r="A468" s="430" t="n"/>
      <c r="B468" s="431" t="n"/>
      <c r="C468" s="432" t="n"/>
      <c r="D468" s="433" t="n"/>
      <c r="E468" s="433" t="n"/>
    </row>
    <row r="469">
      <c r="A469" s="426" t="n"/>
      <c r="B469" s="427" t="n"/>
      <c r="C469" s="428" t="n"/>
      <c r="D469" s="429" t="n"/>
      <c r="E469" s="429" t="n"/>
    </row>
    <row r="470">
      <c r="A470" s="430" t="n"/>
      <c r="B470" s="431" t="n"/>
      <c r="C470" s="432" t="n"/>
      <c r="D470" s="433" t="n"/>
      <c r="E470" s="433" t="n"/>
    </row>
    <row r="471">
      <c r="A471" s="426" t="n"/>
      <c r="B471" s="427" t="n"/>
      <c r="C471" s="428" t="n"/>
      <c r="D471" s="429" t="n"/>
      <c r="E471" s="429" t="n"/>
    </row>
    <row r="472">
      <c r="A472" s="430" t="n"/>
      <c r="B472" s="431" t="n"/>
      <c r="C472" s="432" t="n"/>
      <c r="D472" s="433" t="n"/>
      <c r="E472" s="433" t="n"/>
    </row>
    <row r="473">
      <c r="A473" s="426" t="n"/>
      <c r="B473" s="427" t="n"/>
      <c r="C473" s="428" t="n"/>
      <c r="D473" s="429" t="n"/>
      <c r="E473" s="429" t="n"/>
    </row>
    <row r="474">
      <c r="A474" s="430" t="n"/>
      <c r="B474" s="431" t="n"/>
      <c r="C474" s="432" t="n"/>
      <c r="D474" s="433" t="n"/>
      <c r="E474" s="433" t="n"/>
    </row>
    <row r="475">
      <c r="A475" s="426" t="n"/>
      <c r="B475" s="427" t="n"/>
      <c r="C475" s="428" t="n"/>
      <c r="D475" s="429" t="n"/>
      <c r="E475" s="429" t="n"/>
    </row>
    <row r="476">
      <c r="A476" s="430" t="n"/>
      <c r="B476" s="431" t="n"/>
      <c r="C476" s="432" t="n"/>
      <c r="D476" s="433" t="n"/>
      <c r="E476" s="433" t="n"/>
    </row>
    <row r="477">
      <c r="A477" s="426" t="n"/>
      <c r="B477" s="427" t="n"/>
      <c r="C477" s="428" t="n"/>
      <c r="D477" s="429" t="n"/>
      <c r="E477" s="429" t="n"/>
    </row>
    <row r="478">
      <c r="A478" s="430" t="n"/>
      <c r="B478" s="431" t="n"/>
      <c r="C478" s="432" t="n"/>
      <c r="D478" s="433" t="n"/>
      <c r="E478" s="433" t="n"/>
    </row>
    <row r="479">
      <c r="A479" s="426" t="n"/>
      <c r="B479" s="427" t="n"/>
      <c r="C479" s="428" t="n"/>
      <c r="D479" s="429" t="n"/>
      <c r="E479" s="429" t="n"/>
    </row>
    <row r="480">
      <c r="A480" s="430" t="n"/>
      <c r="B480" s="431" t="n"/>
      <c r="C480" s="432" t="n"/>
      <c r="D480" s="433" t="n"/>
      <c r="E480" s="433" t="n"/>
    </row>
    <row r="481">
      <c r="A481" s="426" t="n"/>
      <c r="B481" s="427" t="n"/>
      <c r="C481" s="428" t="n"/>
      <c r="D481" s="429" t="n"/>
      <c r="E481" s="429" t="n"/>
    </row>
    <row r="482">
      <c r="A482" s="430" t="n"/>
      <c r="B482" s="431" t="n"/>
      <c r="C482" s="432" t="n"/>
      <c r="D482" s="433" t="n"/>
      <c r="E482" s="433" t="n"/>
    </row>
    <row r="483">
      <c r="A483" s="426" t="n"/>
      <c r="B483" s="427" t="n"/>
      <c r="C483" s="428" t="n"/>
      <c r="D483" s="429" t="n"/>
      <c r="E483" s="429" t="n"/>
    </row>
    <row r="484">
      <c r="A484" s="430" t="n"/>
      <c r="B484" s="431" t="n"/>
      <c r="C484" s="432" t="n"/>
      <c r="D484" s="433" t="n"/>
      <c r="E484" s="433" t="n"/>
    </row>
    <row r="485">
      <c r="A485" s="426" t="n"/>
      <c r="B485" s="427" t="n"/>
      <c r="C485" s="428" t="n"/>
      <c r="D485" s="429" t="n"/>
      <c r="E485" s="429" t="n"/>
    </row>
    <row r="486">
      <c r="A486" s="430" t="n"/>
      <c r="B486" s="431" t="n"/>
      <c r="C486" s="432" t="n"/>
      <c r="D486" s="433" t="n"/>
      <c r="E486" s="433" t="n"/>
    </row>
    <row r="487">
      <c r="A487" s="426" t="n"/>
      <c r="B487" s="427" t="n"/>
      <c r="C487" s="428" t="n"/>
      <c r="D487" s="429" t="n"/>
      <c r="E487" s="429" t="n"/>
    </row>
    <row r="488">
      <c r="A488" s="430" t="n"/>
      <c r="B488" s="431" t="n"/>
      <c r="C488" s="432" t="n"/>
      <c r="D488" s="433" t="n"/>
      <c r="E488" s="433" t="n"/>
    </row>
    <row r="489">
      <c r="A489" s="426" t="n"/>
      <c r="B489" s="427" t="n"/>
      <c r="C489" s="428" t="n"/>
      <c r="D489" s="429" t="n"/>
      <c r="E489" s="429" t="n"/>
    </row>
    <row r="490">
      <c r="A490" s="430" t="n"/>
      <c r="B490" s="431" t="n"/>
      <c r="C490" s="432" t="n"/>
      <c r="D490" s="433" t="n"/>
      <c r="E490" s="433" t="n"/>
    </row>
    <row r="491">
      <c r="A491" s="426" t="n"/>
      <c r="B491" s="427" t="n"/>
      <c r="C491" s="428" t="n"/>
      <c r="D491" s="429" t="n"/>
      <c r="E491" s="429" t="n"/>
    </row>
    <row r="492">
      <c r="A492" s="430" t="n"/>
      <c r="B492" s="431" t="n"/>
      <c r="C492" s="432" t="n"/>
      <c r="D492" s="433" t="n"/>
      <c r="E492" s="433" t="n"/>
    </row>
    <row r="493">
      <c r="A493" s="426" t="n"/>
      <c r="B493" s="427" t="n"/>
      <c r="C493" s="428" t="n"/>
      <c r="D493" s="429" t="n"/>
      <c r="E493" s="429" t="n"/>
    </row>
    <row r="494">
      <c r="A494" s="430" t="n"/>
      <c r="B494" s="431" t="n"/>
      <c r="C494" s="432" t="n"/>
      <c r="D494" s="433" t="n"/>
      <c r="E494" s="433" t="n"/>
    </row>
    <row r="495">
      <c r="A495" s="426" t="n"/>
      <c r="B495" s="427" t="n"/>
      <c r="C495" s="428" t="n"/>
      <c r="D495" s="429" t="n"/>
      <c r="E495" s="429" t="n"/>
    </row>
    <row r="496">
      <c r="A496" s="430" t="n"/>
      <c r="B496" s="431" t="n"/>
      <c r="C496" s="432" t="n"/>
      <c r="D496" s="433" t="n"/>
      <c r="E496" s="433" t="n"/>
    </row>
    <row r="497">
      <c r="A497" s="426" t="n"/>
      <c r="B497" s="427" t="n"/>
      <c r="C497" s="428" t="n"/>
      <c r="D497" s="429" t="n"/>
      <c r="E497" s="429" t="n"/>
    </row>
    <row r="498">
      <c r="A498" s="430" t="n"/>
      <c r="B498" s="431" t="n"/>
      <c r="C498" s="432" t="n"/>
      <c r="D498" s="433" t="n"/>
      <c r="E498" s="433" t="n"/>
    </row>
    <row r="499">
      <c r="A499" s="426" t="n"/>
      <c r="B499" s="427" t="n"/>
      <c r="C499" s="428" t="n"/>
      <c r="D499" s="429" t="n"/>
      <c r="E499" s="429" t="n"/>
    </row>
    <row r="500">
      <c r="A500" s="430" t="n"/>
      <c r="B500" s="431" t="n"/>
      <c r="C500" s="432" t="n"/>
      <c r="D500" s="433" t="n"/>
      <c r="E500" s="433" t="n"/>
    </row>
    <row r="501">
      <c r="A501" s="426" t="n"/>
      <c r="B501" s="427" t="n"/>
      <c r="C501" s="428" t="n"/>
      <c r="D501" s="429" t="n"/>
      <c r="E501" s="429" t="n"/>
    </row>
    <row r="502">
      <c r="A502" s="430" t="n"/>
      <c r="B502" s="431" t="n"/>
      <c r="C502" s="432" t="n"/>
      <c r="D502" s="433" t="n"/>
      <c r="E502" s="433" t="n"/>
    </row>
    <row r="503">
      <c r="A503" s="426" t="n"/>
      <c r="B503" s="427" t="n"/>
      <c r="C503" s="428" t="n"/>
      <c r="D503" s="429" t="n"/>
      <c r="E503" s="429" t="n"/>
    </row>
    <row r="504">
      <c r="A504" s="430" t="n"/>
      <c r="B504" s="431" t="n"/>
      <c r="C504" s="432" t="n"/>
      <c r="D504" s="433" t="n"/>
      <c r="E504" s="433" t="n"/>
    </row>
    <row r="505">
      <c r="A505" s="426" t="n"/>
      <c r="B505" s="427" t="n"/>
      <c r="C505" s="428" t="n"/>
      <c r="D505" s="429" t="n"/>
      <c r="E505" s="429" t="n"/>
    </row>
    <row r="506">
      <c r="A506" s="430" t="n"/>
      <c r="B506" s="431" t="n"/>
      <c r="C506" s="432" t="n"/>
      <c r="D506" s="433" t="n"/>
      <c r="E506" s="433" t="n"/>
    </row>
    <row r="507">
      <c r="A507" s="426" t="n"/>
      <c r="B507" s="427" t="n"/>
      <c r="C507" s="428" t="n"/>
      <c r="D507" s="429" t="n"/>
      <c r="E507" s="429" t="n"/>
    </row>
    <row r="508">
      <c r="A508" s="430" t="n"/>
      <c r="B508" s="431" t="n"/>
      <c r="C508" s="432" t="n"/>
      <c r="D508" s="433" t="n"/>
      <c r="E508" s="433" t="n"/>
    </row>
  </sheetData>
  <sheetProtection selectLockedCells="0" selectUnlockedCells="0" sheet="1" objects="0" insertRows="1" insertHyperlinks="1" autoFilter="1" scenarios="0" formatColumns="1" deleteColumns="1" insertColumns="1" pivotTables="1" deleteRows="1" formatCells="0" formatRows="1" sort="1"/>
  <mergeCells count="6">
    <mergeCell ref="A4:B4"/>
    <mergeCell ref="A2:E2"/>
    <mergeCell ref="C5:D5"/>
    <mergeCell ref="A5:B5"/>
    <mergeCell ref="A1:E1"/>
    <mergeCell ref="C4:D4"/>
  </mergeCells>
  <conditionalFormatting sqref="D8:D508">
    <cfRule type="cellIs" priority="1" operator="equal" dxfId="63">
      <formula>"Boredom"</formula>
    </cfRule>
    <cfRule type="cellIs" priority="2" operator="equal" dxfId="64">
      <formula>"Stress"</formula>
    </cfRule>
    <cfRule type="cellIs" priority="3" operator="equal" dxfId="65">
      <formula>"Scrolling"</formula>
    </cfRule>
    <cfRule type="cellIs" priority="4" operator="equal" dxfId="66">
      <formula>"Social pressure"</formula>
    </cfRule>
    <cfRule type="cellIs" priority="5" operator="equal" dxfId="67">
      <formula>"Celebration"</formula>
    </cfRule>
    <cfRule type="cellIs" priority="6" operator="equal" dxfId="68">
      <formula>"Other"</formula>
    </cfRule>
  </conditionalFormatting>
  <conditionalFormatting sqref="E8:E508">
    <cfRule type="cellIs" priority="7" operator="equal" dxfId="65">
      <formula>"Regret"</formula>
    </cfRule>
  </conditionalFormatting>
  <dataValidations count="2">
    <dataValidation sqref="D8:D508" showDropDown="0" showInputMessage="0" showErrorMessage="0" allowBlank="1" type="list">
      <formula1>TriggerList</formula1>
    </dataValidation>
    <dataValidation sqref="E8:E508" showDropDown="0" showInputMessage="0" showErrorMessage="0" allowBlank="1" type="list">
      <formula1>FeelingList</formula1>
    </dataValidation>
  </dataValidations>
  <pageMargins left="0.75" right="0.75" top="1" bottom="1" header="0.5" footer="0.5"/>
</worksheet>
</file>

<file path=xl/worksheets/sheet7.xml><?xml version="1.0" encoding="utf-8"?>
<worksheet xmlns="http://schemas.openxmlformats.org/spreadsheetml/2006/main">
  <sheetPr>
    <tabColor rgb="00C8D8C4"/>
    <outlinePr summaryBelow="1" summaryRight="1"/>
    <pageSetUpPr/>
  </sheetPr>
  <dimension ref="A1:M36"/>
  <sheetViews>
    <sheetView showGridLines="0" workbookViewId="0">
      <selection activeCell="A1" sqref="A1"/>
    </sheetView>
  </sheetViews>
  <sheetFormatPr baseColWidth="8" defaultRowHeight="15"/>
  <cols>
    <col width="3" customWidth="1" style="232" min="1" max="1"/>
    <col width="12" customWidth="1" style="232" min="2" max="2"/>
    <col width="12" customWidth="1" style="232" min="3" max="3"/>
    <col width="12" customWidth="1" style="232" min="4" max="4"/>
    <col width="12" customWidth="1" style="232" min="5" max="5"/>
    <col width="12" customWidth="1" style="232" min="6" max="6"/>
    <col width="12" customWidth="1" style="232" min="7" max="7"/>
    <col width="12" customWidth="1" style="232" min="8" max="8"/>
    <col width="3" customWidth="1" style="232" min="9" max="9"/>
    <col hidden="1" width="13" customWidth="1" style="232" min="11" max="11"/>
    <col hidden="1" width="13" customWidth="1" style="232" min="12" max="12"/>
    <col hidden="1" width="13" customWidth="1" style="232" min="13" max="13"/>
    <col hidden="1" width="13" customWidth="1" style="232" min="14" max="14"/>
  </cols>
  <sheetData>
    <row r="1" ht="48" customHeight="1" s="232">
      <c r="A1" s="249" t="inlineStr">
        <is>
          <t>Low-Spend Streak Tracker</t>
        </is>
      </c>
      <c r="B1" s="250" t="n"/>
      <c r="C1" s="250" t="n"/>
      <c r="D1" s="250" t="n"/>
      <c r="E1" s="250" t="n"/>
      <c r="F1" s="250" t="n"/>
      <c r="G1" s="250" t="n"/>
      <c r="H1" s="250" t="n"/>
      <c r="L1">
        <f>MATCH($C$4,MonthList,0)</f>
        <v/>
      </c>
    </row>
    <row r="2" ht="40" customHeight="1" s="232">
      <c r="A2" s="251" t="inlineStr">
        <is>
          <t>Every no-spend (or low-spend) day is a win. Mark a check and watch your streak grow. Miss a day? You just start a fresh one. That's it.</t>
        </is>
      </c>
      <c r="L2">
        <f>DAY(EOMONTH(DATE($G$4,$L$1,1),0))</f>
        <v/>
      </c>
    </row>
    <row r="3">
      <c r="L3">
        <f>IF(AND($L$1=MONTH(TODAY()),$G$4=YEAR(TODAY())),DAY(TODAY()),$L$2)</f>
        <v/>
      </c>
    </row>
    <row r="4">
      <c r="B4" s="434" t="inlineStr">
        <is>
          <t>Month</t>
        </is>
      </c>
      <c r="C4" s="435" t="inlineStr">
        <is>
          <t>January</t>
        </is>
      </c>
      <c r="F4" s="434" t="inlineStr">
        <is>
          <t>Year</t>
        </is>
      </c>
      <c r="G4" s="435" t="n">
        <v>2026</v>
      </c>
    </row>
    <row r="6" ht="20" customHeight="1" s="232">
      <c r="B6" s="436" t="inlineStr">
        <is>
          <t>CURRENT STREAK</t>
        </is>
      </c>
      <c r="C6" s="257" t="n"/>
      <c r="D6" s="257" t="n"/>
      <c r="F6" s="437" t="inlineStr">
        <is>
          <t>LONGEST THIS MONTH</t>
        </is>
      </c>
      <c r="G6" s="253" t="n"/>
      <c r="H6" s="253" t="n"/>
      <c r="K6" t="n">
        <v>1</v>
      </c>
      <c r="L6">
        <f>B11</f>
        <v/>
      </c>
      <c r="M6">
        <f>IF(AND(1&lt;=$L$2,L6="✓"),0+1,0)</f>
        <v/>
      </c>
    </row>
    <row r="7" ht="40" customHeight="1" s="232">
      <c r="B7" s="260">
        <f>INDEX($M$6:$M$36,$L$3)</f>
        <v/>
      </c>
      <c r="C7" s="257" t="n"/>
      <c r="D7" s="257" t="n"/>
      <c r="F7" s="438">
        <f>MAX($M$6:$M$36)</f>
        <v/>
      </c>
      <c r="G7" s="253" t="n"/>
      <c r="H7" s="253" t="n"/>
      <c r="K7" t="n">
        <v>2</v>
      </c>
      <c r="L7">
        <f>C11</f>
        <v/>
      </c>
      <c r="M7">
        <f>IF(AND(2&lt;=$L$2,L7="✓"),M6+1,0)</f>
        <v/>
      </c>
    </row>
    <row r="8">
      <c r="K8" t="n">
        <v>3</v>
      </c>
      <c r="L8">
        <f>D11</f>
        <v/>
      </c>
      <c r="M8">
        <f>IF(AND(3&lt;=$L$2,L8="✓"),M7+1,0)</f>
        <v/>
      </c>
    </row>
    <row r="9" ht="28" customHeight="1" s="232">
      <c r="A9" s="265" t="inlineStr">
        <is>
          <t>Mark a check on every low-spend day</t>
        </is>
      </c>
      <c r="K9" t="n">
        <v>4</v>
      </c>
      <c r="L9">
        <f>E11</f>
        <v/>
      </c>
      <c r="M9">
        <f>IF(AND(4&lt;=$L$2,L9="✓"),M8+1,0)</f>
        <v/>
      </c>
    </row>
    <row r="10" ht="18" customHeight="1" s="232">
      <c r="B10" s="439">
        <f>IF(1&lt;=$L$2,1,"")</f>
        <v/>
      </c>
      <c r="C10" s="439">
        <f>IF(2&lt;=$L$2,2,"")</f>
        <v/>
      </c>
      <c r="D10" s="439">
        <f>IF(3&lt;=$L$2,3,"")</f>
        <v/>
      </c>
      <c r="E10" s="439">
        <f>IF(4&lt;=$L$2,4,"")</f>
        <v/>
      </c>
      <c r="F10" s="439">
        <f>IF(5&lt;=$L$2,5,"")</f>
        <v/>
      </c>
      <c r="G10" s="439">
        <f>IF(6&lt;=$L$2,6,"")</f>
        <v/>
      </c>
      <c r="H10" s="439">
        <f>IF(7&lt;=$L$2,7,"")</f>
        <v/>
      </c>
      <c r="K10" t="n">
        <v>5</v>
      </c>
      <c r="L10">
        <f>F11</f>
        <v/>
      </c>
      <c r="M10">
        <f>IF(AND(5&lt;=$L$2,L10="✓"),M9+1,0)</f>
        <v/>
      </c>
    </row>
    <row r="11" ht="34" customHeight="1" s="232">
      <c r="B11" s="440" t="n"/>
      <c r="C11" s="440" t="n"/>
      <c r="D11" s="440" t="n"/>
      <c r="E11" s="440" t="n"/>
      <c r="F11" s="440" t="n"/>
      <c r="G11" s="440" t="n"/>
      <c r="H11" s="440" t="n"/>
      <c r="K11" t="n">
        <v>6</v>
      </c>
      <c r="L11">
        <f>G11</f>
        <v/>
      </c>
      <c r="M11">
        <f>IF(AND(6&lt;=$L$2,L11="✓"),M10+1,0)</f>
        <v/>
      </c>
    </row>
    <row r="12">
      <c r="K12" t="n">
        <v>7</v>
      </c>
      <c r="L12">
        <f>H11</f>
        <v/>
      </c>
      <c r="M12">
        <f>IF(AND(7&lt;=$L$2,L12="✓"),M11+1,0)</f>
        <v/>
      </c>
    </row>
    <row r="13" ht="18" customHeight="1" s="232">
      <c r="B13" s="439">
        <f>IF(8&lt;=$L$2,8,"")</f>
        <v/>
      </c>
      <c r="C13" s="439">
        <f>IF(9&lt;=$L$2,9,"")</f>
        <v/>
      </c>
      <c r="D13" s="439">
        <f>IF(10&lt;=$L$2,10,"")</f>
        <v/>
      </c>
      <c r="E13" s="439">
        <f>IF(11&lt;=$L$2,11,"")</f>
        <v/>
      </c>
      <c r="F13" s="439">
        <f>IF(12&lt;=$L$2,12,"")</f>
        <v/>
      </c>
      <c r="G13" s="439">
        <f>IF(13&lt;=$L$2,13,"")</f>
        <v/>
      </c>
      <c r="H13" s="439">
        <f>IF(14&lt;=$L$2,14,"")</f>
        <v/>
      </c>
      <c r="K13" t="n">
        <v>8</v>
      </c>
      <c r="L13">
        <f>B14</f>
        <v/>
      </c>
      <c r="M13">
        <f>IF(AND(8&lt;=$L$2,L13="✓"),M12+1,0)</f>
        <v/>
      </c>
    </row>
    <row r="14" ht="34" customHeight="1" s="232">
      <c r="B14" s="440" t="n"/>
      <c r="C14" s="440" t="n"/>
      <c r="D14" s="440" t="n"/>
      <c r="E14" s="440" t="n"/>
      <c r="F14" s="440" t="n"/>
      <c r="G14" s="440" t="n"/>
      <c r="H14" s="440" t="n"/>
      <c r="K14" t="n">
        <v>9</v>
      </c>
      <c r="L14">
        <f>C14</f>
        <v/>
      </c>
      <c r="M14">
        <f>IF(AND(9&lt;=$L$2,L14="✓"),M13+1,0)</f>
        <v/>
      </c>
    </row>
    <row r="15">
      <c r="K15" t="n">
        <v>10</v>
      </c>
      <c r="L15">
        <f>D14</f>
        <v/>
      </c>
      <c r="M15">
        <f>IF(AND(10&lt;=$L$2,L15="✓"),M14+1,0)</f>
        <v/>
      </c>
    </row>
    <row r="16" ht="18" customHeight="1" s="232">
      <c r="B16" s="439">
        <f>IF(15&lt;=$L$2,15,"")</f>
        <v/>
      </c>
      <c r="C16" s="439">
        <f>IF(16&lt;=$L$2,16,"")</f>
        <v/>
      </c>
      <c r="D16" s="439">
        <f>IF(17&lt;=$L$2,17,"")</f>
        <v/>
      </c>
      <c r="E16" s="439">
        <f>IF(18&lt;=$L$2,18,"")</f>
        <v/>
      </c>
      <c r="F16" s="439">
        <f>IF(19&lt;=$L$2,19,"")</f>
        <v/>
      </c>
      <c r="G16" s="439">
        <f>IF(20&lt;=$L$2,20,"")</f>
        <v/>
      </c>
      <c r="H16" s="439">
        <f>IF(21&lt;=$L$2,21,"")</f>
        <v/>
      </c>
      <c r="K16" t="n">
        <v>11</v>
      </c>
      <c r="L16">
        <f>E14</f>
        <v/>
      </c>
      <c r="M16">
        <f>IF(AND(11&lt;=$L$2,L16="✓"),M15+1,0)</f>
        <v/>
      </c>
    </row>
    <row r="17" ht="34" customHeight="1" s="232">
      <c r="B17" s="440" t="n"/>
      <c r="C17" s="440" t="n"/>
      <c r="D17" s="440" t="n"/>
      <c r="E17" s="440" t="n"/>
      <c r="F17" s="440" t="n"/>
      <c r="G17" s="440" t="n"/>
      <c r="H17" s="440" t="n"/>
      <c r="K17" t="n">
        <v>12</v>
      </c>
      <c r="L17">
        <f>F14</f>
        <v/>
      </c>
      <c r="M17">
        <f>IF(AND(12&lt;=$L$2,L17="✓"),M16+1,0)</f>
        <v/>
      </c>
    </row>
    <row r="18">
      <c r="K18" t="n">
        <v>13</v>
      </c>
      <c r="L18">
        <f>G14</f>
        <v/>
      </c>
      <c r="M18">
        <f>IF(AND(13&lt;=$L$2,L18="✓"),M17+1,0)</f>
        <v/>
      </c>
    </row>
    <row r="19" ht="18" customHeight="1" s="232">
      <c r="B19" s="439">
        <f>IF(22&lt;=$L$2,22,"")</f>
        <v/>
      </c>
      <c r="C19" s="439">
        <f>IF(23&lt;=$L$2,23,"")</f>
        <v/>
      </c>
      <c r="D19" s="439">
        <f>IF(24&lt;=$L$2,24,"")</f>
        <v/>
      </c>
      <c r="E19" s="439">
        <f>IF(25&lt;=$L$2,25,"")</f>
        <v/>
      </c>
      <c r="F19" s="439">
        <f>IF(26&lt;=$L$2,26,"")</f>
        <v/>
      </c>
      <c r="G19" s="439">
        <f>IF(27&lt;=$L$2,27,"")</f>
        <v/>
      </c>
      <c r="H19" s="439">
        <f>IF(28&lt;=$L$2,28,"")</f>
        <v/>
      </c>
      <c r="K19" t="n">
        <v>14</v>
      </c>
      <c r="L19">
        <f>H14</f>
        <v/>
      </c>
      <c r="M19">
        <f>IF(AND(14&lt;=$L$2,L19="✓"),M18+1,0)</f>
        <v/>
      </c>
    </row>
    <row r="20" ht="34" customHeight="1" s="232">
      <c r="B20" s="440" t="n"/>
      <c r="C20" s="440" t="n"/>
      <c r="D20" s="440" t="n"/>
      <c r="E20" s="440" t="n"/>
      <c r="F20" s="440" t="n"/>
      <c r="G20" s="440" t="n"/>
      <c r="H20" s="440" t="n"/>
      <c r="K20" t="n">
        <v>15</v>
      </c>
      <c r="L20">
        <f>B17</f>
        <v/>
      </c>
      <c r="M20">
        <f>IF(AND(15&lt;=$L$2,L20="✓"),M19+1,0)</f>
        <v/>
      </c>
    </row>
    <row r="21">
      <c r="K21" t="n">
        <v>16</v>
      </c>
      <c r="L21">
        <f>C17</f>
        <v/>
      </c>
      <c r="M21">
        <f>IF(AND(16&lt;=$L$2,L21="✓"),M20+1,0)</f>
        <v/>
      </c>
    </row>
    <row r="22" ht="18" customHeight="1" s="232">
      <c r="B22" s="439">
        <f>IF(29&lt;=$L$2,29,"")</f>
        <v/>
      </c>
      <c r="C22" s="439">
        <f>IF(30&lt;=$L$2,30,"")</f>
        <v/>
      </c>
      <c r="D22" s="439">
        <f>IF(31&lt;=$L$2,31,"")</f>
        <v/>
      </c>
      <c r="E22" s="439">
        <f>IF(32&lt;=$L$2,32,"")</f>
        <v/>
      </c>
      <c r="F22" s="439">
        <f>IF(33&lt;=$L$2,33,"")</f>
        <v/>
      </c>
      <c r="G22" s="439">
        <f>IF(34&lt;=$L$2,34,"")</f>
        <v/>
      </c>
      <c r="H22" s="439">
        <f>IF(35&lt;=$L$2,35,"")</f>
        <v/>
      </c>
      <c r="K22" t="n">
        <v>17</v>
      </c>
      <c r="L22">
        <f>D17</f>
        <v/>
      </c>
      <c r="M22">
        <f>IF(AND(17&lt;=$L$2,L22="✓"),M21+1,0)</f>
        <v/>
      </c>
    </row>
    <row r="23" ht="34" customHeight="1" s="232">
      <c r="B23" s="440" t="n"/>
      <c r="C23" s="440" t="n"/>
      <c r="D23" s="440" t="n"/>
      <c r="E23" s="440" t="n"/>
      <c r="F23" s="440" t="n"/>
      <c r="G23" s="440" t="n"/>
      <c r="H23" s="440" t="n"/>
      <c r="K23" t="n">
        <v>18</v>
      </c>
      <c r="L23">
        <f>E17</f>
        <v/>
      </c>
      <c r="M23">
        <f>IF(AND(18&lt;=$L$2,L23="✓"),M22+1,0)</f>
        <v/>
      </c>
    </row>
    <row r="24">
      <c r="K24" t="n">
        <v>19</v>
      </c>
      <c r="L24">
        <f>F17</f>
        <v/>
      </c>
      <c r="M24">
        <f>IF(AND(19&lt;=$L$2,L24="✓"),M23+1,0)</f>
        <v/>
      </c>
    </row>
    <row r="25">
      <c r="K25" t="n">
        <v>20</v>
      </c>
      <c r="L25">
        <f>G17</f>
        <v/>
      </c>
      <c r="M25">
        <f>IF(AND(20&lt;=$L$2,L25="✓"),M24+1,0)</f>
        <v/>
      </c>
    </row>
    <row r="26" ht="40" customHeight="1" s="232">
      <c r="A26" s="441">
        <f>IF($B$7&gt;=30,"30 days. A whole month of showing up for yourself. Incredible.",IF($B$7&gt;=14,"Two weeks strong. Your brain is learning a new pattern. Keep going.",IF($B$7&gt;=7,"A full week. That is real momentum. Be proud.",IF($B$7&gt;=1,"You have started a streak. One day at a time.","A fresh page. Mark today whenever you are ready."))))</f>
        <v/>
      </c>
      <c r="K26" t="n">
        <v>21</v>
      </c>
      <c r="L26">
        <f>H17</f>
        <v/>
      </c>
      <c r="M26">
        <f>IF(AND(21&lt;=$L$2,L26="✓"),M25+1,0)</f>
        <v/>
      </c>
    </row>
    <row r="27">
      <c r="K27" t="n">
        <v>22</v>
      </c>
      <c r="L27">
        <f>B20</f>
        <v/>
      </c>
      <c r="M27">
        <f>IF(AND(22&lt;=$L$2,L27="✓"),M26+1,0)</f>
        <v/>
      </c>
    </row>
    <row r="28">
      <c r="K28" t="n">
        <v>23</v>
      </c>
      <c r="L28">
        <f>C20</f>
        <v/>
      </c>
      <c r="M28">
        <f>IF(AND(23&lt;=$L$2,L28="✓"),M27+1,0)</f>
        <v/>
      </c>
    </row>
    <row r="29">
      <c r="K29" t="n">
        <v>24</v>
      </c>
      <c r="L29">
        <f>D20</f>
        <v/>
      </c>
      <c r="M29">
        <f>IF(AND(24&lt;=$L$2,L29="✓"),M28+1,0)</f>
        <v/>
      </c>
    </row>
    <row r="30">
      <c r="K30" t="n">
        <v>25</v>
      </c>
      <c r="L30">
        <f>E20</f>
        <v/>
      </c>
      <c r="M30">
        <f>IF(AND(25&lt;=$L$2,L30="✓"),M29+1,0)</f>
        <v/>
      </c>
    </row>
    <row r="31">
      <c r="K31" t="n">
        <v>26</v>
      </c>
      <c r="L31">
        <f>F20</f>
        <v/>
      </c>
      <c r="M31">
        <f>IF(AND(26&lt;=$L$2,L31="✓"),M30+1,0)</f>
        <v/>
      </c>
    </row>
    <row r="32">
      <c r="K32" t="n">
        <v>27</v>
      </c>
      <c r="L32">
        <f>G20</f>
        <v/>
      </c>
      <c r="M32">
        <f>IF(AND(27&lt;=$L$2,L32="✓"),M31+1,0)</f>
        <v/>
      </c>
    </row>
    <row r="33">
      <c r="K33" t="n">
        <v>28</v>
      </c>
      <c r="L33">
        <f>H20</f>
        <v/>
      </c>
      <c r="M33">
        <f>IF(AND(28&lt;=$L$2,L33="✓"),M32+1,0)</f>
        <v/>
      </c>
    </row>
    <row r="34">
      <c r="K34" t="n">
        <v>29</v>
      </c>
      <c r="L34">
        <f>B23</f>
        <v/>
      </c>
      <c r="M34">
        <f>IF(AND(29&lt;=$L$2,L34="✓"),M33+1,0)</f>
        <v/>
      </c>
    </row>
    <row r="35">
      <c r="K35" t="n">
        <v>30</v>
      </c>
      <c r="L35">
        <f>C23</f>
        <v/>
      </c>
      <c r="M35">
        <f>IF(AND(30&lt;=$L$2,L35="✓"),M34+1,0)</f>
        <v/>
      </c>
    </row>
    <row r="36">
      <c r="K36" t="n">
        <v>31</v>
      </c>
      <c r="L36">
        <f>D23</f>
        <v/>
      </c>
      <c r="M36">
        <f>IF(AND(31&lt;=$L$2,L36="✓"),M35+1,0)</f>
        <v/>
      </c>
    </row>
  </sheetData>
  <sheetProtection selectLockedCells="0" selectUnlockedCells="0" sheet="1" objects="0" insertRows="1" insertHyperlinks="1" autoFilter="1" scenarios="0" formatColumns="1" deleteColumns="1" insertColumns="1" pivotTables="1" deleteRows="1" formatCells="0" formatRows="1" sort="1"/>
  <mergeCells count="9">
    <mergeCell ref="A9:H9"/>
    <mergeCell ref="A26:H26"/>
    <mergeCell ref="F6:H6"/>
    <mergeCell ref="F7:H7"/>
    <mergeCell ref="A2:H2"/>
    <mergeCell ref="A1:H1"/>
    <mergeCell ref="B7:D7"/>
    <mergeCell ref="B6:D6"/>
    <mergeCell ref="C4:D4"/>
  </mergeCells>
  <conditionalFormatting sqref="B11">
    <cfRule type="cellIs" priority="1" operator="equal" dxfId="69">
      <formula>"✓"</formula>
    </cfRule>
  </conditionalFormatting>
  <conditionalFormatting sqref="C11">
    <cfRule type="cellIs" priority="2" operator="equal" dxfId="69">
      <formula>"✓"</formula>
    </cfRule>
  </conditionalFormatting>
  <conditionalFormatting sqref="D11">
    <cfRule type="cellIs" priority="3" operator="equal" dxfId="69">
      <formula>"✓"</formula>
    </cfRule>
  </conditionalFormatting>
  <conditionalFormatting sqref="E11">
    <cfRule type="cellIs" priority="4" operator="equal" dxfId="69">
      <formula>"✓"</formula>
    </cfRule>
  </conditionalFormatting>
  <conditionalFormatting sqref="F11">
    <cfRule type="cellIs" priority="5" operator="equal" dxfId="69">
      <formula>"✓"</formula>
    </cfRule>
  </conditionalFormatting>
  <conditionalFormatting sqref="G11">
    <cfRule type="cellIs" priority="6" operator="equal" dxfId="69">
      <formula>"✓"</formula>
    </cfRule>
  </conditionalFormatting>
  <conditionalFormatting sqref="H11">
    <cfRule type="cellIs" priority="7" operator="equal" dxfId="69">
      <formula>"✓"</formula>
    </cfRule>
  </conditionalFormatting>
  <conditionalFormatting sqref="B14">
    <cfRule type="cellIs" priority="8" operator="equal" dxfId="69">
      <formula>"✓"</formula>
    </cfRule>
  </conditionalFormatting>
  <conditionalFormatting sqref="C14">
    <cfRule type="cellIs" priority="9" operator="equal" dxfId="69">
      <formula>"✓"</formula>
    </cfRule>
  </conditionalFormatting>
  <conditionalFormatting sqref="D14">
    <cfRule type="cellIs" priority="10" operator="equal" dxfId="69">
      <formula>"✓"</formula>
    </cfRule>
  </conditionalFormatting>
  <conditionalFormatting sqref="E14">
    <cfRule type="cellIs" priority="11" operator="equal" dxfId="69">
      <formula>"✓"</formula>
    </cfRule>
  </conditionalFormatting>
  <conditionalFormatting sqref="F14">
    <cfRule type="cellIs" priority="12" operator="equal" dxfId="69">
      <formula>"✓"</formula>
    </cfRule>
  </conditionalFormatting>
  <conditionalFormatting sqref="G14">
    <cfRule type="cellIs" priority="13" operator="equal" dxfId="69">
      <formula>"✓"</formula>
    </cfRule>
  </conditionalFormatting>
  <conditionalFormatting sqref="H14">
    <cfRule type="cellIs" priority="14" operator="equal" dxfId="69">
      <formula>"✓"</formula>
    </cfRule>
  </conditionalFormatting>
  <conditionalFormatting sqref="B17">
    <cfRule type="cellIs" priority="15" operator="equal" dxfId="69">
      <formula>"✓"</formula>
    </cfRule>
  </conditionalFormatting>
  <conditionalFormatting sqref="C17">
    <cfRule type="cellIs" priority="16" operator="equal" dxfId="69">
      <formula>"✓"</formula>
    </cfRule>
  </conditionalFormatting>
  <conditionalFormatting sqref="D17">
    <cfRule type="cellIs" priority="17" operator="equal" dxfId="69">
      <formula>"✓"</formula>
    </cfRule>
  </conditionalFormatting>
  <conditionalFormatting sqref="E17">
    <cfRule type="cellIs" priority="18" operator="equal" dxfId="69">
      <formula>"✓"</formula>
    </cfRule>
  </conditionalFormatting>
  <conditionalFormatting sqref="F17">
    <cfRule type="cellIs" priority="19" operator="equal" dxfId="69">
      <formula>"✓"</formula>
    </cfRule>
  </conditionalFormatting>
  <conditionalFormatting sqref="G17">
    <cfRule type="cellIs" priority="20" operator="equal" dxfId="69">
      <formula>"✓"</formula>
    </cfRule>
  </conditionalFormatting>
  <conditionalFormatting sqref="H17">
    <cfRule type="cellIs" priority="21" operator="equal" dxfId="69">
      <formula>"✓"</formula>
    </cfRule>
  </conditionalFormatting>
  <conditionalFormatting sqref="B20">
    <cfRule type="cellIs" priority="22" operator="equal" dxfId="69">
      <formula>"✓"</formula>
    </cfRule>
  </conditionalFormatting>
  <conditionalFormatting sqref="C20">
    <cfRule type="cellIs" priority="23" operator="equal" dxfId="69">
      <formula>"✓"</formula>
    </cfRule>
  </conditionalFormatting>
  <conditionalFormatting sqref="D20">
    <cfRule type="cellIs" priority="24" operator="equal" dxfId="69">
      <formula>"✓"</formula>
    </cfRule>
  </conditionalFormatting>
  <conditionalFormatting sqref="E20">
    <cfRule type="cellIs" priority="25" operator="equal" dxfId="69">
      <formula>"✓"</formula>
    </cfRule>
  </conditionalFormatting>
  <conditionalFormatting sqref="F20">
    <cfRule type="cellIs" priority="26" operator="equal" dxfId="69">
      <formula>"✓"</formula>
    </cfRule>
  </conditionalFormatting>
  <conditionalFormatting sqref="G20">
    <cfRule type="cellIs" priority="27" operator="equal" dxfId="69">
      <formula>"✓"</formula>
    </cfRule>
  </conditionalFormatting>
  <conditionalFormatting sqref="H20">
    <cfRule type="cellIs" priority="28" operator="equal" dxfId="69">
      <formula>"✓"</formula>
    </cfRule>
  </conditionalFormatting>
  <conditionalFormatting sqref="B23">
    <cfRule type="cellIs" priority="29" operator="equal" dxfId="69">
      <formula>"✓"</formula>
    </cfRule>
  </conditionalFormatting>
  <conditionalFormatting sqref="C23">
    <cfRule type="cellIs" priority="30" operator="equal" dxfId="69">
      <formula>"✓"</formula>
    </cfRule>
  </conditionalFormatting>
  <conditionalFormatting sqref="D23">
    <cfRule type="cellIs" priority="31" operator="equal" dxfId="69">
      <formula>"✓"</formula>
    </cfRule>
  </conditionalFormatting>
  <dataValidations count="3">
    <dataValidation sqref="C4" showDropDown="0" showInputMessage="0" showErrorMessage="0" allowBlank="1" type="list">
      <formula1>MonthList</formula1>
    </dataValidation>
    <dataValidation sqref="G4" showDropDown="0" showInputMessage="0" showErrorMessage="0" allowBlank="1" type="list">
      <formula1>YearList</formula1>
    </dataValidation>
    <dataValidation sqref="B11 B14 B17 B20 B23 C11 C14 C17 C20 C23 D11 D14 D17 D20 D23 E11 E14 E17 E20 F11 F14 F17 F20 G11 G14 G17 G20 H11 H14 H17 H20" showDropDown="0" showInputMessage="0" showErrorMessage="0" allowBlank="1" type="list">
      <formula1>"✓, "</formula1>
    </dataValidation>
  </dataValidations>
  <pageMargins left="0.75" right="0.75" top="1" bottom="1" header="0.5" footer="0.5"/>
</worksheet>
</file>

<file path=xl/worksheets/sheet8.xml><?xml version="1.0" encoding="utf-8"?>
<worksheet xmlns="http://schemas.openxmlformats.org/spreadsheetml/2006/main">
  <sheetPr>
    <tabColor rgb="00F4C9CE"/>
    <outlinePr summaryBelow="1" summaryRight="1"/>
    <pageSetUpPr/>
  </sheetPr>
  <dimension ref="A1:F207"/>
  <sheetViews>
    <sheetView showGridLines="0" workbookViewId="0">
      <pane ySplit="7" topLeftCell="A8" activePane="bottomLeft" state="frozen"/>
      <selection pane="bottomLeft" activeCell="A1" sqref="A1"/>
    </sheetView>
  </sheetViews>
  <sheetFormatPr baseColWidth="8" defaultRowHeight="15"/>
  <cols>
    <col width="24" customWidth="1" style="232" min="1" max="1"/>
    <col width="12" customWidth="1" style="232" min="2" max="2"/>
    <col width="16" customWidth="1" style="232" min="3" max="3"/>
    <col width="16" customWidth="1" style="232" min="4" max="4"/>
    <col width="28" customWidth="1" style="232" min="5" max="5"/>
    <col width="14" customWidth="1" style="232" min="6" max="6"/>
  </cols>
  <sheetData>
    <row r="1" ht="42" customHeight="1" s="232">
      <c r="A1" s="274" t="inlineStr">
        <is>
          <t>✋ Pause Before You Buy</t>
        </is>
      </c>
      <c r="B1" s="250" t="n"/>
      <c r="C1" s="250" t="n"/>
      <c r="D1" s="250" t="n"/>
      <c r="E1" s="250" t="n"/>
      <c r="F1" s="250" t="n"/>
    </row>
    <row r="2" ht="30" customHeight="1" s="232">
      <c r="A2" s="251" t="inlineStr">
        <is>
          <t>The 24-hour rule, made simple. Before an impulse buy, log it here and give tomorrow-you a vote. Waiting is a win, not a loss.</t>
        </is>
      </c>
    </row>
    <row r="4" ht="18" customHeight="1" s="232">
      <c r="A4" s="266" t="inlineStr">
        <is>
          <t>Times you paused</t>
        </is>
      </c>
      <c r="B4" s="253" t="n"/>
      <c r="C4" s="268" t="inlineStr">
        <is>
          <t>Money paused</t>
        </is>
      </c>
      <c r="D4" s="269" t="n"/>
      <c r="E4" s="267" t="inlineStr">
        <is>
          <t>Bought anyway</t>
        </is>
      </c>
      <c r="F4" s="257" t="n"/>
    </row>
    <row r="5" ht="26" customHeight="1" s="232">
      <c r="A5" s="442">
        <f>COUNTIF($F$9:$F$207,"Waited")+COUNTIF($F$9:$F$207,"Skipped")</f>
        <v/>
      </c>
      <c r="B5" s="253" t="n"/>
      <c r="C5" s="443">
        <f>SUMIF($F$9:$F$207,"Waited",$B$9:$B$207)+SUMIF($F$9:$F$207,"Skipped",$B$9:$B$207)</f>
        <v/>
      </c>
      <c r="D5" s="269" t="n"/>
      <c r="E5" s="444">
        <f>COUNTIF($F$9:$F$207,"Bought")</f>
        <v/>
      </c>
      <c r="F5" s="257" t="n"/>
    </row>
    <row r="7" ht="30" customHeight="1" s="232">
      <c r="A7" s="421" t="inlineStr">
        <is>
          <t>Item</t>
        </is>
      </c>
      <c r="B7" s="421" t="inlineStr">
        <is>
          <t>Cost</t>
        </is>
      </c>
      <c r="C7" s="421" t="inlineStr">
        <is>
          <t>Do I need this?</t>
        </is>
      </c>
      <c r="D7" s="421" t="inlineStr">
        <is>
          <t>Can it wait 24h?</t>
        </is>
      </c>
      <c r="E7" s="421" t="inlineStr">
        <is>
          <t>How will I feel tomorrow?</t>
        </is>
      </c>
      <c r="F7" s="421" t="inlineStr">
        <is>
          <t>Decision</t>
        </is>
      </c>
    </row>
    <row r="8">
      <c r="A8" s="445" t="inlineStr">
        <is>
          <t>Second pair of sneakers (example, type over me)</t>
        </is>
      </c>
      <c r="B8" s="446" t="n">
        <v>74</v>
      </c>
      <c r="C8" s="447" t="inlineStr">
        <is>
          <t>No</t>
        </is>
      </c>
      <c r="D8" s="447" t="inlineStr">
        <is>
          <t>Yes</t>
        </is>
      </c>
      <c r="E8" s="445" t="inlineStr">
        <is>
          <t>Relieved I waited</t>
        </is>
      </c>
      <c r="F8" s="447" t="inlineStr">
        <is>
          <t>Waited</t>
        </is>
      </c>
    </row>
    <row r="9">
      <c r="A9" s="448" t="n"/>
      <c r="B9" s="449" t="n"/>
      <c r="C9" s="450" t="n"/>
      <c r="D9" s="450" t="n"/>
      <c r="E9" s="448" t="n"/>
      <c r="F9" s="450" t="n"/>
    </row>
    <row r="10">
      <c r="A10" s="451" t="n"/>
      <c r="B10" s="452" t="n"/>
      <c r="C10" s="453" t="n"/>
      <c r="D10" s="453" t="n"/>
      <c r="E10" s="451" t="n"/>
      <c r="F10" s="453" t="n"/>
    </row>
    <row r="11">
      <c r="A11" s="448" t="n"/>
      <c r="B11" s="449" t="n"/>
      <c r="C11" s="450" t="n"/>
      <c r="D11" s="450" t="n"/>
      <c r="E11" s="448" t="n"/>
      <c r="F11" s="450" t="n"/>
    </row>
    <row r="12">
      <c r="A12" s="451" t="n"/>
      <c r="B12" s="452" t="n"/>
      <c r="C12" s="453" t="n"/>
      <c r="D12" s="453" t="n"/>
      <c r="E12" s="451" t="n"/>
      <c r="F12" s="453" t="n"/>
    </row>
    <row r="13">
      <c r="A13" s="448" t="n"/>
      <c r="B13" s="449" t="n"/>
      <c r="C13" s="450" t="n"/>
      <c r="D13" s="450" t="n"/>
      <c r="E13" s="448" t="n"/>
      <c r="F13" s="450" t="n"/>
    </row>
    <row r="14">
      <c r="A14" s="451" t="n"/>
      <c r="B14" s="452" t="n"/>
      <c r="C14" s="453" t="n"/>
      <c r="D14" s="453" t="n"/>
      <c r="E14" s="451" t="n"/>
      <c r="F14" s="453" t="n"/>
    </row>
    <row r="15">
      <c r="A15" s="448" t="n"/>
      <c r="B15" s="449" t="n"/>
      <c r="C15" s="450" t="n"/>
      <c r="D15" s="450" t="n"/>
      <c r="E15" s="448" t="n"/>
      <c r="F15" s="450" t="n"/>
    </row>
    <row r="16">
      <c r="A16" s="451" t="n"/>
      <c r="B16" s="452" t="n"/>
      <c r="C16" s="453" t="n"/>
      <c r="D16" s="453" t="n"/>
      <c r="E16" s="451" t="n"/>
      <c r="F16" s="453" t="n"/>
    </row>
    <row r="17">
      <c r="A17" s="448" t="n"/>
      <c r="B17" s="449" t="n"/>
      <c r="C17" s="450" t="n"/>
      <c r="D17" s="450" t="n"/>
      <c r="E17" s="448" t="n"/>
      <c r="F17" s="450" t="n"/>
    </row>
    <row r="18">
      <c r="A18" s="451" t="n"/>
      <c r="B18" s="452" t="n"/>
      <c r="C18" s="453" t="n"/>
      <c r="D18" s="453" t="n"/>
      <c r="E18" s="451" t="n"/>
      <c r="F18" s="453" t="n"/>
    </row>
    <row r="19">
      <c r="A19" s="448" t="n"/>
      <c r="B19" s="449" t="n"/>
      <c r="C19" s="450" t="n"/>
      <c r="D19" s="450" t="n"/>
      <c r="E19" s="448" t="n"/>
      <c r="F19" s="450" t="n"/>
    </row>
    <row r="20">
      <c r="A20" s="451" t="n"/>
      <c r="B20" s="452" t="n"/>
      <c r="C20" s="453" t="n"/>
      <c r="D20" s="453" t="n"/>
      <c r="E20" s="451" t="n"/>
      <c r="F20" s="453" t="n"/>
    </row>
    <row r="21">
      <c r="A21" s="448" t="n"/>
      <c r="B21" s="449" t="n"/>
      <c r="C21" s="450" t="n"/>
      <c r="D21" s="450" t="n"/>
      <c r="E21" s="448" t="n"/>
      <c r="F21" s="450" t="n"/>
    </row>
    <row r="22">
      <c r="A22" s="451" t="n"/>
      <c r="B22" s="452" t="n"/>
      <c r="C22" s="453" t="n"/>
      <c r="D22" s="453" t="n"/>
      <c r="E22" s="451" t="n"/>
      <c r="F22" s="453" t="n"/>
    </row>
    <row r="23">
      <c r="A23" s="448" t="n"/>
      <c r="B23" s="449" t="n"/>
      <c r="C23" s="450" t="n"/>
      <c r="D23" s="450" t="n"/>
      <c r="E23" s="448" t="n"/>
      <c r="F23" s="450" t="n"/>
    </row>
    <row r="24">
      <c r="A24" s="451" t="n"/>
      <c r="B24" s="452" t="n"/>
      <c r="C24" s="453" t="n"/>
      <c r="D24" s="453" t="n"/>
      <c r="E24" s="451" t="n"/>
      <c r="F24" s="453" t="n"/>
    </row>
    <row r="25">
      <c r="A25" s="448" t="n"/>
      <c r="B25" s="449" t="n"/>
      <c r="C25" s="450" t="n"/>
      <c r="D25" s="450" t="n"/>
      <c r="E25" s="448" t="n"/>
      <c r="F25" s="450" t="n"/>
    </row>
    <row r="26">
      <c r="A26" s="451" t="n"/>
      <c r="B26" s="452" t="n"/>
      <c r="C26" s="453" t="n"/>
      <c r="D26" s="453" t="n"/>
      <c r="E26" s="451" t="n"/>
      <c r="F26" s="453" t="n"/>
    </row>
    <row r="27">
      <c r="A27" s="448" t="n"/>
      <c r="B27" s="449" t="n"/>
      <c r="C27" s="450" t="n"/>
      <c r="D27" s="450" t="n"/>
      <c r="E27" s="448" t="n"/>
      <c r="F27" s="450" t="n"/>
    </row>
    <row r="28">
      <c r="A28" s="451" t="n"/>
      <c r="B28" s="452" t="n"/>
      <c r="C28" s="453" t="n"/>
      <c r="D28" s="453" t="n"/>
      <c r="E28" s="451" t="n"/>
      <c r="F28" s="453" t="n"/>
    </row>
    <row r="29">
      <c r="A29" s="448" t="n"/>
      <c r="B29" s="449" t="n"/>
      <c r="C29" s="450" t="n"/>
      <c r="D29" s="450" t="n"/>
      <c r="E29" s="448" t="n"/>
      <c r="F29" s="450" t="n"/>
    </row>
    <row r="30">
      <c r="A30" s="451" t="n"/>
      <c r="B30" s="452" t="n"/>
      <c r="C30" s="453" t="n"/>
      <c r="D30" s="453" t="n"/>
      <c r="E30" s="451" t="n"/>
      <c r="F30" s="453" t="n"/>
    </row>
    <row r="31">
      <c r="A31" s="448" t="n"/>
      <c r="B31" s="449" t="n"/>
      <c r="C31" s="450" t="n"/>
      <c r="D31" s="450" t="n"/>
      <c r="E31" s="448" t="n"/>
      <c r="F31" s="450" t="n"/>
    </row>
    <row r="32">
      <c r="A32" s="451" t="n"/>
      <c r="B32" s="452" t="n"/>
      <c r="C32" s="453" t="n"/>
      <c r="D32" s="453" t="n"/>
      <c r="E32" s="451" t="n"/>
      <c r="F32" s="453" t="n"/>
    </row>
    <row r="33">
      <c r="A33" s="448" t="n"/>
      <c r="B33" s="449" t="n"/>
      <c r="C33" s="450" t="n"/>
      <c r="D33" s="450" t="n"/>
      <c r="E33" s="448" t="n"/>
      <c r="F33" s="450" t="n"/>
    </row>
    <row r="34">
      <c r="A34" s="451" t="n"/>
      <c r="B34" s="452" t="n"/>
      <c r="C34" s="453" t="n"/>
      <c r="D34" s="453" t="n"/>
      <c r="E34" s="451" t="n"/>
      <c r="F34" s="453" t="n"/>
    </row>
    <row r="35">
      <c r="A35" s="448" t="n"/>
      <c r="B35" s="449" t="n"/>
      <c r="C35" s="450" t="n"/>
      <c r="D35" s="450" t="n"/>
      <c r="E35" s="448" t="n"/>
      <c r="F35" s="450" t="n"/>
    </row>
    <row r="36">
      <c r="A36" s="451" t="n"/>
      <c r="B36" s="452" t="n"/>
      <c r="C36" s="453" t="n"/>
      <c r="D36" s="453" t="n"/>
      <c r="E36" s="451" t="n"/>
      <c r="F36" s="453" t="n"/>
    </row>
    <row r="37">
      <c r="A37" s="448" t="n"/>
      <c r="B37" s="449" t="n"/>
      <c r="C37" s="450" t="n"/>
      <c r="D37" s="450" t="n"/>
      <c r="E37" s="448" t="n"/>
      <c r="F37" s="450" t="n"/>
    </row>
    <row r="38">
      <c r="A38" s="451" t="n"/>
      <c r="B38" s="452" t="n"/>
      <c r="C38" s="453" t="n"/>
      <c r="D38" s="453" t="n"/>
      <c r="E38" s="451" t="n"/>
      <c r="F38" s="453" t="n"/>
    </row>
    <row r="39">
      <c r="A39" s="448" t="n"/>
      <c r="B39" s="449" t="n"/>
      <c r="C39" s="450" t="n"/>
      <c r="D39" s="450" t="n"/>
      <c r="E39" s="448" t="n"/>
      <c r="F39" s="450" t="n"/>
    </row>
    <row r="40">
      <c r="A40" s="451" t="n"/>
      <c r="B40" s="452" t="n"/>
      <c r="C40" s="453" t="n"/>
      <c r="D40" s="453" t="n"/>
      <c r="E40" s="451" t="n"/>
      <c r="F40" s="453" t="n"/>
    </row>
    <row r="41">
      <c r="A41" s="448" t="n"/>
      <c r="B41" s="449" t="n"/>
      <c r="C41" s="450" t="n"/>
      <c r="D41" s="450" t="n"/>
      <c r="E41" s="448" t="n"/>
      <c r="F41" s="450" t="n"/>
    </row>
    <row r="42">
      <c r="A42" s="451" t="n"/>
      <c r="B42" s="452" t="n"/>
      <c r="C42" s="453" t="n"/>
      <c r="D42" s="453" t="n"/>
      <c r="E42" s="451" t="n"/>
      <c r="F42" s="453" t="n"/>
    </row>
    <row r="43">
      <c r="A43" s="448" t="n"/>
      <c r="B43" s="449" t="n"/>
      <c r="C43" s="450" t="n"/>
      <c r="D43" s="450" t="n"/>
      <c r="E43" s="448" t="n"/>
      <c r="F43" s="450" t="n"/>
    </row>
    <row r="44">
      <c r="A44" s="451" t="n"/>
      <c r="B44" s="452" t="n"/>
      <c r="C44" s="453" t="n"/>
      <c r="D44" s="453" t="n"/>
      <c r="E44" s="451" t="n"/>
      <c r="F44" s="453" t="n"/>
    </row>
    <row r="45">
      <c r="A45" s="448" t="n"/>
      <c r="B45" s="449" t="n"/>
      <c r="C45" s="450" t="n"/>
      <c r="D45" s="450" t="n"/>
      <c r="E45" s="448" t="n"/>
      <c r="F45" s="450" t="n"/>
    </row>
    <row r="46">
      <c r="A46" s="451" t="n"/>
      <c r="B46" s="452" t="n"/>
      <c r="C46" s="453" t="n"/>
      <c r="D46" s="453" t="n"/>
      <c r="E46" s="451" t="n"/>
      <c r="F46" s="453" t="n"/>
    </row>
    <row r="47">
      <c r="A47" s="448" t="n"/>
      <c r="B47" s="449" t="n"/>
      <c r="C47" s="450" t="n"/>
      <c r="D47" s="450" t="n"/>
      <c r="E47" s="448" t="n"/>
      <c r="F47" s="450" t="n"/>
    </row>
    <row r="48">
      <c r="A48" s="451" t="n"/>
      <c r="B48" s="452" t="n"/>
      <c r="C48" s="453" t="n"/>
      <c r="D48" s="453" t="n"/>
      <c r="E48" s="451" t="n"/>
      <c r="F48" s="453" t="n"/>
    </row>
    <row r="49">
      <c r="A49" s="448" t="n"/>
      <c r="B49" s="449" t="n"/>
      <c r="C49" s="450" t="n"/>
      <c r="D49" s="450" t="n"/>
      <c r="E49" s="448" t="n"/>
      <c r="F49" s="450" t="n"/>
    </row>
    <row r="50">
      <c r="A50" s="451" t="n"/>
      <c r="B50" s="452" t="n"/>
      <c r="C50" s="453" t="n"/>
      <c r="D50" s="453" t="n"/>
      <c r="E50" s="451" t="n"/>
      <c r="F50" s="453" t="n"/>
    </row>
    <row r="51">
      <c r="A51" s="448" t="n"/>
      <c r="B51" s="449" t="n"/>
      <c r="C51" s="450" t="n"/>
      <c r="D51" s="450" t="n"/>
      <c r="E51" s="448" t="n"/>
      <c r="F51" s="450" t="n"/>
    </row>
    <row r="52">
      <c r="A52" s="451" t="n"/>
      <c r="B52" s="452" t="n"/>
      <c r="C52" s="453" t="n"/>
      <c r="D52" s="453" t="n"/>
      <c r="E52" s="451" t="n"/>
      <c r="F52" s="453" t="n"/>
    </row>
    <row r="53">
      <c r="A53" s="448" t="n"/>
      <c r="B53" s="449" t="n"/>
      <c r="C53" s="450" t="n"/>
      <c r="D53" s="450" t="n"/>
      <c r="E53" s="448" t="n"/>
      <c r="F53" s="450" t="n"/>
    </row>
    <row r="54">
      <c r="A54" s="451" t="n"/>
      <c r="B54" s="452" t="n"/>
      <c r="C54" s="453" t="n"/>
      <c r="D54" s="453" t="n"/>
      <c r="E54" s="451" t="n"/>
      <c r="F54" s="453" t="n"/>
    </row>
    <row r="55">
      <c r="A55" s="448" t="n"/>
      <c r="B55" s="449" t="n"/>
      <c r="C55" s="450" t="n"/>
      <c r="D55" s="450" t="n"/>
      <c r="E55" s="448" t="n"/>
      <c r="F55" s="450" t="n"/>
    </row>
    <row r="56">
      <c r="A56" s="451" t="n"/>
      <c r="B56" s="452" t="n"/>
      <c r="C56" s="453" t="n"/>
      <c r="D56" s="453" t="n"/>
      <c r="E56" s="451" t="n"/>
      <c r="F56" s="453" t="n"/>
    </row>
    <row r="57">
      <c r="A57" s="448" t="n"/>
      <c r="B57" s="449" t="n"/>
      <c r="C57" s="450" t="n"/>
      <c r="D57" s="450" t="n"/>
      <c r="E57" s="448" t="n"/>
      <c r="F57" s="450" t="n"/>
    </row>
    <row r="58">
      <c r="A58" s="451" t="n"/>
      <c r="B58" s="452" t="n"/>
      <c r="C58" s="453" t="n"/>
      <c r="D58" s="453" t="n"/>
      <c r="E58" s="451" t="n"/>
      <c r="F58" s="453" t="n"/>
    </row>
    <row r="59">
      <c r="A59" s="448" t="n"/>
      <c r="B59" s="449" t="n"/>
      <c r="C59" s="450" t="n"/>
      <c r="D59" s="450" t="n"/>
      <c r="E59" s="448" t="n"/>
      <c r="F59" s="450" t="n"/>
    </row>
    <row r="60">
      <c r="A60" s="451" t="n"/>
      <c r="B60" s="452" t="n"/>
      <c r="C60" s="453" t="n"/>
      <c r="D60" s="453" t="n"/>
      <c r="E60" s="451" t="n"/>
      <c r="F60" s="453" t="n"/>
    </row>
    <row r="61">
      <c r="A61" s="448" t="n"/>
      <c r="B61" s="449" t="n"/>
      <c r="C61" s="450" t="n"/>
      <c r="D61" s="450" t="n"/>
      <c r="E61" s="448" t="n"/>
      <c r="F61" s="450" t="n"/>
    </row>
    <row r="62">
      <c r="A62" s="451" t="n"/>
      <c r="B62" s="452" t="n"/>
      <c r="C62" s="453" t="n"/>
      <c r="D62" s="453" t="n"/>
      <c r="E62" s="451" t="n"/>
      <c r="F62" s="453" t="n"/>
    </row>
    <row r="63">
      <c r="A63" s="448" t="n"/>
      <c r="B63" s="449" t="n"/>
      <c r="C63" s="450" t="n"/>
      <c r="D63" s="450" t="n"/>
      <c r="E63" s="448" t="n"/>
      <c r="F63" s="450" t="n"/>
    </row>
    <row r="64">
      <c r="A64" s="451" t="n"/>
      <c r="B64" s="452" t="n"/>
      <c r="C64" s="453" t="n"/>
      <c r="D64" s="453" t="n"/>
      <c r="E64" s="451" t="n"/>
      <c r="F64" s="453" t="n"/>
    </row>
    <row r="65">
      <c r="A65" s="448" t="n"/>
      <c r="B65" s="449" t="n"/>
      <c r="C65" s="450" t="n"/>
      <c r="D65" s="450" t="n"/>
      <c r="E65" s="448" t="n"/>
      <c r="F65" s="450" t="n"/>
    </row>
    <row r="66">
      <c r="A66" s="451" t="n"/>
      <c r="B66" s="452" t="n"/>
      <c r="C66" s="453" t="n"/>
      <c r="D66" s="453" t="n"/>
      <c r="E66" s="451" t="n"/>
      <c r="F66" s="453" t="n"/>
    </row>
    <row r="67">
      <c r="A67" s="448" t="n"/>
      <c r="B67" s="449" t="n"/>
      <c r="C67" s="450" t="n"/>
      <c r="D67" s="450" t="n"/>
      <c r="E67" s="448" t="n"/>
      <c r="F67" s="450" t="n"/>
    </row>
    <row r="68">
      <c r="A68" s="451" t="n"/>
      <c r="B68" s="452" t="n"/>
      <c r="C68" s="453" t="n"/>
      <c r="D68" s="453" t="n"/>
      <c r="E68" s="451" t="n"/>
      <c r="F68" s="453" t="n"/>
    </row>
    <row r="69">
      <c r="A69" s="448" t="n"/>
      <c r="B69" s="449" t="n"/>
      <c r="C69" s="450" t="n"/>
      <c r="D69" s="450" t="n"/>
      <c r="E69" s="448" t="n"/>
      <c r="F69" s="450" t="n"/>
    </row>
    <row r="70">
      <c r="A70" s="451" t="n"/>
      <c r="B70" s="452" t="n"/>
      <c r="C70" s="453" t="n"/>
      <c r="D70" s="453" t="n"/>
      <c r="E70" s="451" t="n"/>
      <c r="F70" s="453" t="n"/>
    </row>
    <row r="71">
      <c r="A71" s="448" t="n"/>
      <c r="B71" s="449" t="n"/>
      <c r="C71" s="450" t="n"/>
      <c r="D71" s="450" t="n"/>
      <c r="E71" s="448" t="n"/>
      <c r="F71" s="450" t="n"/>
    </row>
    <row r="72">
      <c r="A72" s="451" t="n"/>
      <c r="B72" s="452" t="n"/>
      <c r="C72" s="453" t="n"/>
      <c r="D72" s="453" t="n"/>
      <c r="E72" s="451" t="n"/>
      <c r="F72" s="453" t="n"/>
    </row>
    <row r="73">
      <c r="A73" s="448" t="n"/>
      <c r="B73" s="449" t="n"/>
      <c r="C73" s="450" t="n"/>
      <c r="D73" s="450" t="n"/>
      <c r="E73" s="448" t="n"/>
      <c r="F73" s="450" t="n"/>
    </row>
    <row r="74">
      <c r="A74" s="451" t="n"/>
      <c r="B74" s="452" t="n"/>
      <c r="C74" s="453" t="n"/>
      <c r="D74" s="453" t="n"/>
      <c r="E74" s="451" t="n"/>
      <c r="F74" s="453" t="n"/>
    </row>
    <row r="75">
      <c r="A75" s="448" t="n"/>
      <c r="B75" s="449" t="n"/>
      <c r="C75" s="450" t="n"/>
      <c r="D75" s="450" t="n"/>
      <c r="E75" s="448" t="n"/>
      <c r="F75" s="450" t="n"/>
    </row>
    <row r="76">
      <c r="A76" s="451" t="n"/>
      <c r="B76" s="452" t="n"/>
      <c r="C76" s="453" t="n"/>
      <c r="D76" s="453" t="n"/>
      <c r="E76" s="451" t="n"/>
      <c r="F76" s="453" t="n"/>
    </row>
    <row r="77">
      <c r="A77" s="448" t="n"/>
      <c r="B77" s="449" t="n"/>
      <c r="C77" s="450" t="n"/>
      <c r="D77" s="450" t="n"/>
      <c r="E77" s="448" t="n"/>
      <c r="F77" s="450" t="n"/>
    </row>
    <row r="78">
      <c r="A78" s="451" t="n"/>
      <c r="B78" s="452" t="n"/>
      <c r="C78" s="453" t="n"/>
      <c r="D78" s="453" t="n"/>
      <c r="E78" s="451" t="n"/>
      <c r="F78" s="453" t="n"/>
    </row>
    <row r="79">
      <c r="A79" s="448" t="n"/>
      <c r="B79" s="449" t="n"/>
      <c r="C79" s="450" t="n"/>
      <c r="D79" s="450" t="n"/>
      <c r="E79" s="448" t="n"/>
      <c r="F79" s="450" t="n"/>
    </row>
    <row r="80">
      <c r="A80" s="451" t="n"/>
      <c r="B80" s="452" t="n"/>
      <c r="C80" s="453" t="n"/>
      <c r="D80" s="453" t="n"/>
      <c r="E80" s="451" t="n"/>
      <c r="F80" s="453" t="n"/>
    </row>
    <row r="81">
      <c r="A81" s="448" t="n"/>
      <c r="B81" s="449" t="n"/>
      <c r="C81" s="450" t="n"/>
      <c r="D81" s="450" t="n"/>
      <c r="E81" s="448" t="n"/>
      <c r="F81" s="450" t="n"/>
    </row>
    <row r="82">
      <c r="A82" s="451" t="n"/>
      <c r="B82" s="452" t="n"/>
      <c r="C82" s="453" t="n"/>
      <c r="D82" s="453" t="n"/>
      <c r="E82" s="451" t="n"/>
      <c r="F82" s="453" t="n"/>
    </row>
    <row r="83">
      <c r="A83" s="448" t="n"/>
      <c r="B83" s="449" t="n"/>
      <c r="C83" s="450" t="n"/>
      <c r="D83" s="450" t="n"/>
      <c r="E83" s="448" t="n"/>
      <c r="F83" s="450" t="n"/>
    </row>
    <row r="84">
      <c r="A84" s="451" t="n"/>
      <c r="B84" s="452" t="n"/>
      <c r="C84" s="453" t="n"/>
      <c r="D84" s="453" t="n"/>
      <c r="E84" s="451" t="n"/>
      <c r="F84" s="453" t="n"/>
    </row>
    <row r="85">
      <c r="A85" s="448" t="n"/>
      <c r="B85" s="449" t="n"/>
      <c r="C85" s="450" t="n"/>
      <c r="D85" s="450" t="n"/>
      <c r="E85" s="448" t="n"/>
      <c r="F85" s="450" t="n"/>
    </row>
    <row r="86">
      <c r="A86" s="451" t="n"/>
      <c r="B86" s="452" t="n"/>
      <c r="C86" s="453" t="n"/>
      <c r="D86" s="453" t="n"/>
      <c r="E86" s="451" t="n"/>
      <c r="F86" s="453" t="n"/>
    </row>
    <row r="87">
      <c r="A87" s="448" t="n"/>
      <c r="B87" s="449" t="n"/>
      <c r="C87" s="450" t="n"/>
      <c r="D87" s="450" t="n"/>
      <c r="E87" s="448" t="n"/>
      <c r="F87" s="450" t="n"/>
    </row>
    <row r="88">
      <c r="A88" s="451" t="n"/>
      <c r="B88" s="452" t="n"/>
      <c r="C88" s="453" t="n"/>
      <c r="D88" s="453" t="n"/>
      <c r="E88" s="451" t="n"/>
      <c r="F88" s="453" t="n"/>
    </row>
    <row r="89">
      <c r="A89" s="448" t="n"/>
      <c r="B89" s="449" t="n"/>
      <c r="C89" s="450" t="n"/>
      <c r="D89" s="450" t="n"/>
      <c r="E89" s="448" t="n"/>
      <c r="F89" s="450" t="n"/>
    </row>
    <row r="90">
      <c r="A90" s="451" t="n"/>
      <c r="B90" s="452" t="n"/>
      <c r="C90" s="453" t="n"/>
      <c r="D90" s="453" t="n"/>
      <c r="E90" s="451" t="n"/>
      <c r="F90" s="453" t="n"/>
    </row>
    <row r="91">
      <c r="A91" s="448" t="n"/>
      <c r="B91" s="449" t="n"/>
      <c r="C91" s="450" t="n"/>
      <c r="D91" s="450" t="n"/>
      <c r="E91" s="448" t="n"/>
      <c r="F91" s="450" t="n"/>
    </row>
    <row r="92">
      <c r="A92" s="451" t="n"/>
      <c r="B92" s="452" t="n"/>
      <c r="C92" s="453" t="n"/>
      <c r="D92" s="453" t="n"/>
      <c r="E92" s="451" t="n"/>
      <c r="F92" s="453" t="n"/>
    </row>
    <row r="93">
      <c r="A93" s="448" t="n"/>
      <c r="B93" s="449" t="n"/>
      <c r="C93" s="450" t="n"/>
      <c r="D93" s="450" t="n"/>
      <c r="E93" s="448" t="n"/>
      <c r="F93" s="450" t="n"/>
    </row>
    <row r="94">
      <c r="A94" s="451" t="n"/>
      <c r="B94" s="452" t="n"/>
      <c r="C94" s="453" t="n"/>
      <c r="D94" s="453" t="n"/>
      <c r="E94" s="451" t="n"/>
      <c r="F94" s="453" t="n"/>
    </row>
    <row r="95">
      <c r="A95" s="448" t="n"/>
      <c r="B95" s="449" t="n"/>
      <c r="C95" s="450" t="n"/>
      <c r="D95" s="450" t="n"/>
      <c r="E95" s="448" t="n"/>
      <c r="F95" s="450" t="n"/>
    </row>
    <row r="96">
      <c r="A96" s="451" t="n"/>
      <c r="B96" s="452" t="n"/>
      <c r="C96" s="453" t="n"/>
      <c r="D96" s="453" t="n"/>
      <c r="E96" s="451" t="n"/>
      <c r="F96" s="453" t="n"/>
    </row>
    <row r="97">
      <c r="A97" s="448" t="n"/>
      <c r="B97" s="449" t="n"/>
      <c r="C97" s="450" t="n"/>
      <c r="D97" s="450" t="n"/>
      <c r="E97" s="448" t="n"/>
      <c r="F97" s="450" t="n"/>
    </row>
    <row r="98">
      <c r="A98" s="451" t="n"/>
      <c r="B98" s="452" t="n"/>
      <c r="C98" s="453" t="n"/>
      <c r="D98" s="453" t="n"/>
      <c r="E98" s="451" t="n"/>
      <c r="F98" s="453" t="n"/>
    </row>
    <row r="99">
      <c r="A99" s="448" t="n"/>
      <c r="B99" s="449" t="n"/>
      <c r="C99" s="450" t="n"/>
      <c r="D99" s="450" t="n"/>
      <c r="E99" s="448" t="n"/>
      <c r="F99" s="450" t="n"/>
    </row>
    <row r="100">
      <c r="A100" s="451" t="n"/>
      <c r="B100" s="452" t="n"/>
      <c r="C100" s="453" t="n"/>
      <c r="D100" s="453" t="n"/>
      <c r="E100" s="451" t="n"/>
      <c r="F100" s="453" t="n"/>
    </row>
    <row r="101">
      <c r="A101" s="448" t="n"/>
      <c r="B101" s="449" t="n"/>
      <c r="C101" s="450" t="n"/>
      <c r="D101" s="450" t="n"/>
      <c r="E101" s="448" t="n"/>
      <c r="F101" s="450" t="n"/>
    </row>
    <row r="102">
      <c r="A102" s="451" t="n"/>
      <c r="B102" s="452" t="n"/>
      <c r="C102" s="453" t="n"/>
      <c r="D102" s="453" t="n"/>
      <c r="E102" s="451" t="n"/>
      <c r="F102" s="453" t="n"/>
    </row>
    <row r="103">
      <c r="A103" s="448" t="n"/>
      <c r="B103" s="449" t="n"/>
      <c r="C103" s="450" t="n"/>
      <c r="D103" s="450" t="n"/>
      <c r="E103" s="448" t="n"/>
      <c r="F103" s="450" t="n"/>
    </row>
    <row r="104">
      <c r="A104" s="451" t="n"/>
      <c r="B104" s="452" t="n"/>
      <c r="C104" s="453" t="n"/>
      <c r="D104" s="453" t="n"/>
      <c r="E104" s="451" t="n"/>
      <c r="F104" s="453" t="n"/>
    </row>
    <row r="105">
      <c r="A105" s="448" t="n"/>
      <c r="B105" s="449" t="n"/>
      <c r="C105" s="450" t="n"/>
      <c r="D105" s="450" t="n"/>
      <c r="E105" s="448" t="n"/>
      <c r="F105" s="450" t="n"/>
    </row>
    <row r="106">
      <c r="A106" s="451" t="n"/>
      <c r="B106" s="452" t="n"/>
      <c r="C106" s="453" t="n"/>
      <c r="D106" s="453" t="n"/>
      <c r="E106" s="451" t="n"/>
      <c r="F106" s="453" t="n"/>
    </row>
    <row r="107">
      <c r="A107" s="448" t="n"/>
      <c r="B107" s="449" t="n"/>
      <c r="C107" s="450" t="n"/>
      <c r="D107" s="450" t="n"/>
      <c r="E107" s="448" t="n"/>
      <c r="F107" s="450" t="n"/>
    </row>
    <row r="108">
      <c r="A108" s="451" t="n"/>
      <c r="B108" s="452" t="n"/>
      <c r="C108" s="453" t="n"/>
      <c r="D108" s="453" t="n"/>
      <c r="E108" s="451" t="n"/>
      <c r="F108" s="453" t="n"/>
    </row>
    <row r="109">
      <c r="A109" s="448" t="n"/>
      <c r="B109" s="449" t="n"/>
      <c r="C109" s="450" t="n"/>
      <c r="D109" s="450" t="n"/>
      <c r="E109" s="448" t="n"/>
      <c r="F109" s="450" t="n"/>
    </row>
    <row r="110">
      <c r="A110" s="451" t="n"/>
      <c r="B110" s="452" t="n"/>
      <c r="C110" s="453" t="n"/>
      <c r="D110" s="453" t="n"/>
      <c r="E110" s="451" t="n"/>
      <c r="F110" s="453" t="n"/>
    </row>
    <row r="111">
      <c r="A111" s="448" t="n"/>
      <c r="B111" s="449" t="n"/>
      <c r="C111" s="450" t="n"/>
      <c r="D111" s="450" t="n"/>
      <c r="E111" s="448" t="n"/>
      <c r="F111" s="450" t="n"/>
    </row>
    <row r="112">
      <c r="A112" s="451" t="n"/>
      <c r="B112" s="452" t="n"/>
      <c r="C112" s="453" t="n"/>
      <c r="D112" s="453" t="n"/>
      <c r="E112" s="451" t="n"/>
      <c r="F112" s="453" t="n"/>
    </row>
    <row r="113">
      <c r="A113" s="448" t="n"/>
      <c r="B113" s="449" t="n"/>
      <c r="C113" s="450" t="n"/>
      <c r="D113" s="450" t="n"/>
      <c r="E113" s="448" t="n"/>
      <c r="F113" s="450" t="n"/>
    </row>
    <row r="114">
      <c r="A114" s="451" t="n"/>
      <c r="B114" s="452" t="n"/>
      <c r="C114" s="453" t="n"/>
      <c r="D114" s="453" t="n"/>
      <c r="E114" s="451" t="n"/>
      <c r="F114" s="453" t="n"/>
    </row>
    <row r="115">
      <c r="A115" s="448" t="n"/>
      <c r="B115" s="449" t="n"/>
      <c r="C115" s="450" t="n"/>
      <c r="D115" s="450" t="n"/>
      <c r="E115" s="448" t="n"/>
      <c r="F115" s="450" t="n"/>
    </row>
    <row r="116">
      <c r="A116" s="451" t="n"/>
      <c r="B116" s="452" t="n"/>
      <c r="C116" s="453" t="n"/>
      <c r="D116" s="453" t="n"/>
      <c r="E116" s="451" t="n"/>
      <c r="F116" s="453" t="n"/>
    </row>
    <row r="117">
      <c r="A117" s="448" t="n"/>
      <c r="B117" s="449" t="n"/>
      <c r="C117" s="450" t="n"/>
      <c r="D117" s="450" t="n"/>
      <c r="E117" s="448" t="n"/>
      <c r="F117" s="450" t="n"/>
    </row>
    <row r="118">
      <c r="A118" s="451" t="n"/>
      <c r="B118" s="452" t="n"/>
      <c r="C118" s="453" t="n"/>
      <c r="D118" s="453" t="n"/>
      <c r="E118" s="451" t="n"/>
      <c r="F118" s="453" t="n"/>
    </row>
    <row r="119">
      <c r="A119" s="448" t="n"/>
      <c r="B119" s="449" t="n"/>
      <c r="C119" s="450" t="n"/>
      <c r="D119" s="450" t="n"/>
      <c r="E119" s="448" t="n"/>
      <c r="F119" s="450" t="n"/>
    </row>
    <row r="120">
      <c r="A120" s="451" t="n"/>
      <c r="B120" s="452" t="n"/>
      <c r="C120" s="453" t="n"/>
      <c r="D120" s="453" t="n"/>
      <c r="E120" s="451" t="n"/>
      <c r="F120" s="453" t="n"/>
    </row>
    <row r="121">
      <c r="A121" s="448" t="n"/>
      <c r="B121" s="449" t="n"/>
      <c r="C121" s="450" t="n"/>
      <c r="D121" s="450" t="n"/>
      <c r="E121" s="448" t="n"/>
      <c r="F121" s="450" t="n"/>
    </row>
    <row r="122">
      <c r="A122" s="451" t="n"/>
      <c r="B122" s="452" t="n"/>
      <c r="C122" s="453" t="n"/>
      <c r="D122" s="453" t="n"/>
      <c r="E122" s="451" t="n"/>
      <c r="F122" s="453" t="n"/>
    </row>
    <row r="123">
      <c r="A123" s="448" t="n"/>
      <c r="B123" s="449" t="n"/>
      <c r="C123" s="450" t="n"/>
      <c r="D123" s="450" t="n"/>
      <c r="E123" s="448" t="n"/>
      <c r="F123" s="450" t="n"/>
    </row>
    <row r="124">
      <c r="A124" s="451" t="n"/>
      <c r="B124" s="452" t="n"/>
      <c r="C124" s="453" t="n"/>
      <c r="D124" s="453" t="n"/>
      <c r="E124" s="451" t="n"/>
      <c r="F124" s="453" t="n"/>
    </row>
    <row r="125">
      <c r="A125" s="448" t="n"/>
      <c r="B125" s="449" t="n"/>
      <c r="C125" s="450" t="n"/>
      <c r="D125" s="450" t="n"/>
      <c r="E125" s="448" t="n"/>
      <c r="F125" s="450" t="n"/>
    </row>
    <row r="126">
      <c r="A126" s="451" t="n"/>
      <c r="B126" s="452" t="n"/>
      <c r="C126" s="453" t="n"/>
      <c r="D126" s="453" t="n"/>
      <c r="E126" s="451" t="n"/>
      <c r="F126" s="453" t="n"/>
    </row>
    <row r="127">
      <c r="A127" s="448" t="n"/>
      <c r="B127" s="449" t="n"/>
      <c r="C127" s="450" t="n"/>
      <c r="D127" s="450" t="n"/>
      <c r="E127" s="448" t="n"/>
      <c r="F127" s="450" t="n"/>
    </row>
    <row r="128">
      <c r="A128" s="451" t="n"/>
      <c r="B128" s="452" t="n"/>
      <c r="C128" s="453" t="n"/>
      <c r="D128" s="453" t="n"/>
      <c r="E128" s="451" t="n"/>
      <c r="F128" s="453" t="n"/>
    </row>
    <row r="129">
      <c r="A129" s="448" t="n"/>
      <c r="B129" s="449" t="n"/>
      <c r="C129" s="450" t="n"/>
      <c r="D129" s="450" t="n"/>
      <c r="E129" s="448" t="n"/>
      <c r="F129" s="450" t="n"/>
    </row>
    <row r="130">
      <c r="A130" s="451" t="n"/>
      <c r="B130" s="452" t="n"/>
      <c r="C130" s="453" t="n"/>
      <c r="D130" s="453" t="n"/>
      <c r="E130" s="451" t="n"/>
      <c r="F130" s="453" t="n"/>
    </row>
    <row r="131">
      <c r="A131" s="448" t="n"/>
      <c r="B131" s="449" t="n"/>
      <c r="C131" s="450" t="n"/>
      <c r="D131" s="450" t="n"/>
      <c r="E131" s="448" t="n"/>
      <c r="F131" s="450" t="n"/>
    </row>
    <row r="132">
      <c r="A132" s="451" t="n"/>
      <c r="B132" s="452" t="n"/>
      <c r="C132" s="453" t="n"/>
      <c r="D132" s="453" t="n"/>
      <c r="E132" s="451" t="n"/>
      <c r="F132" s="453" t="n"/>
    </row>
    <row r="133">
      <c r="A133" s="448" t="n"/>
      <c r="B133" s="449" t="n"/>
      <c r="C133" s="450" t="n"/>
      <c r="D133" s="450" t="n"/>
      <c r="E133" s="448" t="n"/>
      <c r="F133" s="450" t="n"/>
    </row>
    <row r="134">
      <c r="A134" s="451" t="n"/>
      <c r="B134" s="452" t="n"/>
      <c r="C134" s="453" t="n"/>
      <c r="D134" s="453" t="n"/>
      <c r="E134" s="451" t="n"/>
      <c r="F134" s="453" t="n"/>
    </row>
    <row r="135">
      <c r="A135" s="448" t="n"/>
      <c r="B135" s="449" t="n"/>
      <c r="C135" s="450" t="n"/>
      <c r="D135" s="450" t="n"/>
      <c r="E135" s="448" t="n"/>
      <c r="F135" s="450" t="n"/>
    </row>
    <row r="136">
      <c r="A136" s="451" t="n"/>
      <c r="B136" s="452" t="n"/>
      <c r="C136" s="453" t="n"/>
      <c r="D136" s="453" t="n"/>
      <c r="E136" s="451" t="n"/>
      <c r="F136" s="453" t="n"/>
    </row>
    <row r="137">
      <c r="A137" s="448" t="n"/>
      <c r="B137" s="449" t="n"/>
      <c r="C137" s="450" t="n"/>
      <c r="D137" s="450" t="n"/>
      <c r="E137" s="448" t="n"/>
      <c r="F137" s="450" t="n"/>
    </row>
    <row r="138">
      <c r="A138" s="451" t="n"/>
      <c r="B138" s="452" t="n"/>
      <c r="C138" s="453" t="n"/>
      <c r="D138" s="453" t="n"/>
      <c r="E138" s="451" t="n"/>
      <c r="F138" s="453" t="n"/>
    </row>
    <row r="139">
      <c r="A139" s="448" t="n"/>
      <c r="B139" s="449" t="n"/>
      <c r="C139" s="450" t="n"/>
      <c r="D139" s="450" t="n"/>
      <c r="E139" s="448" t="n"/>
      <c r="F139" s="450" t="n"/>
    </row>
    <row r="140">
      <c r="A140" s="451" t="n"/>
      <c r="B140" s="452" t="n"/>
      <c r="C140" s="453" t="n"/>
      <c r="D140" s="453" t="n"/>
      <c r="E140" s="451" t="n"/>
      <c r="F140" s="453" t="n"/>
    </row>
    <row r="141">
      <c r="A141" s="448" t="n"/>
      <c r="B141" s="449" t="n"/>
      <c r="C141" s="450" t="n"/>
      <c r="D141" s="450" t="n"/>
      <c r="E141" s="448" t="n"/>
      <c r="F141" s="450" t="n"/>
    </row>
    <row r="142">
      <c r="A142" s="451" t="n"/>
      <c r="B142" s="452" t="n"/>
      <c r="C142" s="453" t="n"/>
      <c r="D142" s="453" t="n"/>
      <c r="E142" s="451" t="n"/>
      <c r="F142" s="453" t="n"/>
    </row>
    <row r="143">
      <c r="A143" s="448" t="n"/>
      <c r="B143" s="449" t="n"/>
      <c r="C143" s="450" t="n"/>
      <c r="D143" s="450" t="n"/>
      <c r="E143" s="448" t="n"/>
      <c r="F143" s="450" t="n"/>
    </row>
    <row r="144">
      <c r="A144" s="451" t="n"/>
      <c r="B144" s="452" t="n"/>
      <c r="C144" s="453" t="n"/>
      <c r="D144" s="453" t="n"/>
      <c r="E144" s="451" t="n"/>
      <c r="F144" s="453" t="n"/>
    </row>
    <row r="145">
      <c r="A145" s="448" t="n"/>
      <c r="B145" s="449" t="n"/>
      <c r="C145" s="450" t="n"/>
      <c r="D145" s="450" t="n"/>
      <c r="E145" s="448" t="n"/>
      <c r="F145" s="450" t="n"/>
    </row>
    <row r="146">
      <c r="A146" s="451" t="n"/>
      <c r="B146" s="452" t="n"/>
      <c r="C146" s="453" t="n"/>
      <c r="D146" s="453" t="n"/>
      <c r="E146" s="451" t="n"/>
      <c r="F146" s="453" t="n"/>
    </row>
    <row r="147">
      <c r="A147" s="448" t="n"/>
      <c r="B147" s="449" t="n"/>
      <c r="C147" s="450" t="n"/>
      <c r="D147" s="450" t="n"/>
      <c r="E147" s="448" t="n"/>
      <c r="F147" s="450" t="n"/>
    </row>
    <row r="148">
      <c r="A148" s="451" t="n"/>
      <c r="B148" s="452" t="n"/>
      <c r="C148" s="453" t="n"/>
      <c r="D148" s="453" t="n"/>
      <c r="E148" s="451" t="n"/>
      <c r="F148" s="453" t="n"/>
    </row>
    <row r="149">
      <c r="A149" s="448" t="n"/>
      <c r="B149" s="449" t="n"/>
      <c r="C149" s="450" t="n"/>
      <c r="D149" s="450" t="n"/>
      <c r="E149" s="448" t="n"/>
      <c r="F149" s="450" t="n"/>
    </row>
    <row r="150">
      <c r="A150" s="451" t="n"/>
      <c r="B150" s="452" t="n"/>
      <c r="C150" s="453" t="n"/>
      <c r="D150" s="453" t="n"/>
      <c r="E150" s="451" t="n"/>
      <c r="F150" s="453" t="n"/>
    </row>
    <row r="151">
      <c r="A151" s="448" t="n"/>
      <c r="B151" s="449" t="n"/>
      <c r="C151" s="450" t="n"/>
      <c r="D151" s="450" t="n"/>
      <c r="E151" s="448" t="n"/>
      <c r="F151" s="450" t="n"/>
    </row>
    <row r="152">
      <c r="A152" s="451" t="n"/>
      <c r="B152" s="452" t="n"/>
      <c r="C152" s="453" t="n"/>
      <c r="D152" s="453" t="n"/>
      <c r="E152" s="451" t="n"/>
      <c r="F152" s="453" t="n"/>
    </row>
    <row r="153">
      <c r="A153" s="448" t="n"/>
      <c r="B153" s="449" t="n"/>
      <c r="C153" s="450" t="n"/>
      <c r="D153" s="450" t="n"/>
      <c r="E153" s="448" t="n"/>
      <c r="F153" s="450" t="n"/>
    </row>
    <row r="154">
      <c r="A154" s="451" t="n"/>
      <c r="B154" s="452" t="n"/>
      <c r="C154" s="453" t="n"/>
      <c r="D154" s="453" t="n"/>
      <c r="E154" s="451" t="n"/>
      <c r="F154" s="453" t="n"/>
    </row>
    <row r="155">
      <c r="A155" s="448" t="n"/>
      <c r="B155" s="449" t="n"/>
      <c r="C155" s="450" t="n"/>
      <c r="D155" s="450" t="n"/>
      <c r="E155" s="448" t="n"/>
      <c r="F155" s="450" t="n"/>
    </row>
    <row r="156">
      <c r="A156" s="451" t="n"/>
      <c r="B156" s="452" t="n"/>
      <c r="C156" s="453" t="n"/>
      <c r="D156" s="453" t="n"/>
      <c r="E156" s="451" t="n"/>
      <c r="F156" s="453" t="n"/>
    </row>
    <row r="157">
      <c r="A157" s="448" t="n"/>
      <c r="B157" s="449" t="n"/>
      <c r="C157" s="450" t="n"/>
      <c r="D157" s="450" t="n"/>
      <c r="E157" s="448" t="n"/>
      <c r="F157" s="450" t="n"/>
    </row>
    <row r="158">
      <c r="A158" s="451" t="n"/>
      <c r="B158" s="452" t="n"/>
      <c r="C158" s="453" t="n"/>
      <c r="D158" s="453" t="n"/>
      <c r="E158" s="451" t="n"/>
      <c r="F158" s="453" t="n"/>
    </row>
    <row r="159">
      <c r="A159" s="448" t="n"/>
      <c r="B159" s="449" t="n"/>
      <c r="C159" s="450" t="n"/>
      <c r="D159" s="450" t="n"/>
      <c r="E159" s="448" t="n"/>
      <c r="F159" s="450" t="n"/>
    </row>
    <row r="160">
      <c r="A160" s="451" t="n"/>
      <c r="B160" s="452" t="n"/>
      <c r="C160" s="453" t="n"/>
      <c r="D160" s="453" t="n"/>
      <c r="E160" s="451" t="n"/>
      <c r="F160" s="453" t="n"/>
    </row>
    <row r="161">
      <c r="A161" s="448" t="n"/>
      <c r="B161" s="449" t="n"/>
      <c r="C161" s="450" t="n"/>
      <c r="D161" s="450" t="n"/>
      <c r="E161" s="448" t="n"/>
      <c r="F161" s="450" t="n"/>
    </row>
    <row r="162">
      <c r="A162" s="451" t="n"/>
      <c r="B162" s="452" t="n"/>
      <c r="C162" s="453" t="n"/>
      <c r="D162" s="453" t="n"/>
      <c r="E162" s="451" t="n"/>
      <c r="F162" s="453" t="n"/>
    </row>
    <row r="163">
      <c r="A163" s="448" t="n"/>
      <c r="B163" s="449" t="n"/>
      <c r="C163" s="450" t="n"/>
      <c r="D163" s="450" t="n"/>
      <c r="E163" s="448" t="n"/>
      <c r="F163" s="450" t="n"/>
    </row>
    <row r="164">
      <c r="A164" s="451" t="n"/>
      <c r="B164" s="452" t="n"/>
      <c r="C164" s="453" t="n"/>
      <c r="D164" s="453" t="n"/>
      <c r="E164" s="451" t="n"/>
      <c r="F164" s="453" t="n"/>
    </row>
    <row r="165">
      <c r="A165" s="448" t="n"/>
      <c r="B165" s="449" t="n"/>
      <c r="C165" s="450" t="n"/>
      <c r="D165" s="450" t="n"/>
      <c r="E165" s="448" t="n"/>
      <c r="F165" s="450" t="n"/>
    </row>
    <row r="166">
      <c r="A166" s="451" t="n"/>
      <c r="B166" s="452" t="n"/>
      <c r="C166" s="453" t="n"/>
      <c r="D166" s="453" t="n"/>
      <c r="E166" s="451" t="n"/>
      <c r="F166" s="453" t="n"/>
    </row>
    <row r="167">
      <c r="A167" s="448" t="n"/>
      <c r="B167" s="449" t="n"/>
      <c r="C167" s="450" t="n"/>
      <c r="D167" s="450" t="n"/>
      <c r="E167" s="448" t="n"/>
      <c r="F167" s="450" t="n"/>
    </row>
    <row r="168">
      <c r="A168" s="451" t="n"/>
      <c r="B168" s="452" t="n"/>
      <c r="C168" s="453" t="n"/>
      <c r="D168" s="453" t="n"/>
      <c r="E168" s="451" t="n"/>
      <c r="F168" s="453" t="n"/>
    </row>
    <row r="169">
      <c r="A169" s="448" t="n"/>
      <c r="B169" s="449" t="n"/>
      <c r="C169" s="450" t="n"/>
      <c r="D169" s="450" t="n"/>
      <c r="E169" s="448" t="n"/>
      <c r="F169" s="450" t="n"/>
    </row>
    <row r="170">
      <c r="A170" s="451" t="n"/>
      <c r="B170" s="452" t="n"/>
      <c r="C170" s="453" t="n"/>
      <c r="D170" s="453" t="n"/>
      <c r="E170" s="451" t="n"/>
      <c r="F170" s="453" t="n"/>
    </row>
    <row r="171">
      <c r="A171" s="448" t="n"/>
      <c r="B171" s="449" t="n"/>
      <c r="C171" s="450" t="n"/>
      <c r="D171" s="450" t="n"/>
      <c r="E171" s="448" t="n"/>
      <c r="F171" s="450" t="n"/>
    </row>
    <row r="172">
      <c r="A172" s="451" t="n"/>
      <c r="B172" s="452" t="n"/>
      <c r="C172" s="453" t="n"/>
      <c r="D172" s="453" t="n"/>
      <c r="E172" s="451" t="n"/>
      <c r="F172" s="453" t="n"/>
    </row>
    <row r="173">
      <c r="A173" s="448" t="n"/>
      <c r="B173" s="449" t="n"/>
      <c r="C173" s="450" t="n"/>
      <c r="D173" s="450" t="n"/>
      <c r="E173" s="448" t="n"/>
      <c r="F173" s="450" t="n"/>
    </row>
    <row r="174">
      <c r="A174" s="451" t="n"/>
      <c r="B174" s="452" t="n"/>
      <c r="C174" s="453" t="n"/>
      <c r="D174" s="453" t="n"/>
      <c r="E174" s="451" t="n"/>
      <c r="F174" s="453" t="n"/>
    </row>
    <row r="175">
      <c r="A175" s="448" t="n"/>
      <c r="B175" s="449" t="n"/>
      <c r="C175" s="450" t="n"/>
      <c r="D175" s="450" t="n"/>
      <c r="E175" s="448" t="n"/>
      <c r="F175" s="450" t="n"/>
    </row>
    <row r="176">
      <c r="A176" s="451" t="n"/>
      <c r="B176" s="452" t="n"/>
      <c r="C176" s="453" t="n"/>
      <c r="D176" s="453" t="n"/>
      <c r="E176" s="451" t="n"/>
      <c r="F176" s="453" t="n"/>
    </row>
    <row r="177">
      <c r="A177" s="448" t="n"/>
      <c r="B177" s="449" t="n"/>
      <c r="C177" s="450" t="n"/>
      <c r="D177" s="450" t="n"/>
      <c r="E177" s="448" t="n"/>
      <c r="F177" s="450" t="n"/>
    </row>
    <row r="178">
      <c r="A178" s="451" t="n"/>
      <c r="B178" s="452" t="n"/>
      <c r="C178" s="453" t="n"/>
      <c r="D178" s="453" t="n"/>
      <c r="E178" s="451" t="n"/>
      <c r="F178" s="453" t="n"/>
    </row>
    <row r="179">
      <c r="A179" s="448" t="n"/>
      <c r="B179" s="449" t="n"/>
      <c r="C179" s="450" t="n"/>
      <c r="D179" s="450" t="n"/>
      <c r="E179" s="448" t="n"/>
      <c r="F179" s="450" t="n"/>
    </row>
    <row r="180">
      <c r="A180" s="451" t="n"/>
      <c r="B180" s="452" t="n"/>
      <c r="C180" s="453" t="n"/>
      <c r="D180" s="453" t="n"/>
      <c r="E180" s="451" t="n"/>
      <c r="F180" s="453" t="n"/>
    </row>
    <row r="181">
      <c r="A181" s="448" t="n"/>
      <c r="B181" s="449" t="n"/>
      <c r="C181" s="450" t="n"/>
      <c r="D181" s="450" t="n"/>
      <c r="E181" s="448" t="n"/>
      <c r="F181" s="450" t="n"/>
    </row>
    <row r="182">
      <c r="A182" s="451" t="n"/>
      <c r="B182" s="452" t="n"/>
      <c r="C182" s="453" t="n"/>
      <c r="D182" s="453" t="n"/>
      <c r="E182" s="451" t="n"/>
      <c r="F182" s="453" t="n"/>
    </row>
    <row r="183">
      <c r="A183" s="448" t="n"/>
      <c r="B183" s="449" t="n"/>
      <c r="C183" s="450" t="n"/>
      <c r="D183" s="450" t="n"/>
      <c r="E183" s="448" t="n"/>
      <c r="F183" s="450" t="n"/>
    </row>
    <row r="184">
      <c r="A184" s="451" t="n"/>
      <c r="B184" s="452" t="n"/>
      <c r="C184" s="453" t="n"/>
      <c r="D184" s="453" t="n"/>
      <c r="E184" s="451" t="n"/>
      <c r="F184" s="453" t="n"/>
    </row>
    <row r="185">
      <c r="A185" s="448" t="n"/>
      <c r="B185" s="449" t="n"/>
      <c r="C185" s="450" t="n"/>
      <c r="D185" s="450" t="n"/>
      <c r="E185" s="448" t="n"/>
      <c r="F185" s="450" t="n"/>
    </row>
    <row r="186">
      <c r="A186" s="451" t="n"/>
      <c r="B186" s="452" t="n"/>
      <c r="C186" s="453" t="n"/>
      <c r="D186" s="453" t="n"/>
      <c r="E186" s="451" t="n"/>
      <c r="F186" s="453" t="n"/>
    </row>
    <row r="187">
      <c r="A187" s="448" t="n"/>
      <c r="B187" s="449" t="n"/>
      <c r="C187" s="450" t="n"/>
      <c r="D187" s="450" t="n"/>
      <c r="E187" s="448" t="n"/>
      <c r="F187" s="450" t="n"/>
    </row>
    <row r="188">
      <c r="A188" s="451" t="n"/>
      <c r="B188" s="452" t="n"/>
      <c r="C188" s="453" t="n"/>
      <c r="D188" s="453" t="n"/>
      <c r="E188" s="451" t="n"/>
      <c r="F188" s="453" t="n"/>
    </row>
    <row r="189">
      <c r="A189" s="448" t="n"/>
      <c r="B189" s="449" t="n"/>
      <c r="C189" s="450" t="n"/>
      <c r="D189" s="450" t="n"/>
      <c r="E189" s="448" t="n"/>
      <c r="F189" s="450" t="n"/>
    </row>
    <row r="190">
      <c r="A190" s="451" t="n"/>
      <c r="B190" s="452" t="n"/>
      <c r="C190" s="453" t="n"/>
      <c r="D190" s="453" t="n"/>
      <c r="E190" s="451" t="n"/>
      <c r="F190" s="453" t="n"/>
    </row>
    <row r="191">
      <c r="A191" s="448" t="n"/>
      <c r="B191" s="449" t="n"/>
      <c r="C191" s="450" t="n"/>
      <c r="D191" s="450" t="n"/>
      <c r="E191" s="448" t="n"/>
      <c r="F191" s="450" t="n"/>
    </row>
    <row r="192">
      <c r="A192" s="451" t="n"/>
      <c r="B192" s="452" t="n"/>
      <c r="C192" s="453" t="n"/>
      <c r="D192" s="453" t="n"/>
      <c r="E192" s="451" t="n"/>
      <c r="F192" s="453" t="n"/>
    </row>
    <row r="193">
      <c r="A193" s="448" t="n"/>
      <c r="B193" s="449" t="n"/>
      <c r="C193" s="450" t="n"/>
      <c r="D193" s="450" t="n"/>
      <c r="E193" s="448" t="n"/>
      <c r="F193" s="450" t="n"/>
    </row>
    <row r="194">
      <c r="A194" s="451" t="n"/>
      <c r="B194" s="452" t="n"/>
      <c r="C194" s="453" t="n"/>
      <c r="D194" s="453" t="n"/>
      <c r="E194" s="451" t="n"/>
      <c r="F194" s="453" t="n"/>
    </row>
    <row r="195">
      <c r="A195" s="448" t="n"/>
      <c r="B195" s="449" t="n"/>
      <c r="C195" s="450" t="n"/>
      <c r="D195" s="450" t="n"/>
      <c r="E195" s="448" t="n"/>
      <c r="F195" s="450" t="n"/>
    </row>
    <row r="196">
      <c r="A196" s="451" t="n"/>
      <c r="B196" s="452" t="n"/>
      <c r="C196" s="453" t="n"/>
      <c r="D196" s="453" t="n"/>
      <c r="E196" s="451" t="n"/>
      <c r="F196" s="453" t="n"/>
    </row>
    <row r="197">
      <c r="A197" s="448" t="n"/>
      <c r="B197" s="449" t="n"/>
      <c r="C197" s="450" t="n"/>
      <c r="D197" s="450" t="n"/>
      <c r="E197" s="448" t="n"/>
      <c r="F197" s="450" t="n"/>
    </row>
    <row r="198">
      <c r="A198" s="451" t="n"/>
      <c r="B198" s="452" t="n"/>
      <c r="C198" s="453" t="n"/>
      <c r="D198" s="453" t="n"/>
      <c r="E198" s="451" t="n"/>
      <c r="F198" s="453" t="n"/>
    </row>
    <row r="199">
      <c r="A199" s="448" t="n"/>
      <c r="B199" s="449" t="n"/>
      <c r="C199" s="450" t="n"/>
      <c r="D199" s="450" t="n"/>
      <c r="E199" s="448" t="n"/>
      <c r="F199" s="450" t="n"/>
    </row>
    <row r="200">
      <c r="A200" s="451" t="n"/>
      <c r="B200" s="452" t="n"/>
      <c r="C200" s="453" t="n"/>
      <c r="D200" s="453" t="n"/>
      <c r="E200" s="451" t="n"/>
      <c r="F200" s="453" t="n"/>
    </row>
    <row r="201">
      <c r="A201" s="448" t="n"/>
      <c r="B201" s="449" t="n"/>
      <c r="C201" s="450" t="n"/>
      <c r="D201" s="450" t="n"/>
      <c r="E201" s="448" t="n"/>
      <c r="F201" s="450" t="n"/>
    </row>
    <row r="202">
      <c r="A202" s="451" t="n"/>
      <c r="B202" s="452" t="n"/>
      <c r="C202" s="453" t="n"/>
      <c r="D202" s="453" t="n"/>
      <c r="E202" s="451" t="n"/>
      <c r="F202" s="453" t="n"/>
    </row>
    <row r="203">
      <c r="A203" s="448" t="n"/>
      <c r="B203" s="449" t="n"/>
      <c r="C203" s="450" t="n"/>
      <c r="D203" s="450" t="n"/>
      <c r="E203" s="448" t="n"/>
      <c r="F203" s="450" t="n"/>
    </row>
    <row r="204">
      <c r="A204" s="451" t="n"/>
      <c r="B204" s="452" t="n"/>
      <c r="C204" s="453" t="n"/>
      <c r="D204" s="453" t="n"/>
      <c r="E204" s="451" t="n"/>
      <c r="F204" s="453" t="n"/>
    </row>
    <row r="205">
      <c r="A205" s="448" t="n"/>
      <c r="B205" s="449" t="n"/>
      <c r="C205" s="450" t="n"/>
      <c r="D205" s="450" t="n"/>
      <c r="E205" s="448" t="n"/>
      <c r="F205" s="450" t="n"/>
    </row>
    <row r="206">
      <c r="A206" s="451" t="n"/>
      <c r="B206" s="452" t="n"/>
      <c r="C206" s="453" t="n"/>
      <c r="D206" s="453" t="n"/>
      <c r="E206" s="451" t="n"/>
      <c r="F206" s="453" t="n"/>
    </row>
    <row r="207">
      <c r="A207" s="448" t="n"/>
      <c r="B207" s="449" t="n"/>
      <c r="C207" s="450" t="n"/>
      <c r="D207" s="450" t="n"/>
      <c r="E207" s="448" t="n"/>
      <c r="F207" s="450" t="n"/>
    </row>
  </sheetData>
  <sheetProtection selectLockedCells="0" selectUnlockedCells="0" sheet="1" objects="0" insertRows="1" insertHyperlinks="1" autoFilter="1" scenarios="0" formatColumns="1" deleteColumns="1" insertColumns="1" pivotTables="1" deleteRows="1" formatCells="0" formatRows="1" sort="1"/>
  <mergeCells count="8">
    <mergeCell ref="A4:B4"/>
    <mergeCell ref="A2:F2"/>
    <mergeCell ref="E4:F4"/>
    <mergeCell ref="A1:F1"/>
    <mergeCell ref="C5:D5"/>
    <mergeCell ref="A5:B5"/>
    <mergeCell ref="E5:F5"/>
    <mergeCell ref="C4:D4"/>
  </mergeCells>
  <conditionalFormatting sqref="F8:F207">
    <cfRule type="cellIs" priority="1" operator="equal" dxfId="69">
      <formula>"Waited"</formula>
    </cfRule>
    <cfRule type="cellIs" priority="2" operator="equal" dxfId="70">
      <formula>"Skipped"</formula>
    </cfRule>
    <cfRule type="cellIs" priority="3" operator="equal" dxfId="71">
      <formula>"Bought"</formula>
    </cfRule>
  </conditionalFormatting>
  <dataValidations count="3">
    <dataValidation sqref="C8:C207" showDropDown="0" showInputMessage="0" showErrorMessage="0" allowBlank="1" type="list">
      <formula1>YesNoList</formula1>
    </dataValidation>
    <dataValidation sqref="D8:D207" showDropDown="0" showInputMessage="0" showErrorMessage="0" allowBlank="1" type="list">
      <formula1>YesNoList</formula1>
    </dataValidation>
    <dataValidation sqref="F8:F207" showDropDown="0" showInputMessage="0" showErrorMessage="0" allowBlank="1" type="list">
      <formula1>DecisionList</formula1>
    </dataValidation>
  </dataValidations>
  <pageMargins left="0.75" right="0.75" top="1" bottom="1" header="0.5" footer="0.5"/>
</worksheet>
</file>

<file path=xl/worksheets/sheet9.xml><?xml version="1.0" encoding="utf-8"?>
<worksheet xmlns="http://schemas.openxmlformats.org/spreadsheetml/2006/main">
  <sheetPr>
    <tabColor rgb="00D9D0E8"/>
    <outlinePr summaryBelow="1" summaryRight="1"/>
    <pageSetUpPr/>
  </sheetPr>
  <dimension ref="A1:J18"/>
  <sheetViews>
    <sheetView showGridLines="0" workbookViewId="0">
      <selection activeCell="J8" sqref="J8"/>
    </sheetView>
  </sheetViews>
  <sheetFormatPr baseColWidth="8" defaultRowHeight="15"/>
  <cols>
    <col width="3" customWidth="1" style="232" min="1" max="1"/>
    <col width="14" customWidth="1" style="232" min="2" max="8"/>
    <col width="14" customWidth="1" style="232" min="3" max="3"/>
    <col width="14" customWidth="1" style="232" min="4" max="4"/>
    <col width="14" customWidth="1" style="232" min="5" max="5"/>
    <col width="14" customWidth="1" style="232" min="6" max="6"/>
    <col width="14" customWidth="1" style="232" min="7" max="7"/>
    <col width="14" customWidth="1" style="232" min="8" max="8"/>
    <col hidden="1" width="13.28515625" customWidth="1" style="232" min="9" max="10"/>
    <col hidden="1" width="13" customWidth="1" style="232" min="10" max="10"/>
  </cols>
  <sheetData>
    <row r="1" ht="46" customHeight="1" s="232">
      <c r="A1" s="274" t="inlineStr">
        <is>
          <t>Bill Calendar</t>
        </is>
      </c>
      <c r="B1" s="250" t="n"/>
      <c r="C1" s="250" t="n"/>
      <c r="D1" s="250" t="n"/>
      <c r="E1" s="250" t="n"/>
      <c r="F1" s="250" t="n"/>
      <c r="G1" s="250" t="n"/>
      <c r="H1" s="250" t="n"/>
      <c r="I1" s="454" t="n"/>
      <c r="J1" s="454" t="n"/>
    </row>
    <row r="2" ht="42" customHeight="1" s="232">
      <c r="A2" s="251" t="inlineStr">
        <is>
          <t>Bills you've logged as Type "Bill" in your Transactions Log show up here automatically, on the day you dated them. Pick a month, year, and which day your week starts on.</t>
        </is>
      </c>
      <c r="I2" s="454" t="n"/>
      <c r="J2" s="454" t="n"/>
    </row>
    <row r="3">
      <c r="A3" s="454" t="n"/>
      <c r="B3" s="454" t="n"/>
      <c r="C3" s="454" t="n"/>
      <c r="D3" s="454" t="n"/>
      <c r="E3" s="454" t="n"/>
      <c r="F3" s="454" t="n"/>
      <c r="G3" s="454" t="n"/>
      <c r="H3" s="454" t="n"/>
      <c r="I3" s="454" t="n"/>
      <c r="J3" s="454" t="n"/>
    </row>
    <row r="4">
      <c r="A4" s="455" t="inlineStr">
        <is>
          <t>Month</t>
        </is>
      </c>
      <c r="B4" s="456" t="inlineStr">
        <is>
          <t>January</t>
        </is>
      </c>
      <c r="C4" s="455" t="inlineStr">
        <is>
          <t>Year</t>
        </is>
      </c>
      <c r="D4" s="456" t="n">
        <v>2026</v>
      </c>
      <c r="E4" s="455" t="inlineStr">
        <is>
          <t>Week Starts On</t>
        </is>
      </c>
      <c r="F4" s="456" t="inlineStr">
        <is>
          <t>Monday</t>
        </is>
      </c>
      <c r="G4" s="454" t="n"/>
      <c r="H4" s="454" t="n"/>
      <c r="I4" s="457" t="inlineStr">
        <is>
          <t>Month #</t>
        </is>
      </c>
      <c r="J4" s="457">
        <f>MATCH($B$4,MonthList,0)</f>
        <v/>
      </c>
    </row>
    <row r="5">
      <c r="A5" s="454" t="n"/>
      <c r="B5" s="454" t="n"/>
      <c r="C5" s="454" t="n"/>
      <c r="D5" s="454" t="n"/>
      <c r="E5" s="454" t="n"/>
      <c r="F5" s="454" t="n"/>
      <c r="G5" s="454" t="n"/>
      <c r="H5" s="454" t="n"/>
      <c r="I5" s="457" t="inlineStr">
        <is>
          <t>1st of Month</t>
        </is>
      </c>
      <c r="J5" s="457">
        <f>DATE($D$4,$J$4,1)</f>
        <v/>
      </c>
    </row>
    <row r="6">
      <c r="A6" s="454" t="n"/>
      <c r="B6" s="458">
        <f t="array" ref="B6">IF($F$4="Monday",INDEX({"Mon";"Tue";"Wed";"Thu";"Fri";"Sat";"Sun"},1),INDEX({"Sun";"Mon";"Tue";"Wed";"Thu";"Fri";"Sat"},1))</f>
        <v/>
      </c>
      <c r="C6" s="458">
        <f t="array" ref="C6">IF($F$4="Monday",INDEX({"Mon";"Tue";"Wed";"Thu";"Fri";"Sat";"Sun"},2),INDEX({"Sun";"Mon";"Tue";"Wed";"Thu";"Fri";"Sat"},2))</f>
        <v/>
      </c>
      <c r="D6" s="458">
        <f t="array" ref="D6">IF($F$4="Monday",INDEX({"Mon";"Tue";"Wed";"Thu";"Fri";"Sat";"Sun"},3),INDEX({"Sun";"Mon";"Tue";"Wed";"Thu";"Fri";"Sat"},3))</f>
        <v/>
      </c>
      <c r="E6" s="458">
        <f t="array" ref="E6">IF($F$4="Monday",INDEX({"Mon";"Tue";"Wed";"Thu";"Fri";"Sat";"Sun"},4),INDEX({"Sun";"Mon";"Tue";"Wed";"Thu";"Fri";"Sat"},4))</f>
        <v/>
      </c>
      <c r="F6" s="458">
        <f t="array" ref="F6">IF($F$4="Monday",INDEX({"Mon";"Tue";"Wed";"Thu";"Fri";"Sat";"Sun"},5),INDEX({"Sun";"Mon";"Tue";"Wed";"Thu";"Fri";"Sat"},5))</f>
        <v/>
      </c>
      <c r="G6" s="458">
        <f t="array" ref="G6">IF($F$4="Monday",INDEX({"Mon";"Tue";"Wed";"Thu";"Fri";"Sat";"Sun"},6),INDEX({"Sun";"Mon";"Tue";"Wed";"Thu";"Fri";"Sat"},6))</f>
        <v/>
      </c>
      <c r="H6" s="458">
        <f t="array" ref="H6">IF($F$4="Monday",INDEX({"Mon";"Tue";"Wed";"Thu";"Fri";"Sat";"Sun"},7),INDEX({"Sun";"Mon";"Tue";"Wed";"Thu";"Fri";"Sat"},7))</f>
        <v/>
      </c>
      <c r="I6" s="457" t="inlineStr">
        <is>
          <t>Offset</t>
        </is>
      </c>
      <c r="J6" s="457">
        <f>IF($F$4="Monday",WEEKDAY($J$5,2)-1,WEEKDAY($J$5,1)-1)</f>
        <v/>
      </c>
    </row>
    <row r="7">
      <c r="A7" s="454" t="n"/>
      <c r="B7" s="459">
        <f>IF(MONTH(($J$5-$J$6+0))=$J$4,DAY(($J$5-$J$6+0)),"")</f>
        <v/>
      </c>
      <c r="C7" s="459">
        <f>IF(MONTH(($J$5-$J$6+1))=$J$4,DAY(($J$5-$J$6+1)),"")</f>
        <v/>
      </c>
      <c r="D7" s="459">
        <f>IF(MONTH(($J$5-$J$6+2))=$J$4,DAY(($J$5-$J$6+2)),"")</f>
        <v/>
      </c>
      <c r="E7" s="459">
        <f>IF(MONTH(($J$5-$J$6+3))=$J$4,DAY(($J$5-$J$6+3)),"")</f>
        <v/>
      </c>
      <c r="F7" s="459">
        <f>IF(MONTH(($J$5-$J$6+4))=$J$4,DAY(($J$5-$J$6+4)),"")</f>
        <v/>
      </c>
      <c r="G7" s="459">
        <f>IF(MONTH(($J$5-$J$6+5))=$J$4,DAY(($J$5-$J$6+5)),"")</f>
        <v/>
      </c>
      <c r="H7" s="459">
        <f>IF(MONTH(($J$5-$J$6+6))=$J$4,DAY(($J$5-$J$6+6)),"")</f>
        <v/>
      </c>
      <c r="I7" s="454" t="n"/>
      <c r="J7" s="454" t="n"/>
    </row>
    <row r="8" ht="42" customHeight="1" s="232">
      <c r="A8" s="454" t="n"/>
      <c r="B8" s="460">
        <f t="array" ref="B8">IF(MONTH($J$5-$J$6+((ROW()-8)/2)*7+(COLUMN()-2))=$J$4,IFERROR(_xlfn.TEXTJOIN(CHAR(10),TRUE,IF((TransactionsLog[Type]="Bill")*(TransactionsLog[Date]=($J$5-$J$6+((ROW()-8)/2)*7+(COLUMN()-2))),"☐ "&amp;TransactionsLog[Category]&amp;" "&amp;TEXT(TransactionsLog[Amount],"$0"),"")),""),"")</f>
        <v/>
      </c>
      <c r="C8" s="460">
        <f t="array" ref="C8">IF(MONTH($J$5-$J$6+((ROW()-8)/2)*7+(COLUMN()-2))=$J$4,IFERROR(_xlfn.TEXTJOIN(CHAR(10),TRUE,IF((TransactionsLog[Type]="Bill")*(TransactionsLog[Date]=($J$5-$J$6+((ROW()-8)/2)*7+(COLUMN()-2))),"☐ "&amp;TransactionsLog[Category]&amp;" "&amp;TEXT(TransactionsLog[Amount],"$0"),"")),""),"")</f>
        <v/>
      </c>
      <c r="D8" s="460">
        <f t="array" ref="D8">IF(MONTH($J$5-$J$6+((ROW()-8)/2)*7+(COLUMN()-2))=$J$4,IFERROR(_xlfn.TEXTJOIN(CHAR(10),TRUE,IF((TransactionsLog[Type]="Bill")*(TransactionsLog[Date]=($J$5-$J$6+((ROW()-8)/2)*7+(COLUMN()-2))),"☐ "&amp;TransactionsLog[Category]&amp;" "&amp;TEXT(TransactionsLog[Amount],"$0"),"")),""),"")</f>
        <v/>
      </c>
      <c r="E8" s="460">
        <f t="array" ref="E8">IF(MONTH($J$5-$J$6+((ROW()-8)/2)*7+(COLUMN()-2))=$J$4,IFERROR(_xlfn.TEXTJOIN(CHAR(10),TRUE,IF((TransactionsLog[Type]="Bill")*(TransactionsLog[Date]=($J$5-$J$6+((ROW()-8)/2)*7+(COLUMN()-2))),"☐ "&amp;TransactionsLog[Category]&amp;" "&amp;TEXT(TransactionsLog[Amount],"$0"),"")),""),"")</f>
        <v/>
      </c>
      <c r="F8" s="460">
        <f t="array" ref="F8">IF(MONTH($J$5-$J$6+((ROW()-8)/2)*7+(COLUMN()-2))=$J$4,IFERROR(_xlfn.TEXTJOIN(CHAR(10),TRUE,IF((TransactionsLog[Type]="Bill")*(TransactionsLog[Date]=($J$5-$J$6+((ROW()-8)/2)*7+(COLUMN()-2))),"☐ "&amp;TransactionsLog[Category]&amp;" "&amp;TEXT(TransactionsLog[Amount],"$0"),"")),""),"")</f>
        <v/>
      </c>
      <c r="G8" s="460">
        <f t="array" ref="G8">IF(MONTH($J$5-$J$6+((ROW()-8)/2)*7+(COLUMN()-2))=$J$4,IFERROR(_xlfn.TEXTJOIN(CHAR(10),TRUE,IF((TransactionsLog[Type]="Bill")*(TransactionsLog[Date]=($J$5-$J$6+((ROW()-8)/2)*7+(COLUMN()-2))),"☐ "&amp;TransactionsLog[Category]&amp;" "&amp;TEXT(TransactionsLog[Amount],"$0"),"")),""),"")</f>
        <v/>
      </c>
      <c r="H8" s="460">
        <f t="array" ref="H8">IF(MONTH($J$5-$J$6+((ROW()-8)/2)*7+(COLUMN()-2))=$J$4,IFERROR(_xlfn.TEXTJOIN(CHAR(10),TRUE,IF((TransactionsLog[Type]="Bill")*(TransactionsLog[Date]=($J$5-$J$6+((ROW()-8)/2)*7+(COLUMN()-2))),"☐ "&amp;TransactionsLog[Category]&amp;" "&amp;TEXT(TransactionsLog[Amount],"$0"),"")),""),"")</f>
        <v/>
      </c>
      <c r="I8" s="454" t="n"/>
      <c r="J8" s="454" t="n"/>
    </row>
    <row r="9">
      <c r="A9" s="454" t="n"/>
      <c r="B9" s="461">
        <f>IF(MONTH(($J$5-$J$6+7))=$J$4,DAY(($J$5-$J$6+7)),"")</f>
        <v/>
      </c>
      <c r="C9" s="461">
        <f>IF(MONTH(($J$5-$J$6+8))=$J$4,DAY(($J$5-$J$6+8)),"")</f>
        <v/>
      </c>
      <c r="D9" s="461">
        <f>IF(MONTH(($J$5-$J$6+9))=$J$4,DAY(($J$5-$J$6+9)),"")</f>
        <v/>
      </c>
      <c r="E9" s="461">
        <f>IF(MONTH(($J$5-$J$6+10))=$J$4,DAY(($J$5-$J$6+10)),"")</f>
        <v/>
      </c>
      <c r="F9" s="461">
        <f>IF(MONTH(($J$5-$J$6+11))=$J$4,DAY(($J$5-$J$6+11)),"")</f>
        <v/>
      </c>
      <c r="G9" s="461">
        <f>IF(MONTH(($J$5-$J$6+12))=$J$4,DAY(($J$5-$J$6+12)),"")</f>
        <v/>
      </c>
      <c r="H9" s="461">
        <f>IF(MONTH(($J$5-$J$6+13))=$J$4,DAY(($J$5-$J$6+13)),"")</f>
        <v/>
      </c>
      <c r="I9" s="454" t="n"/>
      <c r="J9" s="454" t="n"/>
    </row>
    <row r="10" ht="42" customHeight="1" s="232">
      <c r="A10" s="454" t="n"/>
      <c r="B10" s="462">
        <f t="array" ref="B10">IF(MONTH($J$5-$J$6+((ROW()-8)/2)*7+(COLUMN()-2))=$J$4,IFERROR(_xlfn.TEXTJOIN(CHAR(10),TRUE,IF((TransactionsLog[Type]="Bill")*(TransactionsLog[Date]=($J$5-$J$6+((ROW()-8)/2)*7+(COLUMN()-2))),"☐ "&amp;TransactionsLog[Category]&amp;" "&amp;TEXT(TransactionsLog[Amount],"$0"),"")),""),"")</f>
        <v/>
      </c>
      <c r="C10" s="462">
        <f t="array" ref="C10">IF(MONTH($J$5-$J$6+((ROW()-8)/2)*7+(COLUMN()-2))=$J$4,IFERROR(_xlfn.TEXTJOIN(CHAR(10),TRUE,IF((TransactionsLog[Type]="Bill")*(TransactionsLog[Date]=($J$5-$J$6+((ROW()-8)/2)*7+(COLUMN()-2))),"☐ "&amp;TransactionsLog[Category]&amp;" "&amp;TEXT(TransactionsLog[Amount],"$0"),"")),""),"")</f>
        <v/>
      </c>
      <c r="D10" s="462">
        <f t="array" ref="D10">IF(MONTH($J$5-$J$6+((ROW()-8)/2)*7+(COLUMN()-2))=$J$4,IFERROR(_xlfn.TEXTJOIN(CHAR(10),TRUE,IF((TransactionsLog[Type]="Bill")*(TransactionsLog[Date]=($J$5-$J$6+((ROW()-8)/2)*7+(COLUMN()-2))),"☐ "&amp;TransactionsLog[Category]&amp;" "&amp;TEXT(TransactionsLog[Amount],"$0"),"")),""),"")</f>
        <v/>
      </c>
      <c r="E10" s="462">
        <f t="array" ref="E10">IF(MONTH($J$5-$J$6+((ROW()-8)/2)*7+(COLUMN()-2))=$J$4,IFERROR(_xlfn.TEXTJOIN(CHAR(10),TRUE,IF((TransactionsLog[Type]="Bill")*(TransactionsLog[Date]=($J$5-$J$6+((ROW()-8)/2)*7+(COLUMN()-2))),"☐ "&amp;TransactionsLog[Category]&amp;" "&amp;TEXT(TransactionsLog[Amount],"$0"),"")),""),"")</f>
        <v/>
      </c>
      <c r="F10" s="462">
        <f t="array" ref="F10">IF(MONTH($J$5-$J$6+((ROW()-8)/2)*7+(COLUMN()-2))=$J$4,IFERROR(_xlfn.TEXTJOIN(CHAR(10),TRUE,IF((TransactionsLog[Type]="Bill")*(TransactionsLog[Date]=($J$5-$J$6+((ROW()-8)/2)*7+(COLUMN()-2))),"☐ "&amp;TransactionsLog[Category]&amp;" "&amp;TEXT(TransactionsLog[Amount],"$0"),"")),""),"")</f>
        <v/>
      </c>
      <c r="G10" s="462">
        <f t="array" ref="G10">IF(MONTH($J$5-$J$6+((ROW()-8)/2)*7+(COLUMN()-2))=$J$4,IFERROR(_xlfn.TEXTJOIN(CHAR(10),TRUE,IF((TransactionsLog[Type]="Bill")*(TransactionsLog[Date]=($J$5-$J$6+((ROW()-8)/2)*7+(COLUMN()-2))),"☐ "&amp;TransactionsLog[Category]&amp;" "&amp;TEXT(TransactionsLog[Amount],"$0"),"")),""),"")</f>
        <v/>
      </c>
      <c r="H10" s="462">
        <f t="array" ref="H10">IF(MONTH($J$5-$J$6+((ROW()-8)/2)*7+(COLUMN()-2))=$J$4,IFERROR(_xlfn.TEXTJOIN(CHAR(10),TRUE,IF((TransactionsLog[Type]="Bill")*(TransactionsLog[Date]=($J$5-$J$6+((ROW()-8)/2)*7+(COLUMN()-2))),"☐ "&amp;TransactionsLog[Category]&amp;" "&amp;TEXT(TransactionsLog[Amount],"$0"),"")),""),"")</f>
        <v/>
      </c>
      <c r="I10" s="454" t="n"/>
      <c r="J10" s="454" t="n"/>
    </row>
    <row r="11">
      <c r="A11" s="454" t="n"/>
      <c r="B11" s="463">
        <f>IF(MONTH(($J$5-$J$6+14))=$J$4,DAY(($J$5-$J$6+14)),"")</f>
        <v/>
      </c>
      <c r="C11" s="463">
        <f>IF(MONTH(($J$5-$J$6+15))=$J$4,DAY(($J$5-$J$6+15)),"")</f>
        <v/>
      </c>
      <c r="D11" s="463">
        <f>IF(MONTH(($J$5-$J$6+16))=$J$4,DAY(($J$5-$J$6+16)),"")</f>
        <v/>
      </c>
      <c r="E11" s="463">
        <f>IF(MONTH(($J$5-$J$6+17))=$J$4,DAY(($J$5-$J$6+17)),"")</f>
        <v/>
      </c>
      <c r="F11" s="463">
        <f>IF(MONTH(($J$5-$J$6+18))=$J$4,DAY(($J$5-$J$6+18)),"")</f>
        <v/>
      </c>
      <c r="G11" s="463">
        <f>IF(MONTH(($J$5-$J$6+19))=$J$4,DAY(($J$5-$J$6+19)),"")</f>
        <v/>
      </c>
      <c r="H11" s="463">
        <f>IF(MONTH(($J$5-$J$6+20))=$J$4,DAY(($J$5-$J$6+20)),"")</f>
        <v/>
      </c>
      <c r="I11" s="454" t="n"/>
      <c r="J11" s="454" t="n"/>
    </row>
    <row r="12" ht="42" customHeight="1" s="232">
      <c r="A12" s="454" t="n"/>
      <c r="B12" s="464">
        <f t="array" ref="B12">IF(MONTH($J$5-$J$6+((ROW()-8)/2)*7+(COLUMN()-2))=$J$4,IFERROR(_xlfn.TEXTJOIN(CHAR(10),TRUE,IF((TransactionsLog[Type]="Bill")*(TransactionsLog[Date]=($J$5-$J$6+((ROW()-8)/2)*7+(COLUMN()-2))),"☐ "&amp;TransactionsLog[Category]&amp;" "&amp;TEXT(TransactionsLog[Amount],"$0"),"")),""),"")</f>
        <v/>
      </c>
      <c r="C12" s="464">
        <f t="array" ref="C12">IF(MONTH($J$5-$J$6+((ROW()-8)/2)*7+(COLUMN()-2))=$J$4,IFERROR(_xlfn.TEXTJOIN(CHAR(10),TRUE,IF((TransactionsLog[Type]="Bill")*(TransactionsLog[Date]=($J$5-$J$6+((ROW()-8)/2)*7+(COLUMN()-2))),"☐ "&amp;TransactionsLog[Category]&amp;" "&amp;TEXT(TransactionsLog[Amount],"$0"),"")),""),"")</f>
        <v/>
      </c>
      <c r="D12" s="464">
        <f t="array" ref="D12">IF(MONTH($J$5-$J$6+((ROW()-8)/2)*7+(COLUMN()-2))=$J$4,IFERROR(_xlfn.TEXTJOIN(CHAR(10),TRUE,IF((TransactionsLog[Type]="Bill")*(TransactionsLog[Date]=($J$5-$J$6+((ROW()-8)/2)*7+(COLUMN()-2))),"☐ "&amp;TransactionsLog[Category]&amp;" "&amp;TEXT(TransactionsLog[Amount],"$0"),"")),""),"")</f>
        <v/>
      </c>
      <c r="E12" s="464">
        <f t="array" ref="E12">IF(MONTH($J$5-$J$6+((ROW()-8)/2)*7+(COLUMN()-2))=$J$4,IFERROR(_xlfn.TEXTJOIN(CHAR(10),TRUE,IF((TransactionsLog[Type]="Bill")*(TransactionsLog[Date]=($J$5-$J$6+((ROW()-8)/2)*7+(COLUMN()-2))),"☐ "&amp;TransactionsLog[Category]&amp;" "&amp;TEXT(TransactionsLog[Amount],"$0"),"")),""),"")</f>
        <v/>
      </c>
      <c r="F12" s="464">
        <f t="array" ref="F12">IF(MONTH($J$5-$J$6+((ROW()-8)/2)*7+(COLUMN()-2))=$J$4,IFERROR(_xlfn.TEXTJOIN(CHAR(10),TRUE,IF((TransactionsLog[Type]="Bill")*(TransactionsLog[Date]=($J$5-$J$6+((ROW()-8)/2)*7+(COLUMN()-2))),"☐ "&amp;TransactionsLog[Category]&amp;" "&amp;TEXT(TransactionsLog[Amount],"$0"),"")),""),"")</f>
        <v/>
      </c>
      <c r="G12" s="464">
        <f t="array" ref="G12">IF(MONTH($J$5-$J$6+((ROW()-8)/2)*7+(COLUMN()-2))=$J$4,IFERROR(_xlfn.TEXTJOIN(CHAR(10),TRUE,IF((TransactionsLog[Type]="Bill")*(TransactionsLog[Date]=($J$5-$J$6+((ROW()-8)/2)*7+(COLUMN()-2))),"☐ "&amp;TransactionsLog[Category]&amp;" "&amp;TEXT(TransactionsLog[Amount],"$0"),"")),""),"")</f>
        <v/>
      </c>
      <c r="H12" s="464">
        <f t="array" ref="H12">IF(MONTH($J$5-$J$6+((ROW()-8)/2)*7+(COLUMN()-2))=$J$4,IFERROR(_xlfn.TEXTJOIN(CHAR(10),TRUE,IF((TransactionsLog[Type]="Bill")*(TransactionsLog[Date]=($J$5-$J$6+((ROW()-8)/2)*7+(COLUMN()-2))),"☐ "&amp;TransactionsLog[Category]&amp;" "&amp;TEXT(TransactionsLog[Amount],"$0"),"")),""),"")</f>
        <v/>
      </c>
      <c r="I12" s="454" t="n"/>
      <c r="J12" s="454" t="n"/>
    </row>
    <row r="13">
      <c r="A13" s="454" t="n"/>
      <c r="B13" s="465">
        <f>IF(MONTH(($J$5-$J$6+21))=$J$4,DAY(($J$5-$J$6+21)),"")</f>
        <v/>
      </c>
      <c r="C13" s="465">
        <f>IF(MONTH(($J$5-$J$6+22))=$J$4,DAY(($J$5-$J$6+22)),"")</f>
        <v/>
      </c>
      <c r="D13" s="465">
        <f>IF(MONTH(($J$5-$J$6+23))=$J$4,DAY(($J$5-$J$6+23)),"")</f>
        <v/>
      </c>
      <c r="E13" s="465">
        <f>IF(MONTH(($J$5-$J$6+24))=$J$4,DAY(($J$5-$J$6+24)),"")</f>
        <v/>
      </c>
      <c r="F13" s="465">
        <f>IF(MONTH(($J$5-$J$6+25))=$J$4,DAY(($J$5-$J$6+25)),"")</f>
        <v/>
      </c>
      <c r="G13" s="465">
        <f>IF(MONTH(($J$5-$J$6+26))=$J$4,DAY(($J$5-$J$6+26)),"")</f>
        <v/>
      </c>
      <c r="H13" s="465">
        <f>IF(MONTH(($J$5-$J$6+27))=$J$4,DAY(($J$5-$J$6+27)),"")</f>
        <v/>
      </c>
      <c r="I13" s="454" t="n"/>
      <c r="J13" s="454" t="n"/>
    </row>
    <row r="14" ht="42" customHeight="1" s="232">
      <c r="A14" s="454" t="n"/>
      <c r="B14" s="466">
        <f t="array" ref="B14">IF(MONTH($J$5-$J$6+((ROW()-8)/2)*7+(COLUMN()-2))=$J$4,IFERROR(_xlfn.TEXTJOIN(CHAR(10),TRUE,IF((TransactionsLog[Type]="Bill")*(TransactionsLog[Date]=($J$5-$J$6+((ROW()-8)/2)*7+(COLUMN()-2))),"☐ "&amp;TransactionsLog[Category]&amp;" "&amp;TEXT(TransactionsLog[Amount],"$0"),"")),""),"")</f>
        <v/>
      </c>
      <c r="C14" s="466">
        <f t="array" ref="C14">IF(MONTH($J$5-$J$6+((ROW()-8)/2)*7+(COLUMN()-2))=$J$4,IFERROR(_xlfn.TEXTJOIN(CHAR(10),TRUE,IF((TransactionsLog[Type]="Bill")*(TransactionsLog[Date]=($J$5-$J$6+((ROW()-8)/2)*7+(COLUMN()-2))),"☐ "&amp;TransactionsLog[Category]&amp;" "&amp;TEXT(TransactionsLog[Amount],"$0"),"")),""),"")</f>
        <v/>
      </c>
      <c r="D14" s="466">
        <f t="array" ref="D14">IF(MONTH($J$5-$J$6+((ROW()-8)/2)*7+(COLUMN()-2))=$J$4,IFERROR(_xlfn.TEXTJOIN(CHAR(10),TRUE,IF((TransactionsLog[Type]="Bill")*(TransactionsLog[Date]=($J$5-$J$6+((ROW()-8)/2)*7+(COLUMN()-2))),"☐ "&amp;TransactionsLog[Category]&amp;" "&amp;TEXT(TransactionsLog[Amount],"$0"),"")),""),"")</f>
        <v/>
      </c>
      <c r="E14" s="466">
        <f t="array" ref="E14">IF(MONTH($J$5-$J$6+((ROW()-8)/2)*7+(COLUMN()-2))=$J$4,IFERROR(_xlfn.TEXTJOIN(CHAR(10),TRUE,IF((TransactionsLog[Type]="Bill")*(TransactionsLog[Date]=($J$5-$J$6+((ROW()-8)/2)*7+(COLUMN()-2))),"☐ "&amp;TransactionsLog[Category]&amp;" "&amp;TEXT(TransactionsLog[Amount],"$0"),"")),""),"")</f>
        <v/>
      </c>
      <c r="F14" s="466">
        <f t="array" ref="F14">IF(MONTH($J$5-$J$6+((ROW()-8)/2)*7+(COLUMN()-2))=$J$4,IFERROR(_xlfn.TEXTJOIN(CHAR(10),TRUE,IF((TransactionsLog[Type]="Bill")*(TransactionsLog[Date]=($J$5-$J$6+((ROW()-8)/2)*7+(COLUMN()-2))),"☐ "&amp;TransactionsLog[Category]&amp;" "&amp;TEXT(TransactionsLog[Amount],"$0"),"")),""),"")</f>
        <v/>
      </c>
      <c r="G14" s="466">
        <f t="array" ref="G14">IF(MONTH($J$5-$J$6+((ROW()-8)/2)*7+(COLUMN()-2))=$J$4,IFERROR(_xlfn.TEXTJOIN(CHAR(10),TRUE,IF((TransactionsLog[Type]="Bill")*(TransactionsLog[Date]=($J$5-$J$6+((ROW()-8)/2)*7+(COLUMN()-2))),"☐ "&amp;TransactionsLog[Category]&amp;" "&amp;TEXT(TransactionsLog[Amount],"$0"),"")),""),"")</f>
        <v/>
      </c>
      <c r="H14" s="466">
        <f t="array" ref="H14">IF(MONTH($J$5-$J$6+((ROW()-8)/2)*7+(COLUMN()-2))=$J$4,IFERROR(_xlfn.TEXTJOIN(CHAR(10),TRUE,IF((TransactionsLog[Type]="Bill")*(TransactionsLog[Date]=($J$5-$J$6+((ROW()-8)/2)*7+(COLUMN()-2))),"☐ "&amp;TransactionsLog[Category]&amp;" "&amp;TEXT(TransactionsLog[Amount],"$0"),"")),""),"")</f>
        <v/>
      </c>
      <c r="I14" s="454" t="n"/>
      <c r="J14" s="454" t="n"/>
    </row>
    <row r="15">
      <c r="A15" s="454" t="n"/>
      <c r="B15" s="467">
        <f>IF(MONTH(($J$5-$J$6+28))=$J$4,DAY(($J$5-$J$6+28)),"")</f>
        <v/>
      </c>
      <c r="C15" s="467">
        <f>IF(MONTH(($J$5-$J$6+29))=$J$4,DAY(($J$5-$J$6+29)),"")</f>
        <v/>
      </c>
      <c r="D15" s="467">
        <f>IF(MONTH(($J$5-$J$6+30))=$J$4,DAY(($J$5-$J$6+30)),"")</f>
        <v/>
      </c>
      <c r="E15" s="467">
        <f>IF(MONTH(($J$5-$J$6+31))=$J$4,DAY(($J$5-$J$6+31)),"")</f>
        <v/>
      </c>
      <c r="F15" s="467">
        <f>IF(MONTH(($J$5-$J$6+32))=$J$4,DAY(($J$5-$J$6+32)),"")</f>
        <v/>
      </c>
      <c r="G15" s="467">
        <f>IF(MONTH(($J$5-$J$6+33))=$J$4,DAY(($J$5-$J$6+33)),"")</f>
        <v/>
      </c>
      <c r="H15" s="467">
        <f>IF(MONTH(($J$5-$J$6+34))=$J$4,DAY(($J$5-$J$6+34)),"")</f>
        <v/>
      </c>
      <c r="I15" s="454" t="n"/>
      <c r="J15" s="454" t="n"/>
    </row>
    <row r="16" ht="42" customHeight="1" s="232">
      <c r="A16" s="454" t="n"/>
      <c r="B16" s="468">
        <f t="array" ref="B16">IF(MONTH($J$5-$J$6+((ROW()-8)/2)*7+(COLUMN()-2))=$J$4,IFERROR(_xlfn.TEXTJOIN(CHAR(10),TRUE,IF((TransactionsLog[Type]="Bill")*(TransactionsLog[Date]=($J$5-$J$6+((ROW()-8)/2)*7+(COLUMN()-2))),"☐ "&amp;TransactionsLog[Category]&amp;" "&amp;TEXT(TransactionsLog[Amount],"$0"),"")),""),"")</f>
        <v/>
      </c>
      <c r="C16" s="468">
        <f t="array" ref="C16">IF(MONTH($J$5-$J$6+((ROW()-8)/2)*7+(COLUMN()-2))=$J$4,IFERROR(_xlfn.TEXTJOIN(CHAR(10),TRUE,IF((TransactionsLog[Type]="Bill")*(TransactionsLog[Date]=($J$5-$J$6+((ROW()-8)/2)*7+(COLUMN()-2))),"☐ "&amp;TransactionsLog[Category]&amp;" "&amp;TEXT(TransactionsLog[Amount],"$0"),"")),""),"")</f>
        <v/>
      </c>
      <c r="D16" s="468">
        <f t="array" ref="D16">IF(MONTH($J$5-$J$6+((ROW()-8)/2)*7+(COLUMN()-2))=$J$4,IFERROR(_xlfn.TEXTJOIN(CHAR(10),TRUE,IF((TransactionsLog[Type]="Bill")*(TransactionsLog[Date]=($J$5-$J$6+((ROW()-8)/2)*7+(COLUMN()-2))),"☐ "&amp;TransactionsLog[Category]&amp;" "&amp;TEXT(TransactionsLog[Amount],"$0"),"")),""),"")</f>
        <v/>
      </c>
      <c r="E16" s="468">
        <f t="array" ref="E16">IF(MONTH($J$5-$J$6+((ROW()-8)/2)*7+(COLUMN()-2))=$J$4,IFERROR(_xlfn.TEXTJOIN(CHAR(10),TRUE,IF((TransactionsLog[Type]="Bill")*(TransactionsLog[Date]=($J$5-$J$6+((ROW()-8)/2)*7+(COLUMN()-2))),"☐ "&amp;TransactionsLog[Category]&amp;" "&amp;TEXT(TransactionsLog[Amount],"$0"),"")),""),"")</f>
        <v/>
      </c>
      <c r="F16" s="468">
        <f t="array" ref="F16">IF(MONTH($J$5-$J$6+((ROW()-8)/2)*7+(COLUMN()-2))=$J$4,IFERROR(_xlfn.TEXTJOIN(CHAR(10),TRUE,IF((TransactionsLog[Type]="Bill")*(TransactionsLog[Date]=($J$5-$J$6+((ROW()-8)/2)*7+(COLUMN()-2))),"☐ "&amp;TransactionsLog[Category]&amp;" "&amp;TEXT(TransactionsLog[Amount],"$0"),"")),""),"")</f>
        <v/>
      </c>
      <c r="G16" s="468">
        <f t="array" ref="G16">IF(MONTH($J$5-$J$6+((ROW()-8)/2)*7+(COLUMN()-2))=$J$4,IFERROR(_xlfn.TEXTJOIN(CHAR(10),TRUE,IF((TransactionsLog[Type]="Bill")*(TransactionsLog[Date]=($J$5-$J$6+((ROW()-8)/2)*7+(COLUMN()-2))),"☐ "&amp;TransactionsLog[Category]&amp;" "&amp;TEXT(TransactionsLog[Amount],"$0"),"")),""),"")</f>
        <v/>
      </c>
      <c r="H16" s="468">
        <f t="array" ref="H16">IF(MONTH($J$5-$J$6+((ROW()-8)/2)*7+(COLUMN()-2))=$J$4,IFERROR(_xlfn.TEXTJOIN(CHAR(10),TRUE,IF((TransactionsLog[Type]="Bill")*(TransactionsLog[Date]=($J$5-$J$6+((ROW()-8)/2)*7+(COLUMN()-2))),"☐ "&amp;TransactionsLog[Category]&amp;" "&amp;TEXT(TransactionsLog[Amount],"$0"),"")),""),"")</f>
        <v/>
      </c>
      <c r="I16" s="454" t="n"/>
      <c r="J16" s="454" t="n"/>
    </row>
    <row r="17">
      <c r="A17" s="454" t="n"/>
      <c r="B17" s="469">
        <f>IF(MONTH(($J$5-$J$6+35))=$J$4,DAY(($J$5-$J$6+35)),"")</f>
        <v/>
      </c>
      <c r="C17" s="469">
        <f>IF(MONTH(($J$5-$J$6+36))=$J$4,DAY(($J$5-$J$6+36)),"")</f>
        <v/>
      </c>
      <c r="D17" s="469">
        <f>IF(MONTH(($J$5-$J$6+37))=$J$4,DAY(($J$5-$J$6+37)),"")</f>
        <v/>
      </c>
      <c r="E17" s="469">
        <f>IF(MONTH(($J$5-$J$6+38))=$J$4,DAY(($J$5-$J$6+38)),"")</f>
        <v/>
      </c>
      <c r="F17" s="469">
        <f>IF(MONTH(($J$5-$J$6+39))=$J$4,DAY(($J$5-$J$6+39)),"")</f>
        <v/>
      </c>
      <c r="G17" s="469">
        <f>IF(MONTH(($J$5-$J$6+40))=$J$4,DAY(($J$5-$J$6+40)),"")</f>
        <v/>
      </c>
      <c r="H17" s="469">
        <f>IF(MONTH(($J$5-$J$6+41))=$J$4,DAY(($J$5-$J$6+41)),"")</f>
        <v/>
      </c>
      <c r="I17" s="454" t="n"/>
      <c r="J17" s="454" t="n"/>
    </row>
    <row r="18" ht="42" customHeight="1" s="232">
      <c r="A18" s="454" t="n"/>
      <c r="B18" s="460">
        <f t="array" ref="B18">IF(MONTH($J$5-$J$6+((ROW()-8)/2)*7+(COLUMN()-2))=$J$4,IFERROR(_xlfn.TEXTJOIN(CHAR(10),TRUE,IF((TransactionsLog[Type]="Bill")*(TransactionsLog[Date]=($J$5-$J$6+((ROW()-8)/2)*7+(COLUMN()-2))),"☐ "&amp;TransactionsLog[Category]&amp;" "&amp;TEXT(TransactionsLog[Amount],"$0"),"")),""),"")</f>
        <v/>
      </c>
      <c r="C18" s="460">
        <f t="array" ref="C18">IF(MONTH($J$5-$J$6+((ROW()-8)/2)*7+(COLUMN()-2))=$J$4,IFERROR(_xlfn.TEXTJOIN(CHAR(10),TRUE,IF((TransactionsLog[Type]="Bill")*(TransactionsLog[Date]=($J$5-$J$6+((ROW()-8)/2)*7+(COLUMN()-2))),"☐ "&amp;TransactionsLog[Category]&amp;" "&amp;TEXT(TransactionsLog[Amount],"$0"),"")),""),"")</f>
        <v/>
      </c>
      <c r="D18" s="460">
        <f t="array" ref="D18">IF(MONTH($J$5-$J$6+((ROW()-8)/2)*7+(COLUMN()-2))=$J$4,IFERROR(_xlfn.TEXTJOIN(CHAR(10),TRUE,IF((TransactionsLog[Type]="Bill")*(TransactionsLog[Date]=($J$5-$J$6+((ROW()-8)/2)*7+(COLUMN()-2))),"☐ "&amp;TransactionsLog[Category]&amp;" "&amp;TEXT(TransactionsLog[Amount],"$0"),"")),""),"")</f>
        <v/>
      </c>
      <c r="E18" s="460">
        <f t="array" ref="E18">IF(MONTH($J$5-$J$6+((ROW()-8)/2)*7+(COLUMN()-2))=$J$4,IFERROR(_xlfn.TEXTJOIN(CHAR(10),TRUE,IF((TransactionsLog[Type]="Bill")*(TransactionsLog[Date]=($J$5-$J$6+((ROW()-8)/2)*7+(COLUMN()-2))),"☐ "&amp;TransactionsLog[Category]&amp;" "&amp;TEXT(TransactionsLog[Amount],"$0"),"")),""),"")</f>
        <v/>
      </c>
      <c r="F18" s="460">
        <f t="array" ref="F18">IF(MONTH($J$5-$J$6+((ROW()-8)/2)*7+(COLUMN()-2))=$J$4,IFERROR(_xlfn.TEXTJOIN(CHAR(10),TRUE,IF((TransactionsLog[Type]="Bill")*(TransactionsLog[Date]=($J$5-$J$6+((ROW()-8)/2)*7+(COLUMN()-2))),"☐ "&amp;TransactionsLog[Category]&amp;" "&amp;TEXT(TransactionsLog[Amount],"$0"),"")),""),"")</f>
        <v/>
      </c>
      <c r="G18" s="460">
        <f t="array" ref="G18">IF(MONTH($J$5-$J$6+((ROW()-8)/2)*7+(COLUMN()-2))=$J$4,IFERROR(_xlfn.TEXTJOIN(CHAR(10),TRUE,IF((TransactionsLog[Type]="Bill")*(TransactionsLog[Date]=($J$5-$J$6+((ROW()-8)/2)*7+(COLUMN()-2))),"☐ "&amp;TransactionsLog[Category]&amp;" "&amp;TEXT(TransactionsLog[Amount],"$0"),"")),""),"")</f>
        <v/>
      </c>
      <c r="H18" s="460">
        <f t="array" ref="H18">IF(MONTH($J$5-$J$6+((ROW()-8)/2)*7+(COLUMN()-2))=$J$4,IFERROR(_xlfn.TEXTJOIN(CHAR(10),TRUE,IF((TransactionsLog[Type]="Bill")*(TransactionsLog[Date]=($J$5-$J$6+((ROW()-8)/2)*7+(COLUMN()-2))),"☐ "&amp;TransactionsLog[Category]&amp;" "&amp;TEXT(TransactionsLog[Amount],"$0"),"")),""),"")</f>
        <v/>
      </c>
      <c r="I18" s="454" t="n"/>
      <c r="J18" s="454" t="n"/>
    </row>
  </sheetData>
  <sheetProtection selectLockedCells="0" selectUnlockedCells="0" sheet="1" objects="1" insertRows="1" insertHyperlinks="1" autoFilter="1" scenarios="1" formatColumns="1" deleteColumns="1" insertColumns="1" pivotTables="1" deleteRows="1" formatCells="0" formatRows="1" sort="1"/>
  <mergeCells count="2">
    <mergeCell ref="A2:H2"/>
    <mergeCell ref="A1:H1"/>
  </mergeCells>
  <conditionalFormatting sqref="B8:H8">
    <cfRule type="expression" priority="1" dxfId="1">
      <formula>AND(ISNUMBER(B8),B8&gt;0)</formula>
    </cfRule>
  </conditionalFormatting>
  <conditionalFormatting sqref="B10:H10">
    <cfRule type="expression" priority="2" dxfId="1">
      <formula>AND(ISNUMBER(B10),B10&gt;0)</formula>
    </cfRule>
  </conditionalFormatting>
  <conditionalFormatting sqref="B12:H12">
    <cfRule type="expression" priority="3" dxfId="1">
      <formula>AND(ISNUMBER(B12),B12&gt;0)</formula>
    </cfRule>
  </conditionalFormatting>
  <conditionalFormatting sqref="B14:H14">
    <cfRule type="expression" priority="4" dxfId="1">
      <formula>AND(ISNUMBER(B14),B14&gt;0)</formula>
    </cfRule>
  </conditionalFormatting>
  <conditionalFormatting sqref="B16:H16">
    <cfRule type="expression" priority="5" dxfId="1">
      <formula>AND(ISNUMBER(B16),B16&gt;0)</formula>
    </cfRule>
  </conditionalFormatting>
  <conditionalFormatting sqref="B18:H18">
    <cfRule type="expression" priority="6" dxfId="1">
      <formula>AND(ISNUMBER(B18),B18&gt;0)</formula>
    </cfRule>
  </conditionalFormatting>
  <dataValidations count="3">
    <dataValidation sqref="B4" showDropDown="0" showInputMessage="1" showErrorMessage="1" allowBlank="1" type="list">
      <formula1>MonthList</formula1>
    </dataValidation>
    <dataValidation sqref="D4" showDropDown="0" showInputMessage="1" showErrorMessage="1" allowBlank="1" type="list">
      <formula1>YearList</formula1>
    </dataValidation>
    <dataValidation sqref="F4" showDropDown="0" showInputMessage="1" showErrorMessage="1" allowBlank="1" type="list">
      <formula1>WeekStartList</formula1>
    </dataValidation>
  </dataValidations>
  <pageMargins left="0.7" right="0.7" top="0.75" bottom="0.75" header="0.3" footer="0.3"/>
  <pageSetup orientation="portrait"/>
</worksheet>
</file>

<file path=xl/worksheets/sheet10.xml><?xml version="1.0" encoding="utf-8"?>
<worksheet xmlns="http://schemas.openxmlformats.org/spreadsheetml/2006/main">
  <sheetPr>
    <tabColor rgb="00C8D8C4"/>
    <outlinePr summaryBelow="1" summaryRight="1"/>
    <pageSetUpPr/>
  </sheetPr>
  <dimension ref="A1:J90"/>
  <sheetViews>
    <sheetView showGridLines="0" workbookViewId="0">
      <selection activeCell="E17" sqref="E17"/>
    </sheetView>
  </sheetViews>
  <sheetFormatPr baseColWidth="8" defaultRowHeight="15"/>
  <cols>
    <col width="26" customWidth="1" style="232" min="1" max="1"/>
    <col width="16" customWidth="1" style="232" min="2" max="7"/>
    <col width="14" customWidth="1" style="232" min="3" max="3"/>
    <col width="16" customWidth="1" style="232" min="4" max="4"/>
    <col width="12" customWidth="1" style="232" min="5" max="5"/>
    <col width="14" customWidth="1" style="232" min="6" max="6"/>
    <col width="14" customWidth="1" style="232" min="7" max="7"/>
    <col hidden="1" width="13" customWidth="1" style="232" min="9" max="9"/>
    <col hidden="1" width="19" customWidth="1" style="10" min="10" max="10"/>
  </cols>
  <sheetData>
    <row r="1" ht="46" customHeight="1" s="232">
      <c r="A1" s="274" t="inlineStr">
        <is>
          <t>Savings &amp; Debt Goal Tracker</t>
        </is>
      </c>
      <c r="B1" s="250" t="n"/>
      <c r="C1" s="250" t="n"/>
      <c r="D1" s="250" t="n"/>
      <c r="E1" s="250" t="n"/>
      <c r="F1" s="250" t="n"/>
      <c r="G1" s="250" t="n"/>
      <c r="H1" s="454" t="n"/>
      <c r="I1" s="454" t="n"/>
      <c r="J1" s="470" t="n"/>
    </row>
    <row r="2" ht="42" customHeight="1" s="232">
      <c r="A2" s="251" t="inlineStr">
        <is>
          <t>Set up to 8 savings goals and 8 debt payoff goals below. Log a contribution or payment at the bottom any time, and your progress updates automatically.</t>
        </is>
      </c>
      <c r="H2" s="454" t="n"/>
      <c r="I2" s="454" t="n"/>
      <c r="J2" s="470" t="n"/>
    </row>
    <row r="3">
      <c r="A3" s="454" t="n"/>
      <c r="B3" s="454" t="n"/>
      <c r="C3" s="454" t="n"/>
      <c r="D3" s="454" t="n"/>
      <c r="E3" s="454" t="n"/>
      <c r="F3" s="454" t="n"/>
      <c r="G3" s="454" t="n"/>
      <c r="H3" s="454" t="n"/>
      <c r="I3" s="454" t="n"/>
      <c r="J3" s="470" t="n"/>
    </row>
    <row r="4" ht="26" customHeight="1" s="232">
      <c r="A4" s="261" t="inlineStr">
        <is>
          <t>Savings Goals</t>
        </is>
      </c>
      <c r="B4" s="471" t="n"/>
      <c r="C4" s="471" t="n"/>
      <c r="D4" s="471" t="n"/>
      <c r="E4" s="471" t="n"/>
      <c r="F4" s="471" t="n"/>
      <c r="G4" s="471" t="n"/>
      <c r="H4" s="454" t="n"/>
      <c r="I4" s="454" t="n"/>
      <c r="J4" s="470" t="n"/>
    </row>
    <row r="5" ht="30" customHeight="1" s="232">
      <c r="A5" s="472" t="inlineStr">
        <is>
          <t>Goal Name</t>
        </is>
      </c>
      <c r="B5" s="473" t="inlineStr">
        <is>
          <t>Goal Amount</t>
        </is>
      </c>
      <c r="C5" s="473" t="inlineStr">
        <is>
          <t>Starting Point</t>
        </is>
      </c>
      <c r="D5" s="473" t="inlineStr">
        <is>
          <t>Logged Contributions</t>
        </is>
      </c>
      <c r="E5" s="473" t="inlineStr">
        <is>
          <t>Total Saved</t>
        </is>
      </c>
      <c r="F5" s="473" t="inlineStr">
        <is>
          <t>Left to Save</t>
        </is>
      </c>
      <c r="G5" s="474" t="inlineStr">
        <is>
          <t>Progress %</t>
        </is>
      </c>
      <c r="H5" s="454" t="n"/>
      <c r="I5" s="454" t="n"/>
      <c r="J5" s="457" t="inlineStr">
        <is>
          <t>Goal List (auto)</t>
        </is>
      </c>
    </row>
    <row r="6">
      <c r="A6" s="475" t="inlineStr">
        <is>
          <t>Emergency Fund</t>
        </is>
      </c>
      <c r="B6" s="476" t="n"/>
      <c r="C6" s="476" t="n">
        <v>0</v>
      </c>
      <c r="D6" s="477">
        <f>IFERROR(SUMIF(GoalLog[Goal Name],$A6,GoalLog[Amount]),0)</f>
        <v/>
      </c>
      <c r="E6" s="477">
        <f>C6+D6</f>
        <v/>
      </c>
      <c r="F6" s="477">
        <f>B6-E6</f>
        <v/>
      </c>
      <c r="G6" s="478">
        <f>IFERROR(E6/B6,0)</f>
        <v/>
      </c>
      <c r="H6" s="454" t="n"/>
      <c r="I6" s="454" t="n"/>
      <c r="J6" s="457">
        <f>A6</f>
        <v/>
      </c>
    </row>
    <row r="7">
      <c r="A7" s="475" t="inlineStr">
        <is>
          <t>Vacation Fund</t>
        </is>
      </c>
      <c r="B7" s="476" t="n">
        <v>0</v>
      </c>
      <c r="C7" s="476" t="n">
        <v>0</v>
      </c>
      <c r="D7" s="477">
        <f>IFERROR(SUMIF(GoalLog[Goal Name],$A7,GoalLog[Amount]),0)</f>
        <v/>
      </c>
      <c r="E7" s="477">
        <f>C7+D7</f>
        <v/>
      </c>
      <c r="F7" s="477">
        <f>B7-E7</f>
        <v/>
      </c>
      <c r="G7" s="478">
        <f>IFERROR(E7/B7,0)</f>
        <v/>
      </c>
      <c r="H7" s="454" t="n"/>
      <c r="I7" s="454" t="n"/>
      <c r="J7" s="457">
        <f>A7</f>
        <v/>
      </c>
    </row>
    <row r="8">
      <c r="A8" s="475" t="inlineStr">
        <is>
          <t>Holiday Fund</t>
        </is>
      </c>
      <c r="B8" s="476" t="n">
        <v>0</v>
      </c>
      <c r="C8" s="476" t="n">
        <v>0</v>
      </c>
      <c r="D8" s="477">
        <f>IFERROR(SUMIF(GoalLog[Goal Name],$A8,GoalLog[Amount]),0)</f>
        <v/>
      </c>
      <c r="E8" s="477">
        <f>C8+D8</f>
        <v/>
      </c>
      <c r="F8" s="477">
        <f>B8-E8</f>
        <v/>
      </c>
      <c r="G8" s="478">
        <f>IFERROR(E8/B8,0)</f>
        <v/>
      </c>
      <c r="H8" s="454" t="n"/>
      <c r="I8" s="454" t="n"/>
      <c r="J8" s="457">
        <f>A8</f>
        <v/>
      </c>
    </row>
    <row r="9">
      <c r="A9" s="475" t="inlineStr">
        <is>
          <t>Retirement Savings</t>
        </is>
      </c>
      <c r="B9" s="476" t="n">
        <v>0</v>
      </c>
      <c r="C9" s="476" t="n">
        <v>0</v>
      </c>
      <c r="D9" s="477">
        <f>IFERROR(SUMIF(GoalLog[Goal Name],$A9,GoalLog[Amount]),0)</f>
        <v/>
      </c>
      <c r="E9" s="477">
        <f>C9+D9</f>
        <v/>
      </c>
      <c r="F9" s="477">
        <f>B9-E9</f>
        <v/>
      </c>
      <c r="G9" s="478">
        <f>IFERROR(E9/B9,0)</f>
        <v/>
      </c>
      <c r="H9" s="454" t="n"/>
      <c r="I9" s="454" t="n"/>
      <c r="J9" s="457">
        <f>A9</f>
        <v/>
      </c>
    </row>
    <row r="10">
      <c r="A10" s="475" t="inlineStr">
        <is>
          <t>General Savings</t>
        </is>
      </c>
      <c r="B10" s="476" t="n">
        <v>0</v>
      </c>
      <c r="C10" s="476" t="n">
        <v>0</v>
      </c>
      <c r="D10" s="477">
        <f>IFERROR(SUMIF(GoalLog[Goal Name],$A10,GoalLog[Amount]),0)</f>
        <v/>
      </c>
      <c r="E10" s="477">
        <f>C10+D10</f>
        <v/>
      </c>
      <c r="F10" s="477">
        <f>B10-E10</f>
        <v/>
      </c>
      <c r="G10" s="478">
        <f>IFERROR(E10/B10,0)</f>
        <v/>
      </c>
      <c r="H10" s="454" t="n"/>
      <c r="I10" s="454" t="n"/>
      <c r="J10" s="457">
        <f>A10</f>
        <v/>
      </c>
    </row>
    <row r="11">
      <c r="A11" s="475" t="n"/>
      <c r="B11" s="476" t="n">
        <v>0</v>
      </c>
      <c r="C11" s="476" t="n">
        <v>0</v>
      </c>
      <c r="D11" s="477">
        <f>IFERROR(SUMIF(GoalLog[Goal Name],$A11,GoalLog[Amount]),0)</f>
        <v/>
      </c>
      <c r="E11" s="477">
        <f>C11+D11</f>
        <v/>
      </c>
      <c r="F11" s="477">
        <f>B11-E11</f>
        <v/>
      </c>
      <c r="G11" s="478">
        <f>IFERROR(E11/B11,0)</f>
        <v/>
      </c>
      <c r="H11" s="454" t="n"/>
      <c r="I11" s="454" t="n"/>
      <c r="J11" s="457">
        <f>A11</f>
        <v/>
      </c>
    </row>
    <row r="12">
      <c r="A12" s="475" t="n"/>
      <c r="B12" s="476" t="n">
        <v>0</v>
      </c>
      <c r="C12" s="476" t="n">
        <v>0</v>
      </c>
      <c r="D12" s="477">
        <f>IFERROR(SUMIF(GoalLog[Goal Name],$A12,GoalLog[Amount]),0)</f>
        <v/>
      </c>
      <c r="E12" s="477">
        <f>C12+D12</f>
        <v/>
      </c>
      <c r="F12" s="477">
        <f>B12-E12</f>
        <v/>
      </c>
      <c r="G12" s="478">
        <f>IFERROR(E12/B12,0)</f>
        <v/>
      </c>
      <c r="H12" s="454" t="n"/>
      <c r="I12" s="454" t="n"/>
      <c r="J12" s="457">
        <f>A12</f>
        <v/>
      </c>
    </row>
    <row r="13">
      <c r="A13" s="475" t="n"/>
      <c r="B13" s="476" t="n">
        <v>0</v>
      </c>
      <c r="C13" s="476" t="n">
        <v>0</v>
      </c>
      <c r="D13" s="477">
        <f>IFERROR(SUMIF(GoalLog[Goal Name],$A13,GoalLog[Amount]),0)</f>
        <v/>
      </c>
      <c r="E13" s="477">
        <f>C13+D13</f>
        <v/>
      </c>
      <c r="F13" s="477">
        <f>B13-E13</f>
        <v/>
      </c>
      <c r="G13" s="478">
        <f>IFERROR(E13/B13,0)</f>
        <v/>
      </c>
      <c r="H13" s="454" t="n"/>
      <c r="I13" s="454" t="n"/>
      <c r="J13" s="457">
        <f>A13</f>
        <v/>
      </c>
    </row>
    <row r="14">
      <c r="A14" s="454" t="n"/>
      <c r="B14" s="454" t="n"/>
      <c r="C14" s="454" t="n"/>
      <c r="D14" s="454" t="n"/>
      <c r="E14" s="454" t="n"/>
      <c r="F14" s="454" t="n"/>
      <c r="G14" s="454" t="n"/>
      <c r="H14" s="454" t="n"/>
      <c r="I14" s="454" t="n"/>
      <c r="J14" s="457">
        <f>A17</f>
        <v/>
      </c>
    </row>
    <row r="15" ht="26" customHeight="1" s="232">
      <c r="A15" s="479" t="inlineStr">
        <is>
          <t>Debt Payoff Goals</t>
        </is>
      </c>
      <c r="B15" s="480" t="n"/>
      <c r="C15" s="480" t="n"/>
      <c r="D15" s="480" t="n"/>
      <c r="E15" s="480" t="n"/>
      <c r="F15" s="480" t="n"/>
      <c r="G15" s="480" t="n"/>
      <c r="H15" s="454" t="n"/>
      <c r="I15" s="454" t="n"/>
      <c r="J15" s="457">
        <f>A18</f>
        <v/>
      </c>
    </row>
    <row r="16" ht="30" customHeight="1" s="232">
      <c r="A16" s="481" t="inlineStr">
        <is>
          <t>Goal Name</t>
        </is>
      </c>
      <c r="B16" s="482" t="inlineStr">
        <is>
          <t>Starting Balance</t>
        </is>
      </c>
      <c r="C16" s="482" t="inlineStr">
        <is>
          <t>Already Paid</t>
        </is>
      </c>
      <c r="D16" s="482" t="inlineStr">
        <is>
          <t>Logged Payments</t>
        </is>
      </c>
      <c r="E16" s="482" t="inlineStr">
        <is>
          <t>Total Paid</t>
        </is>
      </c>
      <c r="F16" s="482" t="inlineStr">
        <is>
          <t>Remaining Balance</t>
        </is>
      </c>
      <c r="G16" s="483" t="inlineStr">
        <is>
          <t>Progress %</t>
        </is>
      </c>
      <c r="H16" s="454" t="n"/>
      <c r="I16" s="454" t="n"/>
      <c r="J16" s="457">
        <f>A19</f>
        <v/>
      </c>
    </row>
    <row r="17">
      <c r="A17" s="475" t="inlineStr">
        <is>
          <t>Credit Card</t>
        </is>
      </c>
      <c r="B17" s="476" t="n"/>
      <c r="C17" s="476" t="n"/>
      <c r="D17" s="477">
        <f>IFERROR(SUMIF(GoalLog[Goal Name],$A17,GoalLog[Amount]),0)</f>
        <v/>
      </c>
      <c r="E17" s="477">
        <f>C17+D17</f>
        <v/>
      </c>
      <c r="F17" s="477">
        <f>B17-E17</f>
        <v/>
      </c>
      <c r="G17" s="478">
        <f>IFERROR(E17/B17,0)</f>
        <v/>
      </c>
      <c r="H17" s="454" t="n"/>
      <c r="I17" s="454" t="n"/>
      <c r="J17" s="457">
        <f>A20</f>
        <v/>
      </c>
    </row>
    <row r="18">
      <c r="A18" s="475" t="inlineStr">
        <is>
          <t>Student Loan</t>
        </is>
      </c>
      <c r="B18" s="476" t="n">
        <v>0</v>
      </c>
      <c r="C18" s="476" t="n">
        <v>0</v>
      </c>
      <c r="D18" s="477">
        <f>IFERROR(SUMIF(GoalLog[Goal Name],$A18,GoalLog[Amount]),0)</f>
        <v/>
      </c>
      <c r="E18" s="477">
        <f>C18+D18</f>
        <v/>
      </c>
      <c r="F18" s="477">
        <f>B18-E18</f>
        <v/>
      </c>
      <c r="G18" s="478">
        <f>IFERROR(E18/B18,0)</f>
        <v/>
      </c>
      <c r="H18" s="454" t="n"/>
      <c r="I18" s="454" t="n"/>
      <c r="J18" s="457">
        <f>A21</f>
        <v/>
      </c>
    </row>
    <row r="19">
      <c r="A19" s="475" t="inlineStr">
        <is>
          <t>Personal Loan</t>
        </is>
      </c>
      <c r="B19" s="476" t="n">
        <v>0</v>
      </c>
      <c r="C19" s="476" t="n">
        <v>0</v>
      </c>
      <c r="D19" s="477">
        <f>IFERROR(SUMIF(GoalLog[Goal Name],$A19,GoalLog[Amount]),0)</f>
        <v/>
      </c>
      <c r="E19" s="477">
        <f>C19+D19</f>
        <v/>
      </c>
      <c r="F19" s="477">
        <f>B19-E19</f>
        <v/>
      </c>
      <c r="G19" s="478">
        <f>IFERROR(E19/B19,0)</f>
        <v/>
      </c>
      <c r="H19" s="454" t="n"/>
      <c r="I19" s="454" t="n"/>
      <c r="J19" s="457">
        <f>A22</f>
        <v/>
      </c>
    </row>
    <row r="20">
      <c r="A20" s="475" t="inlineStr">
        <is>
          <t>Medical Debt</t>
        </is>
      </c>
      <c r="B20" s="476" t="n">
        <v>0</v>
      </c>
      <c r="C20" s="476" t="n">
        <v>0</v>
      </c>
      <c r="D20" s="477">
        <f>IFERROR(SUMIF(GoalLog[Goal Name],$A20,GoalLog[Amount]),0)</f>
        <v/>
      </c>
      <c r="E20" s="477">
        <f>C20+D20</f>
        <v/>
      </c>
      <c r="F20" s="477">
        <f>B20-E20</f>
        <v/>
      </c>
      <c r="G20" s="478">
        <f>IFERROR(E20/B20,0)</f>
        <v/>
      </c>
      <c r="H20" s="454" t="n"/>
      <c r="I20" s="454" t="n"/>
      <c r="J20" s="457">
        <f>A23</f>
        <v/>
      </c>
    </row>
    <row r="21">
      <c r="A21" s="475" t="n"/>
      <c r="B21" s="476" t="n">
        <v>0</v>
      </c>
      <c r="C21" s="476" t="n">
        <v>0</v>
      </c>
      <c r="D21" s="477">
        <f>IFERROR(SUMIF(GoalLog[Goal Name],$A21,GoalLog[Amount]),0)</f>
        <v/>
      </c>
      <c r="E21" s="477">
        <f>C21+D21</f>
        <v/>
      </c>
      <c r="F21" s="477">
        <f>B21-E21</f>
        <v/>
      </c>
      <c r="G21" s="478">
        <f>IFERROR(E21/B21,0)</f>
        <v/>
      </c>
      <c r="H21" s="454" t="n"/>
      <c r="I21" s="454" t="n"/>
      <c r="J21" s="457">
        <f>A24</f>
        <v/>
      </c>
    </row>
    <row r="22">
      <c r="A22" s="475" t="n"/>
      <c r="B22" s="476" t="n">
        <v>0</v>
      </c>
      <c r="C22" s="476" t="n">
        <v>0</v>
      </c>
      <c r="D22" s="477">
        <f>IFERROR(SUMIF(GoalLog[Goal Name],$A22,GoalLog[Amount]),0)</f>
        <v/>
      </c>
      <c r="E22" s="477">
        <f>C22+D22</f>
        <v/>
      </c>
      <c r="F22" s="477">
        <f>B22-E22</f>
        <v/>
      </c>
      <c r="G22" s="478">
        <f>IFERROR(E22/B22,0)</f>
        <v/>
      </c>
      <c r="H22" s="454" t="n"/>
      <c r="I22" s="454" t="n"/>
      <c r="J22" s="470" t="n"/>
    </row>
    <row r="23">
      <c r="A23" s="475" t="n"/>
      <c r="B23" s="476" t="n">
        <v>0</v>
      </c>
      <c r="C23" s="476" t="n">
        <v>0</v>
      </c>
      <c r="D23" s="477">
        <f>IFERROR(SUMIF(GoalLog[Goal Name],$A23,GoalLog[Amount]),0)</f>
        <v/>
      </c>
      <c r="E23" s="477">
        <f>C23+D23</f>
        <v/>
      </c>
      <c r="F23" s="477">
        <f>B23-E23</f>
        <v/>
      </c>
      <c r="G23" s="478">
        <f>IFERROR(E23/B23,0)</f>
        <v/>
      </c>
      <c r="H23" s="454" t="n"/>
      <c r="I23" s="454" t="n"/>
      <c r="J23" s="470" t="n"/>
    </row>
    <row r="24">
      <c r="A24" s="475" t="n"/>
      <c r="B24" s="476" t="n">
        <v>0</v>
      </c>
      <c r="C24" s="476" t="n">
        <v>0</v>
      </c>
      <c r="D24" s="477">
        <f>IFERROR(SUMIF(GoalLog[Goal Name],$A24,GoalLog[Amount]),0)</f>
        <v/>
      </c>
      <c r="E24" s="477">
        <f>C24+D24</f>
        <v/>
      </c>
      <c r="F24" s="477">
        <f>B24-E24</f>
        <v/>
      </c>
      <c r="G24" s="478">
        <f>IFERROR(E24/B24,0)</f>
        <v/>
      </c>
      <c r="H24" s="454" t="n"/>
      <c r="I24" s="454" t="n"/>
      <c r="J24" s="470" t="n"/>
    </row>
    <row r="25">
      <c r="A25" s="454" t="n"/>
      <c r="B25" s="454" t="n"/>
      <c r="C25" s="454" t="n"/>
      <c r="D25" s="454" t="n"/>
      <c r="E25" s="454" t="n"/>
      <c r="F25" s="454" t="n"/>
      <c r="G25" s="454" t="n"/>
      <c r="H25" s="454" t="n"/>
      <c r="I25" s="454" t="n"/>
      <c r="J25" s="470" t="n"/>
    </row>
    <row r="26">
      <c r="A26" s="454" t="n"/>
      <c r="B26" s="454" t="n"/>
      <c r="C26" s="454" t="n"/>
      <c r="D26" s="454" t="n"/>
      <c r="E26" s="454" t="n"/>
      <c r="F26" s="454" t="n"/>
      <c r="G26" s="454" t="n"/>
      <c r="H26" s="454" t="n"/>
      <c r="I26" s="454" t="n"/>
      <c r="J26" s="470" t="n"/>
    </row>
    <row r="27" ht="26" customHeight="1" s="232">
      <c r="A27" s="265" t="inlineStr">
        <is>
          <t>Goal Contributions Log</t>
        </is>
      </c>
      <c r="B27" s="484" t="n"/>
      <c r="C27" s="484" t="n"/>
      <c r="D27" s="484" t="n"/>
      <c r="E27" s="484" t="n"/>
      <c r="F27" s="484" t="n"/>
      <c r="G27" s="484" t="n"/>
      <c r="H27" s="454" t="n"/>
      <c r="I27" s="454" t="n"/>
      <c r="J27" s="470" t="n"/>
    </row>
    <row r="28" ht="42" customHeight="1" s="232">
      <c r="A28" s="239" t="inlineStr">
        <is>
          <t>Log a contribution toward a savings goal or a payment toward a debt any time, pick the goal from the dropdown and the totals above update automatically.</t>
        </is>
      </c>
      <c r="H28" s="454" t="n"/>
      <c r="I28" s="454" t="n"/>
      <c r="J28" s="470" t="n"/>
    </row>
    <row r="29">
      <c r="A29" s="485" t="n"/>
      <c r="B29" s="485" t="n"/>
      <c r="C29" s="485" t="n"/>
      <c r="D29" s="485" t="n"/>
      <c r="E29" s="454" t="n"/>
      <c r="F29" s="454" t="n"/>
      <c r="G29" s="454" t="n"/>
      <c r="H29" s="454" t="n"/>
      <c r="I29" s="454" t="n"/>
      <c r="J29" s="470" t="n"/>
    </row>
    <row r="30" ht="24" customHeight="1" s="232">
      <c r="A30" s="486" t="inlineStr">
        <is>
          <t>Date</t>
        </is>
      </c>
      <c r="B30" s="486" t="inlineStr">
        <is>
          <t>Goal Name</t>
        </is>
      </c>
      <c r="C30" s="486" t="inlineStr">
        <is>
          <t>Amount</t>
        </is>
      </c>
      <c r="D30" s="486" t="inlineStr">
        <is>
          <t>Notes</t>
        </is>
      </c>
      <c r="E30" s="454" t="n"/>
      <c r="F30" s="454" t="n"/>
      <c r="G30" s="454" t="n"/>
      <c r="H30" s="454" t="n"/>
      <c r="I30" s="454" t="n"/>
      <c r="J30" s="470" t="n"/>
    </row>
    <row r="31">
      <c r="A31" s="385" t="n"/>
      <c r="B31" s="396" t="n"/>
      <c r="C31" s="330" t="n"/>
      <c r="D31" s="396" t="n"/>
      <c r="E31" s="454" t="n"/>
      <c r="F31" s="454" t="n"/>
      <c r="G31" s="454" t="n"/>
      <c r="H31" s="454" t="n"/>
      <c r="I31" s="454" t="n"/>
      <c r="J31" s="470" t="n"/>
    </row>
    <row r="32">
      <c r="A32" s="385" t="n"/>
      <c r="B32" s="396" t="n"/>
      <c r="C32" s="330" t="n"/>
      <c r="D32" s="396" t="n"/>
      <c r="E32" s="454" t="n"/>
      <c r="F32" s="454" t="n"/>
      <c r="G32" s="454" t="n"/>
      <c r="H32" s="454" t="n"/>
      <c r="I32" s="454" t="n"/>
      <c r="J32" s="470" t="n"/>
    </row>
    <row r="33">
      <c r="A33" s="385" t="n"/>
      <c r="B33" s="396" t="n"/>
      <c r="C33" s="330" t="n"/>
      <c r="D33" s="396" t="n"/>
      <c r="E33" s="454" t="n"/>
      <c r="F33" s="454" t="n"/>
      <c r="G33" s="454" t="n"/>
      <c r="H33" s="454" t="n"/>
      <c r="I33" s="454" t="n"/>
      <c r="J33" s="470" t="n"/>
    </row>
    <row r="34">
      <c r="A34" s="385" t="n"/>
      <c r="B34" s="396" t="n"/>
      <c r="C34" s="330" t="n"/>
      <c r="D34" s="396" t="n"/>
      <c r="E34" s="454" t="n"/>
      <c r="F34" s="454" t="n"/>
      <c r="G34" s="454" t="n"/>
      <c r="H34" s="454" t="n"/>
      <c r="I34" s="454" t="n"/>
      <c r="J34" s="470" t="n"/>
    </row>
    <row r="35">
      <c r="A35" s="385" t="n"/>
      <c r="B35" s="396" t="n"/>
      <c r="C35" s="330" t="n"/>
      <c r="D35" s="396" t="n"/>
      <c r="E35" s="454" t="n"/>
      <c r="F35" s="454" t="n"/>
      <c r="G35" s="454" t="n"/>
      <c r="H35" s="454" t="n"/>
      <c r="I35" s="454" t="n"/>
      <c r="J35" s="470" t="n"/>
    </row>
    <row r="36">
      <c r="A36" s="385" t="n"/>
      <c r="B36" s="396" t="n"/>
      <c r="C36" s="330" t="n"/>
      <c r="D36" s="396" t="n"/>
      <c r="E36" s="454" t="n"/>
      <c r="F36" s="454" t="n"/>
      <c r="G36" s="454" t="n"/>
      <c r="H36" s="454" t="n"/>
      <c r="I36" s="454" t="n"/>
      <c r="J36" s="470" t="n"/>
    </row>
    <row r="37">
      <c r="A37" s="385" t="n"/>
      <c r="B37" s="396" t="n"/>
      <c r="C37" s="330" t="n"/>
      <c r="D37" s="396" t="n"/>
      <c r="E37" s="454" t="n"/>
      <c r="F37" s="454" t="n"/>
      <c r="G37" s="454" t="n"/>
      <c r="H37" s="454" t="n"/>
      <c r="I37" s="454" t="n"/>
      <c r="J37" s="470" t="n"/>
    </row>
    <row r="38">
      <c r="A38" s="385" t="n"/>
      <c r="B38" s="396" t="n"/>
      <c r="C38" s="330" t="n"/>
      <c r="D38" s="396" t="n"/>
      <c r="E38" s="454" t="n"/>
      <c r="F38" s="454" t="n"/>
      <c r="G38" s="454" t="n"/>
      <c r="H38" s="454" t="n"/>
      <c r="I38" s="454" t="n"/>
      <c r="J38" s="470" t="n"/>
    </row>
    <row r="39">
      <c r="A39" s="385" t="n"/>
      <c r="B39" s="396" t="n"/>
      <c r="C39" s="330" t="n"/>
      <c r="D39" s="396" t="n"/>
      <c r="E39" s="454" t="n"/>
      <c r="F39" s="454" t="n"/>
      <c r="G39" s="454" t="n"/>
      <c r="H39" s="454" t="n"/>
      <c r="I39" s="454" t="n"/>
      <c r="J39" s="470" t="n"/>
    </row>
    <row r="40">
      <c r="A40" s="385" t="n"/>
      <c r="B40" s="396" t="n"/>
      <c r="C40" s="330" t="n"/>
      <c r="D40" s="396" t="n"/>
      <c r="E40" s="454" t="n"/>
      <c r="F40" s="454" t="n"/>
      <c r="G40" s="454" t="n"/>
      <c r="H40" s="454" t="n"/>
      <c r="I40" s="454" t="n"/>
      <c r="J40" s="470" t="n"/>
    </row>
    <row r="41">
      <c r="A41" s="385" t="n"/>
      <c r="B41" s="396" t="n"/>
      <c r="C41" s="330" t="n"/>
      <c r="D41" s="396" t="n"/>
      <c r="E41" s="454" t="n"/>
      <c r="F41" s="454" t="n"/>
      <c r="G41" s="454" t="n"/>
      <c r="H41" s="454" t="n"/>
      <c r="I41" s="454" t="n"/>
      <c r="J41" s="470" t="n"/>
    </row>
    <row r="42">
      <c r="A42" s="385" t="n"/>
      <c r="B42" s="396" t="n"/>
      <c r="C42" s="330" t="n"/>
      <c r="D42" s="396" t="n"/>
      <c r="E42" s="454" t="n"/>
      <c r="F42" s="454" t="n"/>
      <c r="G42" s="454" t="n"/>
      <c r="H42" s="454" t="n"/>
      <c r="I42" s="454" t="n"/>
      <c r="J42" s="470" t="n"/>
    </row>
    <row r="43">
      <c r="A43" s="385" t="n"/>
      <c r="B43" s="396" t="n"/>
      <c r="C43" s="330" t="n"/>
      <c r="D43" s="396" t="n"/>
      <c r="E43" s="454" t="n"/>
      <c r="F43" s="454" t="n"/>
      <c r="G43" s="454" t="n"/>
      <c r="H43" s="454" t="n"/>
      <c r="I43" s="454" t="n"/>
      <c r="J43" s="470" t="n"/>
    </row>
    <row r="44">
      <c r="A44" s="385" t="n"/>
      <c r="B44" s="396" t="n"/>
      <c r="C44" s="330" t="n"/>
      <c r="D44" s="396" t="n"/>
      <c r="E44" s="454" t="n"/>
      <c r="F44" s="454" t="n"/>
      <c r="G44" s="454" t="n"/>
      <c r="H44" s="454" t="n"/>
      <c r="I44" s="454" t="n"/>
      <c r="J44" s="470" t="n"/>
    </row>
    <row r="45">
      <c r="A45" s="385" t="n"/>
      <c r="B45" s="396" t="n"/>
      <c r="C45" s="330" t="n"/>
      <c r="D45" s="396" t="n"/>
      <c r="E45" s="454" t="n"/>
      <c r="F45" s="454" t="n"/>
      <c r="G45" s="454" t="n"/>
      <c r="H45" s="454" t="n"/>
      <c r="I45" s="454" t="n"/>
      <c r="J45" s="470" t="n"/>
    </row>
    <row r="46">
      <c r="A46" s="385" t="n"/>
      <c r="B46" s="396" t="n"/>
      <c r="C46" s="330" t="n"/>
      <c r="D46" s="396" t="n"/>
      <c r="E46" s="454" t="n"/>
      <c r="F46" s="454" t="n"/>
      <c r="G46" s="454" t="n"/>
      <c r="H46" s="454" t="n"/>
      <c r="I46" s="454" t="n"/>
      <c r="J46" s="470" t="n"/>
    </row>
    <row r="47">
      <c r="A47" s="385" t="n"/>
      <c r="B47" s="396" t="n"/>
      <c r="C47" s="330" t="n"/>
      <c r="D47" s="396" t="n"/>
      <c r="E47" s="454" t="n"/>
      <c r="F47" s="454" t="n"/>
      <c r="G47" s="454" t="n"/>
      <c r="H47" s="454" t="n"/>
      <c r="I47" s="454" t="n"/>
      <c r="J47" s="470" t="n"/>
    </row>
    <row r="48">
      <c r="A48" s="385" t="n"/>
      <c r="B48" s="396" t="n"/>
      <c r="C48" s="330" t="n"/>
      <c r="D48" s="396" t="n"/>
      <c r="E48" s="454" t="n"/>
      <c r="F48" s="454" t="n"/>
      <c r="G48" s="454" t="n"/>
      <c r="H48" s="454" t="n"/>
      <c r="I48" s="454" t="n"/>
      <c r="J48" s="470" t="n"/>
    </row>
    <row r="49">
      <c r="A49" s="385" t="n"/>
      <c r="B49" s="396" t="n"/>
      <c r="C49" s="330" t="n"/>
      <c r="D49" s="396" t="n"/>
      <c r="E49" s="454" t="n"/>
      <c r="F49" s="454" t="n"/>
      <c r="G49" s="454" t="n"/>
      <c r="H49" s="454" t="n"/>
      <c r="I49" s="454" t="n"/>
      <c r="J49" s="470" t="n"/>
    </row>
    <row r="50">
      <c r="A50" s="385" t="n"/>
      <c r="B50" s="396" t="n"/>
      <c r="C50" s="330" t="n"/>
      <c r="D50" s="396" t="n"/>
      <c r="E50" s="454" t="n"/>
      <c r="F50" s="454" t="n"/>
      <c r="G50" s="454" t="n"/>
      <c r="H50" s="454" t="n"/>
      <c r="I50" s="454" t="n"/>
      <c r="J50" s="470" t="n"/>
    </row>
    <row r="51">
      <c r="A51" s="385" t="n"/>
      <c r="B51" s="396" t="n"/>
      <c r="C51" s="330" t="n"/>
      <c r="D51" s="396" t="n"/>
      <c r="E51" s="454" t="n"/>
      <c r="F51" s="454" t="n"/>
      <c r="G51" s="454" t="n"/>
      <c r="H51" s="454" t="n"/>
      <c r="I51" s="454" t="n"/>
      <c r="J51" s="470" t="n"/>
    </row>
    <row r="52">
      <c r="A52" s="385" t="n"/>
      <c r="B52" s="396" t="n"/>
      <c r="C52" s="330" t="n"/>
      <c r="D52" s="396" t="n"/>
      <c r="E52" s="454" t="n"/>
      <c r="F52" s="454" t="n"/>
      <c r="G52" s="454" t="n"/>
      <c r="H52" s="454" t="n"/>
      <c r="I52" s="454" t="n"/>
      <c r="J52" s="470" t="n"/>
    </row>
    <row r="53">
      <c r="A53" s="385" t="n"/>
      <c r="B53" s="396" t="n"/>
      <c r="C53" s="330" t="n"/>
      <c r="D53" s="396" t="n"/>
      <c r="E53" s="454" t="n"/>
      <c r="F53" s="454" t="n"/>
      <c r="G53" s="454" t="n"/>
      <c r="H53" s="454" t="n"/>
      <c r="I53" s="454" t="n"/>
      <c r="J53" s="470" t="n"/>
    </row>
    <row r="54">
      <c r="A54" s="385" t="n"/>
      <c r="B54" s="396" t="n"/>
      <c r="C54" s="330" t="n"/>
      <c r="D54" s="396" t="n"/>
      <c r="E54" s="454" t="n"/>
      <c r="F54" s="454" t="n"/>
      <c r="G54" s="454" t="n"/>
      <c r="H54" s="454" t="n"/>
      <c r="I54" s="454" t="n"/>
      <c r="J54" s="470" t="n"/>
    </row>
    <row r="55">
      <c r="A55" s="385" t="n"/>
      <c r="B55" s="396" t="n"/>
      <c r="C55" s="330" t="n"/>
      <c r="D55" s="396" t="n"/>
      <c r="E55" s="454" t="n"/>
      <c r="F55" s="454" t="n"/>
      <c r="G55" s="454" t="n"/>
      <c r="H55" s="454" t="n"/>
      <c r="I55" s="454" t="n"/>
      <c r="J55" s="470" t="n"/>
    </row>
    <row r="56">
      <c r="A56" s="385" t="n"/>
      <c r="B56" s="396" t="n"/>
      <c r="C56" s="330" t="n"/>
      <c r="D56" s="396" t="n"/>
      <c r="E56" s="454" t="n"/>
      <c r="F56" s="454" t="n"/>
      <c r="G56" s="454" t="n"/>
      <c r="H56" s="454" t="n"/>
      <c r="I56" s="454" t="n"/>
      <c r="J56" s="470" t="n"/>
    </row>
    <row r="57">
      <c r="A57" s="385" t="n"/>
      <c r="B57" s="396" t="n"/>
      <c r="C57" s="330" t="n"/>
      <c r="D57" s="396" t="n"/>
      <c r="E57" s="454" t="n"/>
      <c r="F57" s="454" t="n"/>
      <c r="G57" s="454" t="n"/>
      <c r="H57" s="454" t="n"/>
      <c r="I57" s="454" t="n"/>
      <c r="J57" s="470" t="n"/>
    </row>
    <row r="58">
      <c r="A58" s="385" t="n"/>
      <c r="B58" s="396" t="n"/>
      <c r="C58" s="330" t="n"/>
      <c r="D58" s="396" t="n"/>
      <c r="E58" s="454" t="n"/>
      <c r="F58" s="454" t="n"/>
      <c r="G58" s="454" t="n"/>
      <c r="H58" s="454" t="n"/>
      <c r="I58" s="454" t="n"/>
      <c r="J58" s="470" t="n"/>
    </row>
    <row r="59">
      <c r="A59" s="385" t="n"/>
      <c r="B59" s="396" t="n"/>
      <c r="C59" s="330" t="n"/>
      <c r="D59" s="396" t="n"/>
      <c r="E59" s="454" t="n"/>
      <c r="F59" s="454" t="n"/>
      <c r="G59" s="454" t="n"/>
      <c r="H59" s="454" t="n"/>
      <c r="I59" s="454" t="n"/>
      <c r="J59" s="470" t="n"/>
    </row>
    <row r="60">
      <c r="A60" s="385" t="n"/>
      <c r="B60" s="396" t="n"/>
      <c r="C60" s="330" t="n"/>
      <c r="D60" s="396" t="n"/>
      <c r="E60" s="454" t="n"/>
      <c r="F60" s="454" t="n"/>
      <c r="G60" s="454" t="n"/>
      <c r="H60" s="454" t="n"/>
      <c r="I60" s="454" t="n"/>
      <c r="J60" s="470" t="n"/>
    </row>
    <row r="61">
      <c r="A61" s="385" t="n"/>
      <c r="B61" s="396" t="n"/>
      <c r="C61" s="330" t="n"/>
      <c r="D61" s="396" t="n"/>
      <c r="E61" s="454" t="n"/>
      <c r="F61" s="454" t="n"/>
      <c r="G61" s="454" t="n"/>
      <c r="H61" s="454" t="n"/>
      <c r="I61" s="454" t="n"/>
      <c r="J61" s="470" t="n"/>
    </row>
    <row r="62">
      <c r="A62" s="385" t="n"/>
      <c r="B62" s="396" t="n"/>
      <c r="C62" s="330" t="n"/>
      <c r="D62" s="396" t="n"/>
      <c r="E62" s="454" t="n"/>
      <c r="F62" s="454" t="n"/>
      <c r="G62" s="454" t="n"/>
      <c r="H62" s="454" t="n"/>
      <c r="I62" s="454" t="n"/>
      <c r="J62" s="470" t="n"/>
    </row>
    <row r="63">
      <c r="A63" s="385" t="n"/>
      <c r="B63" s="396" t="n"/>
      <c r="C63" s="330" t="n"/>
      <c r="D63" s="396" t="n"/>
      <c r="E63" s="454" t="n"/>
      <c r="F63" s="454" t="n"/>
      <c r="G63" s="454" t="n"/>
      <c r="H63" s="454" t="n"/>
      <c r="I63" s="454" t="n"/>
      <c r="J63" s="470" t="n"/>
    </row>
    <row r="64">
      <c r="A64" s="385" t="n"/>
      <c r="B64" s="396" t="n"/>
      <c r="C64" s="330" t="n"/>
      <c r="D64" s="396" t="n"/>
      <c r="E64" s="454" t="n"/>
      <c r="F64" s="454" t="n"/>
      <c r="G64" s="454" t="n"/>
      <c r="H64" s="454" t="n"/>
      <c r="I64" s="454" t="n"/>
      <c r="J64" s="470" t="n"/>
    </row>
    <row r="65">
      <c r="A65" s="385" t="n"/>
      <c r="B65" s="396" t="n"/>
      <c r="C65" s="330" t="n"/>
      <c r="D65" s="396" t="n"/>
      <c r="E65" s="454" t="n"/>
      <c r="F65" s="454" t="n"/>
      <c r="G65" s="454" t="n"/>
      <c r="H65" s="454" t="n"/>
      <c r="I65" s="454" t="n"/>
      <c r="J65" s="470" t="n"/>
    </row>
    <row r="66">
      <c r="A66" s="385" t="n"/>
      <c r="B66" s="396" t="n"/>
      <c r="C66" s="330" t="n"/>
      <c r="D66" s="396" t="n"/>
      <c r="E66" s="454" t="n"/>
      <c r="F66" s="454" t="n"/>
      <c r="G66" s="454" t="n"/>
      <c r="H66" s="454" t="n"/>
      <c r="I66" s="454" t="n"/>
      <c r="J66" s="470" t="n"/>
    </row>
    <row r="67">
      <c r="A67" s="385" t="n"/>
      <c r="B67" s="396" t="n"/>
      <c r="C67" s="330" t="n"/>
      <c r="D67" s="396" t="n"/>
      <c r="E67" s="454" t="n"/>
      <c r="F67" s="454" t="n"/>
      <c r="G67" s="454" t="n"/>
      <c r="H67" s="454" t="n"/>
      <c r="I67" s="454" t="n"/>
      <c r="J67" s="470" t="n"/>
    </row>
    <row r="68">
      <c r="A68" s="385" t="n"/>
      <c r="B68" s="396" t="n"/>
      <c r="C68" s="330" t="n"/>
      <c r="D68" s="396" t="n"/>
      <c r="E68" s="454" t="n"/>
      <c r="F68" s="454" t="n"/>
      <c r="G68" s="454" t="n"/>
      <c r="H68" s="454" t="n"/>
      <c r="I68" s="454" t="n"/>
      <c r="J68" s="470" t="n"/>
    </row>
    <row r="69">
      <c r="A69" s="385" t="n"/>
      <c r="B69" s="396" t="n"/>
      <c r="C69" s="330" t="n"/>
      <c r="D69" s="396" t="n"/>
      <c r="E69" s="454" t="n"/>
      <c r="F69" s="454" t="n"/>
      <c r="G69" s="454" t="n"/>
      <c r="H69" s="454" t="n"/>
      <c r="I69" s="454" t="n"/>
      <c r="J69" s="470" t="n"/>
    </row>
    <row r="70">
      <c r="A70" s="385" t="n"/>
      <c r="B70" s="396" t="n"/>
      <c r="C70" s="330" t="n"/>
      <c r="D70" s="396" t="n"/>
      <c r="E70" s="454" t="n"/>
      <c r="F70" s="454" t="n"/>
      <c r="G70" s="454" t="n"/>
      <c r="H70" s="454" t="n"/>
      <c r="I70" s="454" t="n"/>
      <c r="J70" s="470" t="n"/>
    </row>
    <row r="71">
      <c r="A71" s="385" t="n"/>
      <c r="B71" s="396" t="n"/>
      <c r="C71" s="330" t="n"/>
      <c r="D71" s="396" t="n"/>
      <c r="E71" s="454" t="n"/>
      <c r="F71" s="454" t="n"/>
      <c r="G71" s="454" t="n"/>
      <c r="H71" s="454" t="n"/>
      <c r="I71" s="454" t="n"/>
      <c r="J71" s="470" t="n"/>
    </row>
    <row r="72">
      <c r="A72" s="385" t="n"/>
      <c r="B72" s="396" t="n"/>
      <c r="C72" s="330" t="n"/>
      <c r="D72" s="396" t="n"/>
      <c r="E72" s="454" t="n"/>
      <c r="F72" s="454" t="n"/>
      <c r="G72" s="454" t="n"/>
      <c r="H72" s="454" t="n"/>
      <c r="I72" s="454" t="n"/>
      <c r="J72" s="470" t="n"/>
    </row>
    <row r="73">
      <c r="A73" s="385" t="n"/>
      <c r="B73" s="396" t="n"/>
      <c r="C73" s="330" t="n"/>
      <c r="D73" s="396" t="n"/>
      <c r="E73" s="454" t="n"/>
      <c r="F73" s="454" t="n"/>
      <c r="G73" s="454" t="n"/>
      <c r="H73" s="454" t="n"/>
      <c r="I73" s="454" t="n"/>
      <c r="J73" s="470" t="n"/>
    </row>
    <row r="74">
      <c r="A74" s="385" t="n"/>
      <c r="B74" s="396" t="n"/>
      <c r="C74" s="330" t="n"/>
      <c r="D74" s="396" t="n"/>
      <c r="E74" s="454" t="n"/>
      <c r="F74" s="454" t="n"/>
      <c r="G74" s="454" t="n"/>
      <c r="H74" s="454" t="n"/>
      <c r="I74" s="454" t="n"/>
      <c r="J74" s="470" t="n"/>
    </row>
    <row r="75">
      <c r="A75" s="385" t="n"/>
      <c r="B75" s="396" t="n"/>
      <c r="C75" s="330" t="n"/>
      <c r="D75" s="396" t="n"/>
      <c r="E75" s="454" t="n"/>
      <c r="F75" s="454" t="n"/>
      <c r="G75" s="454" t="n"/>
      <c r="H75" s="454" t="n"/>
      <c r="I75" s="454" t="n"/>
      <c r="J75" s="470" t="n"/>
    </row>
    <row r="76">
      <c r="A76" s="385" t="n"/>
      <c r="B76" s="396" t="n"/>
      <c r="C76" s="330" t="n"/>
      <c r="D76" s="396" t="n"/>
      <c r="E76" s="454" t="n"/>
      <c r="F76" s="454" t="n"/>
      <c r="G76" s="454" t="n"/>
      <c r="H76" s="454" t="n"/>
      <c r="I76" s="454" t="n"/>
      <c r="J76" s="470" t="n"/>
    </row>
    <row r="77">
      <c r="A77" s="385" t="n"/>
      <c r="B77" s="396" t="n"/>
      <c r="C77" s="330" t="n"/>
      <c r="D77" s="396" t="n"/>
      <c r="E77" s="454" t="n"/>
      <c r="F77" s="454" t="n"/>
      <c r="G77" s="454" t="n"/>
      <c r="H77" s="454" t="n"/>
      <c r="I77" s="454" t="n"/>
      <c r="J77" s="470" t="n"/>
    </row>
    <row r="78">
      <c r="A78" s="385" t="n"/>
      <c r="B78" s="396" t="n"/>
      <c r="C78" s="330" t="n"/>
      <c r="D78" s="396" t="n"/>
      <c r="E78" s="454" t="n"/>
      <c r="F78" s="454" t="n"/>
      <c r="G78" s="454" t="n"/>
      <c r="H78" s="454" t="n"/>
      <c r="I78" s="454" t="n"/>
      <c r="J78" s="470" t="n"/>
    </row>
    <row r="79">
      <c r="A79" s="487" t="n"/>
      <c r="B79" s="488" t="n"/>
      <c r="C79" s="489" t="n"/>
      <c r="D79" s="488" t="n"/>
      <c r="E79" s="285" t="n"/>
      <c r="F79" s="285" t="n"/>
      <c r="G79" s="285" t="n"/>
      <c r="H79" s="285" t="n"/>
      <c r="I79" s="285" t="n"/>
      <c r="J79" s="285" t="n"/>
    </row>
    <row r="80">
      <c r="A80" s="490" t="n"/>
      <c r="B80" s="491" t="n"/>
      <c r="C80" s="492" t="n"/>
      <c r="D80" s="491" t="n"/>
      <c r="E80" s="285" t="n"/>
      <c r="F80" s="285" t="n"/>
      <c r="G80" s="285" t="n"/>
      <c r="H80" s="285" t="n"/>
      <c r="I80" s="285" t="n"/>
      <c r="J80" s="285" t="n"/>
    </row>
    <row r="81">
      <c r="A81" s="490" t="n"/>
      <c r="B81" s="491" t="n"/>
      <c r="C81" s="492" t="n"/>
      <c r="D81" s="491" t="n"/>
      <c r="E81" s="285" t="n"/>
      <c r="F81" s="285" t="n"/>
      <c r="G81" s="285" t="n"/>
      <c r="H81" s="285" t="n"/>
      <c r="I81" s="285" t="n"/>
      <c r="J81" s="285" t="n"/>
    </row>
    <row r="82">
      <c r="A82" s="490" t="n"/>
      <c r="B82" s="491" t="n"/>
      <c r="C82" s="492" t="n"/>
      <c r="D82" s="491" t="n"/>
      <c r="E82" s="285" t="n"/>
      <c r="F82" s="285" t="n"/>
      <c r="G82" s="285" t="n"/>
      <c r="H82" s="285" t="n"/>
      <c r="I82" s="285" t="n"/>
      <c r="J82" s="285" t="n"/>
    </row>
    <row r="83">
      <c r="A83" s="490" t="n"/>
      <c r="B83" s="491" t="n"/>
      <c r="C83" s="492" t="n"/>
      <c r="D83" s="491" t="n"/>
      <c r="E83" s="285" t="n"/>
      <c r="F83" s="285" t="n"/>
      <c r="G83" s="285" t="n"/>
      <c r="H83" s="285" t="n"/>
      <c r="I83" s="285" t="n"/>
      <c r="J83" s="285" t="n"/>
    </row>
    <row r="84">
      <c r="A84" s="490" t="n"/>
      <c r="B84" s="491" t="n"/>
      <c r="C84" s="492" t="n"/>
      <c r="D84" s="491" t="n"/>
      <c r="E84" s="285" t="n"/>
      <c r="F84" s="285" t="n"/>
      <c r="G84" s="285" t="n"/>
      <c r="H84" s="285" t="n"/>
      <c r="I84" s="285" t="n"/>
      <c r="J84" s="285" t="n"/>
    </row>
    <row r="85">
      <c r="A85" s="490" t="n"/>
      <c r="B85" s="491" t="n"/>
      <c r="C85" s="492" t="n"/>
      <c r="D85" s="491" t="n"/>
      <c r="E85" s="285" t="n"/>
      <c r="F85" s="285" t="n"/>
      <c r="G85" s="285" t="n"/>
      <c r="H85" s="285" t="n"/>
      <c r="I85" s="285" t="n"/>
      <c r="J85" s="285" t="n"/>
    </row>
    <row r="86">
      <c r="A86" s="490" t="n"/>
      <c r="B86" s="491" t="n"/>
      <c r="C86" s="492" t="n"/>
      <c r="D86" s="491" t="n"/>
      <c r="E86" s="285" t="n"/>
      <c r="F86" s="285" t="n"/>
      <c r="G86" s="285" t="n"/>
      <c r="H86" s="285" t="n"/>
      <c r="I86" s="285" t="n"/>
      <c r="J86" s="285" t="n"/>
    </row>
    <row r="87">
      <c r="A87" s="490" t="n"/>
      <c r="B87" s="491" t="n"/>
      <c r="C87" s="492" t="n"/>
      <c r="D87" s="491" t="n"/>
      <c r="E87" s="285" t="n"/>
      <c r="F87" s="285" t="n"/>
      <c r="G87" s="285" t="n"/>
      <c r="H87" s="285" t="n"/>
      <c r="I87" s="285" t="n"/>
      <c r="J87" s="285" t="n"/>
    </row>
    <row r="88">
      <c r="A88" s="490" t="n"/>
      <c r="B88" s="491" t="n"/>
      <c r="C88" s="492" t="n"/>
      <c r="D88" s="491" t="n"/>
      <c r="E88" s="285" t="n"/>
      <c r="F88" s="285" t="n"/>
      <c r="G88" s="285" t="n"/>
      <c r="H88" s="285" t="n"/>
      <c r="I88" s="285" t="n"/>
      <c r="J88" s="285" t="n"/>
    </row>
    <row r="89">
      <c r="A89" s="490" t="n"/>
      <c r="B89" s="491" t="n"/>
      <c r="C89" s="492" t="n"/>
      <c r="D89" s="491" t="n"/>
      <c r="E89" s="285" t="n"/>
      <c r="F89" s="285" t="n"/>
      <c r="G89" s="285" t="n"/>
      <c r="H89" s="285" t="n"/>
      <c r="I89" s="285" t="n"/>
      <c r="J89" s="285" t="n"/>
    </row>
    <row r="90">
      <c r="A90" s="490" t="n"/>
      <c r="B90" s="491" t="n"/>
      <c r="C90" s="492" t="n"/>
      <c r="D90" s="491" t="n"/>
      <c r="E90" s="285" t="n"/>
      <c r="F90" s="285" t="n"/>
      <c r="G90" s="285" t="n"/>
      <c r="H90" s="285" t="n"/>
      <c r="I90" s="285" t="n"/>
      <c r="J90" s="285" t="n"/>
    </row>
  </sheetData>
  <sheetProtection selectLockedCells="0" selectUnlockedCells="0" sheet="1" objects="1" insertRows="1" insertHyperlinks="1" autoFilter="0" scenarios="1" formatColumns="1" deleteColumns="1" insertColumns="1" pivotTables="1" deleteRows="1" formatCells="0" formatRows="1" sort="0"/>
  <mergeCells count="6">
    <mergeCell ref="A1:G1"/>
    <mergeCell ref="A27:G27"/>
    <mergeCell ref="A4:G4"/>
    <mergeCell ref="A2:G2"/>
    <mergeCell ref="A15:G15"/>
    <mergeCell ref="A28:G28"/>
  </mergeCells>
  <conditionalFormatting sqref="G6:G13">
    <cfRule type="dataBar" priority="1">
      <dataBar>
        <cfvo type="num" val="0"/>
        <cfvo type="num" val="1"/>
        <color rgb="FFC8D8C4"/>
      </dataBar>
    </cfRule>
  </conditionalFormatting>
  <conditionalFormatting sqref="G17:G24">
    <cfRule type="dataBar" priority="2">
      <dataBar>
        <cfvo type="num" val="0"/>
        <cfvo type="num" val="1"/>
        <color rgb="FFC8D8C4"/>
      </dataBar>
    </cfRule>
  </conditionalFormatting>
  <dataValidations count="1">
    <dataValidation sqref="B31:B90" showDropDown="0" showInputMessage="1" showErrorMessage="1" allowBlank="1" type="list">
      <formula1>GoalNameList</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1.xml><?xml version="1.0" encoding="utf-8"?>
<worksheet xmlns="http://schemas.openxmlformats.org/spreadsheetml/2006/main">
  <sheetPr>
    <tabColor rgb="00C9DDE8"/>
    <outlinePr summaryBelow="1" summaryRight="1"/>
    <pageSetUpPr/>
  </sheetPr>
  <dimension ref="A1:S37"/>
  <sheetViews>
    <sheetView showGridLines="0" topLeftCell="D1" zoomScale="96" zoomScaleNormal="96" workbookViewId="0">
      <selection activeCell="F7" sqref="F7"/>
    </sheetView>
  </sheetViews>
  <sheetFormatPr baseColWidth="8" defaultRowHeight="15"/>
  <cols>
    <col width="28" customWidth="1" style="232" min="1" max="1"/>
    <col width="30" customWidth="1" style="232" min="2" max="2"/>
    <col width="18" customWidth="1" style="232" min="3" max="3"/>
    <col width="12" customWidth="1" style="232" min="4" max="4"/>
    <col width="11" customWidth="1" style="232" min="5" max="5"/>
    <col width="12" customWidth="1" style="232" min="6" max="6"/>
    <col width="14" customWidth="1" style="232" min="7" max="8"/>
    <col width="14" customWidth="1" style="232" min="8" max="8"/>
    <col width="28" customWidth="1" style="232" min="9" max="9"/>
    <col width="22" customWidth="1" style="232" min="11" max="11"/>
    <col width="12" customWidth="1" style="232" min="12" max="12"/>
  </cols>
  <sheetData>
    <row r="1" ht="46" customHeight="1" s="232">
      <c r="A1" s="274" t="inlineStr">
        <is>
          <t>Subscription Tracker</t>
        </is>
      </c>
      <c r="B1" s="250" t="n"/>
      <c r="C1" s="250" t="n"/>
      <c r="D1" s="250" t="n"/>
      <c r="E1" s="250" t="n"/>
      <c r="F1" s="250" t="n"/>
      <c r="G1" s="250" t="n"/>
      <c r="H1" s="250" t="n"/>
      <c r="I1" s="250" t="n"/>
      <c r="J1" s="454" t="n"/>
      <c r="K1" s="454" t="n"/>
      <c r="L1" s="454" t="n"/>
      <c r="M1" s="454" t="n"/>
      <c r="N1" s="454" t="n"/>
      <c r="O1" s="454" t="n"/>
      <c r="P1" s="454" t="n"/>
      <c r="Q1" s="454" t="n"/>
      <c r="R1" s="454" t="n"/>
      <c r="S1" s="454" t="n"/>
    </row>
    <row r="2" ht="42" customHeight="1" s="232">
      <c r="A2" s="251" t="inlineStr">
        <is>
          <t>See what you're really paying for streaming, memberships, and software each month. The total below flows into your Bill Tracker automatically. No need to log these in the Transactions Log too.</t>
        </is>
      </c>
      <c r="J2" s="454" t="n"/>
      <c r="K2" s="454" t="n"/>
      <c r="L2" s="454" t="n"/>
      <c r="M2" s="454" t="n"/>
      <c r="N2" s="454" t="n"/>
      <c r="O2" s="454" t="n"/>
      <c r="P2" s="454" t="n"/>
      <c r="Q2" s="454" t="n"/>
      <c r="R2" s="454" t="n"/>
      <c r="S2" s="454" t="n"/>
    </row>
    <row r="3">
      <c r="A3" s="454" t="n"/>
      <c r="B3" s="454" t="n"/>
      <c r="C3" s="454" t="n"/>
      <c r="D3" s="454" t="n"/>
      <c r="E3" s="454" t="n"/>
      <c r="F3" s="454" t="n"/>
      <c r="G3" s="454" t="n"/>
      <c r="H3" s="454" t="n"/>
      <c r="I3" s="454" t="n"/>
      <c r="J3" s="454" t="n"/>
      <c r="K3" s="454" t="n"/>
      <c r="L3" s="454" t="n"/>
      <c r="M3" s="454" t="n"/>
      <c r="N3" s="454" t="n"/>
      <c r="O3" s="454" t="n"/>
      <c r="P3" s="454" t="n"/>
      <c r="Q3" s="454" t="n"/>
      <c r="R3" s="454" t="n"/>
      <c r="S3" s="454" t="n"/>
    </row>
    <row r="4">
      <c r="A4" s="454" t="n"/>
      <c r="B4" s="455" t="inlineStr">
        <is>
          <t>Monthly Subscriptions Total</t>
        </is>
      </c>
      <c r="C4" s="493">
        <f>SUM(SubscriptionTracker[Monthly Price])</f>
        <v/>
      </c>
      <c r="D4" s="455" t="inlineStr">
        <is>
          <t>Annual Subscriptions Total</t>
        </is>
      </c>
      <c r="E4" s="493">
        <f>SUM(SubscriptionTracker[Annual Price])</f>
        <v/>
      </c>
      <c r="F4" s="454" t="n"/>
      <c r="G4" s="454" t="n"/>
      <c r="H4" s="454" t="n"/>
      <c r="I4" s="454" t="n"/>
      <c r="J4" s="454" t="n"/>
      <c r="K4" s="454" t="n"/>
      <c r="L4" s="454" t="n"/>
      <c r="M4" s="454" t="n"/>
      <c r="N4" s="454" t="n"/>
      <c r="O4" s="454" t="n"/>
      <c r="P4" s="454" t="n"/>
      <c r="Q4" s="454" t="n"/>
      <c r="R4" s="454" t="n"/>
      <c r="S4" s="454" t="n"/>
    </row>
    <row r="5" ht="15.75" customHeight="1" s="232">
      <c r="A5" s="454" t="n"/>
      <c r="B5" s="454" t="n"/>
      <c r="C5" s="454" t="n"/>
      <c r="D5" s="454" t="n"/>
      <c r="E5" s="454" t="n"/>
      <c r="F5" s="454" t="n"/>
      <c r="G5" s="454" t="n"/>
      <c r="H5" s="454" t="n"/>
      <c r="I5" s="454" t="n"/>
      <c r="J5" s="454" t="n"/>
      <c r="K5" s="494" t="inlineStr">
        <is>
          <t>By Category</t>
        </is>
      </c>
      <c r="L5" s="495" t="inlineStr">
        <is>
          <t>Monthly</t>
        </is>
      </c>
      <c r="M5" s="454" t="n"/>
      <c r="N5" s="454" t="n"/>
      <c r="O5" s="454" t="n"/>
      <c r="P5" s="454" t="n"/>
      <c r="Q5" s="454" t="n"/>
      <c r="R5" s="454" t="n"/>
      <c r="S5" s="454" t="n"/>
    </row>
    <row r="6" ht="30" customHeight="1" s="232">
      <c r="A6" s="496" t="inlineStr">
        <is>
          <t>Subscription</t>
        </is>
      </c>
      <c r="B6" s="496" t="inlineStr">
        <is>
          <t>Category</t>
        </is>
      </c>
      <c r="C6" s="496" t="inlineStr">
        <is>
          <t>Billing Frequency</t>
        </is>
      </c>
      <c r="D6" s="496" t="inlineStr">
        <is>
          <t>Auto-Renew</t>
        </is>
      </c>
      <c r="E6" s="496" t="inlineStr">
        <is>
          <t>Debit Day</t>
        </is>
      </c>
      <c r="F6" s="496" t="inlineStr">
        <is>
          <t>Price</t>
        </is>
      </c>
      <c r="G6" s="496" t="inlineStr">
        <is>
          <t>Monthly Price</t>
        </is>
      </c>
      <c r="H6" s="496" t="inlineStr">
        <is>
          <t>Annual Price</t>
        </is>
      </c>
      <c r="I6" s="496" t="inlineStr">
        <is>
          <t>Notes</t>
        </is>
      </c>
      <c r="J6" s="454" t="n"/>
      <c r="K6" s="454">
        <f>Settings!T3</f>
        <v/>
      </c>
      <c r="L6" s="497">
        <f>SUMIF(SubscriptionTracker[Category],$K6,SubscriptionTracker[Monthly Price])</f>
        <v/>
      </c>
      <c r="M6" s="454" t="n"/>
      <c r="N6" s="454" t="n"/>
      <c r="O6" s="454" t="n"/>
      <c r="P6" s="454" t="n"/>
      <c r="Q6" s="454" t="n"/>
      <c r="R6" s="454" t="n"/>
      <c r="S6" s="454" t="n"/>
    </row>
    <row r="7">
      <c r="A7" s="396" t="n"/>
      <c r="B7" s="396" t="n"/>
      <c r="C7" s="396" t="n"/>
      <c r="D7" s="396" t="n"/>
      <c r="E7" s="498" t="n"/>
      <c r="F7" s="330" t="n"/>
      <c r="G7"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7" s="499">
        <f>IFERROR(SubscriptionTracker[[#This Row],[Monthly Price]]*12,"")</f>
        <v/>
      </c>
      <c r="I7" s="396" t="n"/>
      <c r="J7" s="454" t="n"/>
      <c r="K7" s="454">
        <f>Settings!T4</f>
        <v/>
      </c>
      <c r="L7" s="497">
        <f>SUMIF(SubscriptionTracker[Category],$K7,SubscriptionTracker[Monthly Price])</f>
        <v/>
      </c>
      <c r="M7" s="454" t="n"/>
      <c r="N7" s="454" t="n"/>
      <c r="O7" s="454" t="n"/>
      <c r="P7" s="454" t="n"/>
      <c r="Q7" s="454" t="n"/>
      <c r="R7" s="454" t="n"/>
      <c r="S7" s="454" t="n"/>
    </row>
    <row r="8">
      <c r="A8" s="396" t="n"/>
      <c r="B8" s="396" t="n"/>
      <c r="C8" s="396" t="n"/>
      <c r="D8" s="396" t="n"/>
      <c r="E8" s="498" t="n"/>
      <c r="F8" s="330" t="n"/>
      <c r="G8"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8" s="499">
        <f>IFERROR(SubscriptionTracker[[#This Row],[Monthly Price]]*12,"")</f>
        <v/>
      </c>
      <c r="I8" s="396" t="n"/>
      <c r="J8" s="454" t="n"/>
      <c r="K8" s="454">
        <f>Settings!T5</f>
        <v/>
      </c>
      <c r="L8" s="497">
        <f>SUMIF(SubscriptionTracker[Category],$K8,SubscriptionTracker[Monthly Price])</f>
        <v/>
      </c>
      <c r="M8" s="454" t="n"/>
      <c r="N8" s="454" t="n"/>
      <c r="O8" s="454" t="n"/>
      <c r="P8" s="454" t="n"/>
      <c r="Q8" s="454" t="n"/>
      <c r="R8" s="454" t="n"/>
      <c r="S8" s="454" t="n"/>
    </row>
    <row r="9">
      <c r="A9" s="396" t="n"/>
      <c r="B9" s="396" t="n"/>
      <c r="C9" s="396" t="n"/>
      <c r="D9" s="396" t="n"/>
      <c r="E9" s="498" t="n"/>
      <c r="F9" s="330" t="n"/>
      <c r="G9"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9" s="499">
        <f>IFERROR(SubscriptionTracker[[#This Row],[Monthly Price]]*12,"")</f>
        <v/>
      </c>
      <c r="I9" s="396" t="n"/>
      <c r="J9" s="454" t="n"/>
      <c r="K9" s="454">
        <f>Settings!T6</f>
        <v/>
      </c>
      <c r="L9" s="497">
        <f>SUMIF(SubscriptionTracker[Category],$K9,SubscriptionTracker[Monthly Price])</f>
        <v/>
      </c>
      <c r="M9" s="454" t="n"/>
      <c r="N9" s="454" t="n"/>
      <c r="O9" s="454" t="n"/>
      <c r="P9" s="454" t="n"/>
      <c r="Q9" s="454" t="n"/>
      <c r="R9" s="454" t="n"/>
      <c r="S9" s="454" t="n"/>
    </row>
    <row r="10">
      <c r="A10" s="396" t="n"/>
      <c r="B10" s="396" t="n"/>
      <c r="C10" s="396" t="n"/>
      <c r="D10" s="396" t="n"/>
      <c r="E10" s="498" t="n"/>
      <c r="F10" s="330" t="n"/>
      <c r="G10"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0" s="499">
        <f>IFERROR(SubscriptionTracker[[#This Row],[Monthly Price]]*12,"")</f>
        <v/>
      </c>
      <c r="I10" s="396" t="n"/>
      <c r="J10" s="454" t="n"/>
      <c r="K10" s="454">
        <f>Settings!T7</f>
        <v/>
      </c>
      <c r="L10" s="497">
        <f>SUMIF(SubscriptionTracker[Category],$K10,SubscriptionTracker[Monthly Price])</f>
        <v/>
      </c>
      <c r="M10" s="454" t="n"/>
      <c r="N10" s="454" t="n"/>
      <c r="O10" s="454" t="n"/>
      <c r="P10" s="454" t="n"/>
      <c r="Q10" s="454" t="n"/>
      <c r="R10" s="454" t="n"/>
      <c r="S10" s="454" t="n"/>
    </row>
    <row r="11">
      <c r="A11" s="396" t="n"/>
      <c r="B11" s="396" t="n"/>
      <c r="C11" s="396" t="n"/>
      <c r="D11" s="396" t="n"/>
      <c r="E11" s="498" t="n"/>
      <c r="F11" s="330" t="n"/>
      <c r="G11"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1" s="499">
        <f>IFERROR(SubscriptionTracker[[#This Row],[Monthly Price]]*12,"")</f>
        <v/>
      </c>
      <c r="I11" s="396" t="n"/>
      <c r="J11" s="454" t="n"/>
      <c r="K11" s="454">
        <f>Settings!T8</f>
        <v/>
      </c>
      <c r="L11" s="497">
        <f>SUMIF(SubscriptionTracker[Category],$K11,SubscriptionTracker[Monthly Price])</f>
        <v/>
      </c>
      <c r="M11" s="454" t="n"/>
      <c r="N11" s="454" t="n"/>
      <c r="O11" s="454" t="n"/>
      <c r="P11" s="454" t="n"/>
      <c r="Q11" s="454" t="n"/>
      <c r="R11" s="454" t="n"/>
      <c r="S11" s="454" t="n"/>
    </row>
    <row r="12">
      <c r="A12" s="396" t="n"/>
      <c r="B12" s="396" t="n"/>
      <c r="C12" s="396" t="n"/>
      <c r="D12" s="396" t="n"/>
      <c r="E12" s="498" t="n"/>
      <c r="F12" s="330" t="n"/>
      <c r="G12"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2" s="499">
        <f>IFERROR(SubscriptionTracker[[#This Row],[Monthly Price]]*12,"")</f>
        <v/>
      </c>
      <c r="I12" s="396" t="n"/>
      <c r="J12" s="454" t="n"/>
      <c r="K12" s="454">
        <f>Settings!T9</f>
        <v/>
      </c>
      <c r="L12" s="497">
        <f>SUMIF(SubscriptionTracker[Category],$K12,SubscriptionTracker[Monthly Price])</f>
        <v/>
      </c>
      <c r="M12" s="454" t="n"/>
      <c r="N12" s="454" t="n"/>
      <c r="O12" s="454" t="n"/>
      <c r="P12" s="454" t="n"/>
      <c r="Q12" s="454" t="n"/>
      <c r="R12" s="454" t="n"/>
      <c r="S12" s="454" t="n"/>
    </row>
    <row r="13">
      <c r="A13" s="396" t="n"/>
      <c r="B13" s="396" t="n"/>
      <c r="C13" s="396" t="n"/>
      <c r="D13" s="396" t="n"/>
      <c r="E13" s="498" t="n"/>
      <c r="F13" s="330" t="n"/>
      <c r="G13"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3" s="499">
        <f>IFERROR(SubscriptionTracker[[#This Row],[Monthly Price]]*12,"")</f>
        <v/>
      </c>
      <c r="I13" s="396" t="n"/>
      <c r="J13" s="454" t="n"/>
      <c r="K13" s="454">
        <f>Settings!T10</f>
        <v/>
      </c>
      <c r="L13" s="497">
        <f>SUMIF(SubscriptionTracker[Category],$K13,SubscriptionTracker[Monthly Price])</f>
        <v/>
      </c>
      <c r="M13" s="454" t="n"/>
      <c r="N13" s="454" t="n"/>
      <c r="O13" s="454" t="n"/>
      <c r="P13" s="454" t="n"/>
      <c r="Q13" s="454" t="n"/>
      <c r="R13" s="454" t="n"/>
      <c r="S13" s="454" t="n"/>
    </row>
    <row r="14">
      <c r="A14" s="396" t="n"/>
      <c r="B14" s="396" t="n"/>
      <c r="C14" s="396" t="n"/>
      <c r="D14" s="396" t="n"/>
      <c r="E14" s="498" t="n"/>
      <c r="F14" s="330" t="n"/>
      <c r="G14"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4" s="499">
        <f>IFERROR(SubscriptionTracker[[#This Row],[Monthly Price]]*12,"")</f>
        <v/>
      </c>
      <c r="I14" s="396" t="n"/>
      <c r="J14" s="454" t="n"/>
      <c r="K14" s="454" t="n"/>
      <c r="L14" s="454" t="n"/>
      <c r="M14" s="454" t="n"/>
      <c r="N14" s="454" t="n"/>
      <c r="O14" s="454" t="n"/>
      <c r="P14" s="454" t="n"/>
      <c r="Q14" s="454" t="n"/>
      <c r="R14" s="454" t="n"/>
      <c r="S14" s="454" t="n"/>
    </row>
    <row r="15">
      <c r="A15" s="396" t="n"/>
      <c r="B15" s="396" t="n"/>
      <c r="C15" s="396" t="n"/>
      <c r="D15" s="396" t="n"/>
      <c r="E15" s="498" t="n"/>
      <c r="F15" s="330" t="n"/>
      <c r="G15"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5" s="499">
        <f>IFERROR(SubscriptionTracker[[#This Row],[Monthly Price]]*12,"")</f>
        <v/>
      </c>
      <c r="I15" s="396" t="n"/>
      <c r="J15" s="454" t="n"/>
      <c r="K15" s="454" t="n"/>
      <c r="L15" s="454" t="n"/>
      <c r="M15" s="454" t="n"/>
      <c r="N15" s="454" t="n"/>
      <c r="O15" s="454" t="n"/>
      <c r="P15" s="454" t="n"/>
      <c r="Q15" s="454" t="n"/>
      <c r="R15" s="454" t="n"/>
      <c r="S15" s="454" t="n"/>
    </row>
    <row r="16">
      <c r="A16" s="396" t="n"/>
      <c r="B16" s="396" t="n"/>
      <c r="C16" s="396" t="n"/>
      <c r="D16" s="396" t="n"/>
      <c r="E16" s="498" t="n"/>
      <c r="F16" s="330" t="n"/>
      <c r="G16"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6" s="499">
        <f>IFERROR(SubscriptionTracker[[#This Row],[Monthly Price]]*12,"")</f>
        <v/>
      </c>
      <c r="I16" s="396" t="n"/>
      <c r="J16" s="454" t="n"/>
      <c r="K16" s="454" t="n"/>
      <c r="L16" s="454" t="n"/>
      <c r="M16" s="454" t="n"/>
      <c r="N16" s="454" t="n"/>
      <c r="O16" s="454" t="n"/>
      <c r="P16" s="454" t="n"/>
      <c r="Q16" s="454" t="n"/>
      <c r="R16" s="454" t="n"/>
      <c r="S16" s="454" t="n"/>
    </row>
    <row r="17">
      <c r="A17" s="396" t="n"/>
      <c r="B17" s="396" t="n"/>
      <c r="C17" s="396" t="n"/>
      <c r="D17" s="396" t="n"/>
      <c r="E17" s="498" t="n"/>
      <c r="F17" s="330" t="n"/>
      <c r="G17"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7" s="499">
        <f>IFERROR(SubscriptionTracker[[#This Row],[Monthly Price]]*12,"")</f>
        <v/>
      </c>
      <c r="I17" s="396" t="n"/>
      <c r="J17" s="454" t="n"/>
      <c r="K17" s="454" t="n"/>
      <c r="L17" s="454" t="n"/>
      <c r="M17" s="454" t="n"/>
      <c r="N17" s="454" t="n"/>
      <c r="O17" s="454" t="n"/>
      <c r="P17" s="454" t="n"/>
      <c r="Q17" s="454" t="n"/>
      <c r="R17" s="454" t="n"/>
      <c r="S17" s="454" t="n"/>
    </row>
    <row r="18">
      <c r="A18" s="396" t="n"/>
      <c r="B18" s="396" t="n"/>
      <c r="C18" s="396" t="n"/>
      <c r="D18" s="396" t="n"/>
      <c r="E18" s="498" t="n"/>
      <c r="F18" s="330" t="n"/>
      <c r="G18"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8" s="499">
        <f>IFERROR(SubscriptionTracker[[#This Row],[Monthly Price]]*12,"")</f>
        <v/>
      </c>
      <c r="I18" s="396" t="n"/>
      <c r="J18" s="454" t="n"/>
      <c r="K18" s="454" t="n"/>
      <c r="L18" s="454" t="n"/>
      <c r="M18" s="454" t="n"/>
      <c r="N18" s="454" t="n"/>
      <c r="O18" s="454" t="n"/>
      <c r="P18" s="454" t="n"/>
      <c r="Q18" s="454" t="n"/>
      <c r="R18" s="454" t="n"/>
      <c r="S18" s="454" t="n"/>
    </row>
    <row r="19">
      <c r="A19" s="396" t="n"/>
      <c r="B19" s="396" t="n"/>
      <c r="C19" s="396" t="n"/>
      <c r="D19" s="396" t="n"/>
      <c r="E19" s="498" t="n"/>
      <c r="F19" s="330" t="n"/>
      <c r="G19"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9" s="499">
        <f>IFERROR(SubscriptionTracker[[#This Row],[Monthly Price]]*12,"")</f>
        <v/>
      </c>
      <c r="I19" s="396" t="n"/>
      <c r="J19" s="454" t="n"/>
      <c r="K19" s="454" t="n"/>
      <c r="L19" s="454" t="n"/>
      <c r="M19" s="454" t="n"/>
      <c r="N19" s="454" t="n"/>
      <c r="O19" s="454" t="n"/>
      <c r="P19" s="454" t="n"/>
      <c r="Q19" s="454" t="n"/>
      <c r="R19" s="454" t="n"/>
      <c r="S19" s="454" t="n"/>
    </row>
    <row r="20">
      <c r="A20" s="396" t="n"/>
      <c r="B20" s="396" t="n"/>
      <c r="C20" s="396" t="n"/>
      <c r="D20" s="396" t="n"/>
      <c r="E20" s="498" t="n"/>
      <c r="F20" s="330" t="n"/>
      <c r="G20"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0" s="499">
        <f>IFERROR(SubscriptionTracker[[#This Row],[Monthly Price]]*12,"")</f>
        <v/>
      </c>
      <c r="I20" s="396" t="n"/>
      <c r="J20" s="454" t="n"/>
      <c r="K20" s="454" t="n"/>
      <c r="L20" s="454" t="n"/>
      <c r="M20" s="454" t="n"/>
      <c r="N20" s="454" t="n"/>
      <c r="O20" s="454" t="n"/>
      <c r="P20" s="454" t="n"/>
      <c r="Q20" s="454" t="n"/>
      <c r="R20" s="454" t="n"/>
      <c r="S20" s="454" t="n"/>
    </row>
    <row r="21">
      <c r="A21" s="396" t="n"/>
      <c r="B21" s="396" t="n"/>
      <c r="C21" s="396" t="n"/>
      <c r="D21" s="396" t="n"/>
      <c r="E21" s="498" t="n"/>
      <c r="F21" s="330" t="n"/>
      <c r="G21"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1" s="499">
        <f>IFERROR(SubscriptionTracker[[#This Row],[Monthly Price]]*12,"")</f>
        <v/>
      </c>
      <c r="I21" s="396" t="n"/>
      <c r="J21" s="454" t="n"/>
      <c r="K21" s="454" t="n"/>
      <c r="L21" s="454" t="n"/>
      <c r="M21" s="454" t="n"/>
      <c r="N21" s="454" t="n"/>
      <c r="O21" s="454" t="n"/>
      <c r="P21" s="454" t="n"/>
      <c r="Q21" s="454" t="n"/>
      <c r="R21" s="454" t="n"/>
      <c r="S21" s="454" t="n"/>
    </row>
    <row r="22">
      <c r="A22" s="396" t="n"/>
      <c r="B22" s="396" t="n"/>
      <c r="C22" s="396" t="n"/>
      <c r="D22" s="396" t="n"/>
      <c r="E22" s="498" t="n"/>
      <c r="F22" s="330" t="n"/>
      <c r="G22"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2" s="499">
        <f>IFERROR(SubscriptionTracker[[#This Row],[Monthly Price]]*12,"")</f>
        <v/>
      </c>
      <c r="I22" s="396" t="n"/>
      <c r="J22" s="454" t="n"/>
      <c r="K22" s="454" t="n"/>
      <c r="L22" s="454" t="n"/>
      <c r="M22" s="454" t="n"/>
      <c r="N22" s="454" t="n"/>
      <c r="O22" s="454" t="n"/>
      <c r="P22" s="454" t="n"/>
      <c r="Q22" s="454" t="n"/>
      <c r="R22" s="454" t="n"/>
      <c r="S22" s="454" t="n"/>
    </row>
    <row r="23">
      <c r="A23" s="396" t="n"/>
      <c r="B23" s="396" t="n"/>
      <c r="C23" s="396" t="n"/>
      <c r="D23" s="396" t="n"/>
      <c r="E23" s="498" t="n"/>
      <c r="F23" s="330" t="n"/>
      <c r="G23"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3" s="499">
        <f>IFERROR(SubscriptionTracker[[#This Row],[Monthly Price]]*12,"")</f>
        <v/>
      </c>
      <c r="I23" s="396" t="n"/>
      <c r="J23" s="454" t="n"/>
      <c r="K23" s="454" t="n"/>
      <c r="L23" s="454" t="n"/>
      <c r="M23" s="454" t="n"/>
      <c r="N23" s="454" t="n"/>
      <c r="O23" s="454" t="n"/>
      <c r="P23" s="454" t="n"/>
      <c r="Q23" s="454" t="n"/>
      <c r="R23" s="454" t="n"/>
      <c r="S23" s="454" t="n"/>
    </row>
    <row r="24">
      <c r="A24" s="396" t="n"/>
      <c r="B24" s="396" t="n"/>
      <c r="C24" s="396" t="n"/>
      <c r="D24" s="396" t="n"/>
      <c r="E24" s="498" t="n"/>
      <c r="F24" s="330" t="n"/>
      <c r="G24"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4" s="499">
        <f>IFERROR(SubscriptionTracker[[#This Row],[Monthly Price]]*12,"")</f>
        <v/>
      </c>
      <c r="I24" s="396" t="n"/>
      <c r="J24" s="454" t="n"/>
      <c r="K24" s="454" t="n"/>
      <c r="L24" s="454" t="n"/>
      <c r="M24" s="454" t="n"/>
      <c r="N24" s="454" t="n"/>
      <c r="O24" s="454" t="n"/>
      <c r="P24" s="454" t="n"/>
      <c r="Q24" s="454" t="n"/>
      <c r="R24" s="454" t="n"/>
      <c r="S24" s="454" t="n"/>
    </row>
    <row r="25">
      <c r="A25" s="396" t="n"/>
      <c r="B25" s="396" t="n"/>
      <c r="C25" s="396" t="n"/>
      <c r="D25" s="396" t="n"/>
      <c r="E25" s="498" t="n"/>
      <c r="F25" s="330" t="n"/>
      <c r="G25"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5" s="499">
        <f>IFERROR(SubscriptionTracker[[#This Row],[Monthly Price]]*12,"")</f>
        <v/>
      </c>
      <c r="I25" s="396" t="n"/>
      <c r="J25" s="454" t="n"/>
      <c r="K25" s="454" t="n"/>
      <c r="L25" s="454" t="n"/>
      <c r="M25" s="454" t="n"/>
      <c r="N25" s="454" t="n"/>
      <c r="O25" s="454" t="n"/>
      <c r="P25" s="454" t="n"/>
      <c r="Q25" s="454" t="n"/>
      <c r="R25" s="454" t="n"/>
      <c r="S25" s="454" t="n"/>
    </row>
    <row r="26">
      <c r="A26" s="396" t="n"/>
      <c r="B26" s="396" t="n"/>
      <c r="C26" s="396" t="n"/>
      <c r="D26" s="396" t="n"/>
      <c r="E26" s="498" t="n"/>
      <c r="F26" s="330" t="n"/>
      <c r="G26"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6" s="499">
        <f>IFERROR(SubscriptionTracker[[#This Row],[Monthly Price]]*12,"")</f>
        <v/>
      </c>
      <c r="I26" s="396" t="n"/>
      <c r="J26" s="454" t="n"/>
      <c r="K26" s="454" t="n"/>
      <c r="L26" s="454" t="n"/>
      <c r="M26" s="454" t="n"/>
      <c r="N26" s="454" t="n"/>
      <c r="O26" s="454" t="n"/>
      <c r="P26" s="454" t="n"/>
      <c r="Q26" s="454" t="n"/>
      <c r="R26" s="454" t="n"/>
      <c r="S26" s="454" t="n"/>
    </row>
    <row r="27">
      <c r="A27" s="396" t="n"/>
      <c r="B27" s="396" t="n"/>
      <c r="C27" s="396" t="n"/>
      <c r="D27" s="396" t="n"/>
      <c r="E27" s="498" t="n"/>
      <c r="F27" s="330" t="n"/>
      <c r="G27"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7" s="499">
        <f>IFERROR(SubscriptionTracker[[#This Row],[Monthly Price]]*12,"")</f>
        <v/>
      </c>
      <c r="I27" s="396" t="n"/>
      <c r="J27" s="454" t="n"/>
      <c r="K27" s="454" t="n"/>
      <c r="L27" s="454" t="n"/>
      <c r="M27" s="454" t="n"/>
      <c r="N27" s="454" t="n"/>
      <c r="O27" s="454" t="n"/>
      <c r="P27" s="454" t="n"/>
      <c r="Q27" s="454" t="n"/>
      <c r="R27" s="454" t="n"/>
      <c r="S27" s="454" t="n"/>
    </row>
    <row r="28">
      <c r="A28" s="396" t="n"/>
      <c r="B28" s="396" t="n"/>
      <c r="C28" s="396" t="n"/>
      <c r="D28" s="396" t="n"/>
      <c r="E28" s="498" t="n"/>
      <c r="F28" s="330" t="n"/>
      <c r="G28"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8" s="499">
        <f>IFERROR(SubscriptionTracker[[#This Row],[Monthly Price]]*12,"")</f>
        <v/>
      </c>
      <c r="I28" s="396" t="n"/>
      <c r="J28" s="454" t="n"/>
      <c r="K28" s="454" t="n"/>
      <c r="L28" s="454" t="n"/>
      <c r="M28" s="454" t="n"/>
      <c r="N28" s="454" t="n"/>
      <c r="O28" s="454" t="n"/>
      <c r="P28" s="454" t="n"/>
      <c r="Q28" s="454" t="n"/>
      <c r="R28" s="454" t="n"/>
      <c r="S28" s="454" t="n"/>
    </row>
    <row r="29">
      <c r="A29" s="396" t="n"/>
      <c r="B29" s="396" t="n"/>
      <c r="C29" s="396" t="n"/>
      <c r="D29" s="396" t="n"/>
      <c r="E29" s="498" t="n"/>
      <c r="F29" s="330" t="n"/>
      <c r="G29"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9" s="499">
        <f>IFERROR(SubscriptionTracker[[#This Row],[Monthly Price]]*12,"")</f>
        <v/>
      </c>
      <c r="I29" s="396" t="n"/>
      <c r="J29" s="454" t="n"/>
      <c r="K29" s="454" t="n"/>
      <c r="L29" s="454" t="n"/>
      <c r="M29" s="454" t="n"/>
      <c r="N29" s="454" t="n"/>
      <c r="O29" s="454" t="n"/>
      <c r="P29" s="454" t="n"/>
      <c r="Q29" s="454" t="n"/>
      <c r="R29" s="454" t="n"/>
      <c r="S29" s="454" t="n"/>
    </row>
    <row r="30">
      <c r="A30" s="396" t="n"/>
      <c r="B30" s="396" t="n"/>
      <c r="C30" s="396" t="n"/>
      <c r="D30" s="396" t="n"/>
      <c r="E30" s="498" t="n"/>
      <c r="F30" s="330" t="n"/>
      <c r="G30"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0" s="499">
        <f>IFERROR(SubscriptionTracker[[#This Row],[Monthly Price]]*12,"")</f>
        <v/>
      </c>
      <c r="I30" s="396" t="n"/>
      <c r="J30" s="454" t="n"/>
      <c r="K30" s="454" t="n"/>
      <c r="L30" s="454" t="n"/>
      <c r="M30" s="454" t="n"/>
      <c r="N30" s="454" t="n"/>
      <c r="O30" s="454" t="n"/>
      <c r="P30" s="454" t="n"/>
      <c r="Q30" s="454" t="n"/>
      <c r="R30" s="454" t="n"/>
      <c r="S30" s="454" t="n"/>
    </row>
    <row r="31">
      <c r="A31" s="396" t="n"/>
      <c r="B31" s="396" t="n"/>
      <c r="C31" s="396" t="n"/>
      <c r="D31" s="396" t="n"/>
      <c r="E31" s="498" t="n"/>
      <c r="F31" s="330" t="n"/>
      <c r="G31"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1" s="499">
        <f>IFERROR(SubscriptionTracker[[#This Row],[Monthly Price]]*12,"")</f>
        <v/>
      </c>
      <c r="I31" s="396" t="n"/>
      <c r="J31" s="454" t="n"/>
      <c r="K31" s="454" t="n"/>
      <c r="L31" s="454" t="n"/>
      <c r="M31" s="454" t="n"/>
      <c r="N31" s="454" t="n"/>
      <c r="O31" s="454" t="n"/>
      <c r="P31" s="454" t="n"/>
      <c r="Q31" s="454" t="n"/>
      <c r="R31" s="454" t="n"/>
      <c r="S31" s="454" t="n"/>
    </row>
    <row r="32">
      <c r="A32" s="396" t="n"/>
      <c r="B32" s="396" t="n"/>
      <c r="C32" s="396" t="n"/>
      <c r="D32" s="396" t="n"/>
      <c r="E32" s="498" t="n"/>
      <c r="F32" s="330" t="n"/>
      <c r="G32"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2" s="499">
        <f>IFERROR(SubscriptionTracker[[#This Row],[Monthly Price]]*12,"")</f>
        <v/>
      </c>
      <c r="I32" s="396" t="n"/>
      <c r="J32" s="454" t="n"/>
      <c r="K32" s="454" t="n"/>
      <c r="L32" s="454" t="n"/>
      <c r="M32" s="454" t="n"/>
      <c r="N32" s="454" t="n"/>
      <c r="O32" s="454" t="n"/>
      <c r="P32" s="454" t="n"/>
      <c r="Q32" s="454" t="n"/>
      <c r="R32" s="454" t="n"/>
      <c r="S32" s="454" t="n"/>
    </row>
    <row r="33">
      <c r="A33" s="396" t="n"/>
      <c r="B33" s="396" t="n"/>
      <c r="C33" s="396" t="n"/>
      <c r="D33" s="396" t="n"/>
      <c r="E33" s="498" t="n"/>
      <c r="F33" s="330" t="n"/>
      <c r="G33"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3" s="499">
        <f>IFERROR(SubscriptionTracker[[#This Row],[Monthly Price]]*12,"")</f>
        <v/>
      </c>
      <c r="I33" s="396" t="n"/>
      <c r="J33" s="454" t="n"/>
      <c r="K33" s="454" t="n"/>
      <c r="L33" s="454" t="n"/>
      <c r="M33" s="454" t="n"/>
      <c r="N33" s="454" t="n"/>
      <c r="O33" s="454" t="n"/>
      <c r="P33" s="454" t="n"/>
      <c r="Q33" s="454" t="n"/>
      <c r="R33" s="454" t="n"/>
      <c r="S33" s="454" t="n"/>
    </row>
    <row r="34">
      <c r="A34" s="396" t="n"/>
      <c r="B34" s="396" t="n"/>
      <c r="C34" s="396" t="n"/>
      <c r="D34" s="396" t="n"/>
      <c r="E34" s="498" t="n"/>
      <c r="F34" s="330" t="n"/>
      <c r="G34"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4" s="499">
        <f>IFERROR(SubscriptionTracker[[#This Row],[Monthly Price]]*12,"")</f>
        <v/>
      </c>
      <c r="I34" s="396" t="n"/>
      <c r="J34" s="454" t="n"/>
      <c r="K34" s="454" t="n"/>
      <c r="L34" s="454" t="n"/>
      <c r="M34" s="454" t="n"/>
      <c r="N34" s="454" t="n"/>
      <c r="O34" s="454" t="n"/>
      <c r="P34" s="454" t="n"/>
      <c r="Q34" s="454" t="n"/>
      <c r="R34" s="454" t="n"/>
      <c r="S34" s="454" t="n"/>
    </row>
    <row r="35">
      <c r="A35" s="396" t="n"/>
      <c r="B35" s="396" t="n"/>
      <c r="C35" s="396" t="n"/>
      <c r="D35" s="396" t="n"/>
      <c r="E35" s="498" t="n"/>
      <c r="F35" s="330" t="n"/>
      <c r="G35"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5" s="499">
        <f>IFERROR(SubscriptionTracker[[#This Row],[Monthly Price]]*12,"")</f>
        <v/>
      </c>
      <c r="I35" s="396" t="n"/>
      <c r="J35" s="454" t="n"/>
      <c r="K35" s="454" t="n"/>
      <c r="L35" s="454" t="n"/>
      <c r="M35" s="454" t="n"/>
      <c r="N35" s="454" t="n"/>
      <c r="O35" s="454" t="n"/>
      <c r="P35" s="454" t="n"/>
      <c r="Q35" s="454" t="n"/>
      <c r="R35" s="454" t="n"/>
      <c r="S35" s="454" t="n"/>
    </row>
    <row r="36">
      <c r="A36" s="396" t="n"/>
      <c r="B36" s="396" t="n"/>
      <c r="C36" s="396" t="n"/>
      <c r="D36" s="396" t="n"/>
      <c r="E36" s="498" t="n"/>
      <c r="F36" s="330" t="n"/>
      <c r="G36" s="499">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6" s="499">
        <f>IFERROR(SubscriptionTracker[[#This Row],[Monthly Price]]*12,"")</f>
        <v/>
      </c>
      <c r="I36" s="396" t="n"/>
      <c r="J36" s="454" t="n"/>
      <c r="K36" s="454" t="n"/>
      <c r="L36" s="454" t="n"/>
      <c r="M36" s="454" t="n"/>
      <c r="N36" s="454" t="n"/>
      <c r="O36" s="454" t="n"/>
      <c r="P36" s="454" t="n"/>
      <c r="Q36" s="454" t="n"/>
      <c r="R36" s="454" t="n"/>
      <c r="S36" s="454" t="n"/>
    </row>
    <row r="37">
      <c r="A37" s="454" t="n"/>
      <c r="B37" s="454" t="n"/>
      <c r="C37" s="454" t="n"/>
      <c r="D37" s="454" t="n"/>
      <c r="E37" s="454" t="n"/>
      <c r="F37" s="454" t="n"/>
      <c r="G37" s="454" t="n"/>
      <c r="H37" s="454" t="n"/>
      <c r="I37" s="454" t="n"/>
      <c r="J37" s="454" t="n"/>
      <c r="K37" s="454" t="n"/>
      <c r="L37" s="454" t="n"/>
      <c r="M37" s="454" t="n"/>
      <c r="N37" s="454" t="n"/>
      <c r="O37" s="454" t="n"/>
      <c r="P37" s="454" t="n"/>
      <c r="Q37" s="454" t="n"/>
      <c r="R37" s="454" t="n"/>
      <c r="S37" s="454" t="n"/>
    </row>
  </sheetData>
  <sheetProtection selectLockedCells="0" selectUnlockedCells="0" sheet="1" objects="1" insertRows="1" insertHyperlinks="1" autoFilter="0" scenarios="1" formatColumns="1" deleteColumns="1" insertColumns="1" pivotTables="1" deleteRows="1" formatCells="0" formatRows="1" sort="0"/>
  <mergeCells count="2">
    <mergeCell ref="A1:I1"/>
    <mergeCell ref="A2:I2"/>
  </mergeCells>
  <dataValidations count="3">
    <dataValidation sqref="B7:B36" showDropDown="0" showInputMessage="1" showErrorMessage="1" allowBlank="1" type="list">
      <formula1>SubCategoryList</formula1>
    </dataValidation>
    <dataValidation sqref="C7:C36" showDropDown="0" showInputMessage="1" showErrorMessage="1" allowBlank="1" type="list">
      <formula1>BillingFrequencyList</formula1>
    </dataValidation>
    <dataValidation sqref="D7:D36" showDropDown="0" showInputMessage="1" showErrorMessage="1" allowBlank="1" type="list">
      <formula1>YesNoList</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tabColor rgb="00F5E3B3"/>
    <outlinePr summaryBelow="1" summaryRight="1"/>
    <pageSetUpPr/>
  </sheetPr>
  <dimension ref="A1:AL37"/>
  <sheetViews>
    <sheetView showGridLines="0" zoomScale="80" zoomScaleNormal="80" workbookViewId="0">
      <selection activeCell="K20" sqref="K20"/>
    </sheetView>
  </sheetViews>
  <sheetFormatPr baseColWidth="8" defaultRowHeight="15"/>
  <cols>
    <col width="24" customWidth="1" style="232" min="1" max="1"/>
    <col width="16" customWidth="1" style="232" min="2" max="2"/>
    <col width="4.140625" customWidth="1" style="232" min="3" max="3"/>
    <col width="5.140625" customWidth="1" style="232" min="4" max="6"/>
    <col width="4.140625" customWidth="1" style="232" min="7" max="33"/>
    <col width="14" customWidth="1" style="232" min="34" max="34"/>
    <col width="12.42578125" customWidth="1" style="232" min="35" max="36"/>
    <col width="16.140625" customWidth="1" style="232" min="37" max="37"/>
    <col width="7.5703125" customWidth="1" style="232" min="38" max="38"/>
  </cols>
  <sheetData>
    <row r="1" ht="46" customHeight="1" s="232">
      <c r="A1" s="274" t="inlineStr">
        <is>
          <t>Habit Tracker</t>
        </is>
      </c>
      <c r="B1" s="250" t="n"/>
      <c r="C1" s="250" t="n"/>
      <c r="D1" s="250" t="n"/>
      <c r="E1" s="250" t="n"/>
      <c r="F1" s="250" t="n"/>
      <c r="G1" s="250" t="n"/>
      <c r="H1" s="250" t="n"/>
      <c r="I1" s="250" t="n"/>
      <c r="J1" s="250" t="n"/>
      <c r="K1" s="250" t="n"/>
      <c r="L1" s="250" t="n"/>
      <c r="M1" s="250" t="n"/>
      <c r="N1" s="250" t="n"/>
      <c r="O1" s="250" t="n"/>
      <c r="P1" s="250" t="n"/>
      <c r="Q1" s="250" t="n"/>
      <c r="R1" s="250" t="n"/>
      <c r="S1" s="250" t="n"/>
      <c r="T1" s="250" t="n"/>
      <c r="U1" s="250" t="n"/>
      <c r="V1" s="250" t="n"/>
      <c r="W1" s="250" t="n"/>
      <c r="X1" s="250" t="n"/>
      <c r="Y1" s="250" t="n"/>
      <c r="Z1" s="250" t="n"/>
      <c r="AA1" s="250" t="n"/>
      <c r="AB1" s="250" t="n"/>
      <c r="AC1" s="250" t="n"/>
      <c r="AD1" s="250" t="n"/>
      <c r="AE1" s="250" t="n"/>
      <c r="AF1" s="250" t="n"/>
      <c r="AG1" s="250" t="n"/>
      <c r="AH1" s="454" t="n"/>
      <c r="AI1" s="454" t="n"/>
      <c r="AJ1" s="500" t="inlineStr">
        <is>
          <t>Day</t>
        </is>
      </c>
      <c r="AK1" s="500" t="inlineStr">
        <is>
          <t>Habits Completed</t>
        </is>
      </c>
      <c r="AL1" s="454" t="n"/>
    </row>
    <row r="2" ht="25" customHeight="1" s="232">
      <c r="A2" s="251" t="inlineStr">
        <is>
          <t>A simple bonus tracker for daily habits. Pick a month, type your habits in the list, and mark a checkmark on the days you did them.</t>
        </is>
      </c>
      <c r="AH2" s="454" t="n"/>
      <c r="AI2" s="454" t="n"/>
      <c r="AJ2" s="500" t="n">
        <v>1</v>
      </c>
      <c r="AK2" s="500">
        <f>IF($C$8="","",COUNTIF(C$9:C$18,"✓"))</f>
        <v/>
      </c>
      <c r="AL2" s="454" t="n"/>
    </row>
    <row r="3" ht="15.75" customHeight="1" s="232" thickBot="1">
      <c r="A3" s="454" t="n"/>
      <c r="B3" s="454" t="n"/>
      <c r="C3" s="454" t="n"/>
      <c r="D3" s="454" t="n"/>
      <c r="E3" s="454" t="n"/>
      <c r="F3" s="454" t="n"/>
      <c r="G3" s="454" t="n"/>
      <c r="H3" s="454" t="n"/>
      <c r="I3" s="454" t="n"/>
      <c r="J3" s="454" t="n"/>
      <c r="K3" s="454" t="n"/>
      <c r="L3" s="454" t="n"/>
      <c r="M3" s="454" t="n"/>
      <c r="N3" s="454" t="n"/>
      <c r="O3" s="454" t="n"/>
      <c r="P3" s="454" t="n"/>
      <c r="Q3" s="454" t="n"/>
      <c r="R3" s="454" t="n"/>
      <c r="S3" s="454" t="n"/>
      <c r="T3" s="454" t="n"/>
      <c r="U3" s="454" t="n"/>
      <c r="V3" s="454" t="n"/>
      <c r="W3" s="454" t="n"/>
      <c r="X3" s="454" t="n"/>
      <c r="Y3" s="454" t="n"/>
      <c r="Z3" s="454" t="n"/>
      <c r="AA3" s="454" t="n"/>
      <c r="AB3" s="454" t="n"/>
      <c r="AC3" s="454" t="n"/>
      <c r="AD3" s="454" t="n"/>
      <c r="AE3" s="454" t="n"/>
      <c r="AF3" s="454" t="n"/>
      <c r="AG3" s="454" t="n"/>
      <c r="AH3" s="454" t="n"/>
      <c r="AI3" s="454" t="n"/>
      <c r="AJ3" s="500" t="n">
        <v>2</v>
      </c>
      <c r="AK3" s="500">
        <f>IF($D$8="","",COUNTIF(D$9:D$18,"✓"))</f>
        <v/>
      </c>
      <c r="AL3" s="454" t="n"/>
    </row>
    <row r="4">
      <c r="A4" s="455" t="inlineStr">
        <is>
          <t>Month</t>
        </is>
      </c>
      <c r="B4" s="396" t="inlineStr">
        <is>
          <t>January</t>
        </is>
      </c>
      <c r="C4" s="285" t="n"/>
      <c r="D4" s="501" t="inlineStr">
        <is>
          <t>COMPLETION</t>
        </is>
      </c>
      <c r="E4" s="502" t="n"/>
      <c r="F4" s="503" t="n"/>
      <c r="G4" s="454" t="n"/>
      <c r="H4" s="454" t="n"/>
      <c r="I4" s="454" t="n"/>
      <c r="J4" s="454" t="n"/>
      <c r="K4" s="454" t="n"/>
      <c r="L4" s="454" t="n"/>
      <c r="M4" s="454" t="n"/>
      <c r="N4" s="454" t="n"/>
      <c r="O4" s="454" t="n"/>
      <c r="P4" s="454" t="n"/>
      <c r="Q4" s="454" t="n"/>
      <c r="R4" s="454" t="n"/>
      <c r="S4" s="454" t="n"/>
      <c r="T4" s="454" t="n"/>
      <c r="U4" s="454" t="n"/>
      <c r="V4" s="454" t="n"/>
      <c r="W4" s="454" t="n"/>
      <c r="X4" s="454" t="n"/>
      <c r="Y4" s="454" t="n"/>
      <c r="Z4" s="454" t="n"/>
      <c r="AA4" s="454" t="n"/>
      <c r="AB4" s="454" t="n"/>
      <c r="AC4" s="454" t="n"/>
      <c r="AD4" s="454" t="n"/>
      <c r="AE4" s="454" t="n"/>
      <c r="AF4" s="454" t="n"/>
      <c r="AG4" s="454" t="n"/>
      <c r="AH4" s="454" t="n"/>
      <c r="AI4" s="454" t="n"/>
      <c r="AJ4" s="500" t="n">
        <v>3</v>
      </c>
      <c r="AK4" s="500">
        <f>IF($E$8="","",COUNTIF(E$9:E$18,"✓"))</f>
        <v/>
      </c>
      <c r="AL4" s="500">
        <f>MATCH($B$4,MonthList,0)</f>
        <v/>
      </c>
    </row>
    <row r="5">
      <c r="A5" s="455" t="inlineStr">
        <is>
          <t>Year</t>
        </is>
      </c>
      <c r="B5" s="396" t="n">
        <v>2026</v>
      </c>
      <c r="C5" s="285" t="n"/>
      <c r="D5" s="504">
        <f>B6</f>
        <v/>
      </c>
      <c r="E5" s="285" t="n"/>
      <c r="F5" s="286" t="n"/>
      <c r="G5" s="454" t="n"/>
      <c r="H5" s="454" t="n"/>
      <c r="I5" s="454" t="n"/>
      <c r="J5" s="454" t="n"/>
      <c r="K5" s="454" t="n"/>
      <c r="L5" s="454" t="n"/>
      <c r="M5" s="454" t="n"/>
      <c r="N5" s="454" t="n"/>
      <c r="O5" s="454" t="n"/>
      <c r="P5" s="454" t="n"/>
      <c r="Q5" s="454" t="n"/>
      <c r="R5" s="454" t="n"/>
      <c r="S5" s="454" t="n"/>
      <c r="T5" s="454" t="n"/>
      <c r="U5" s="454" t="n"/>
      <c r="V5" s="454" t="n"/>
      <c r="W5" s="454" t="n"/>
      <c r="X5" s="454" t="n"/>
      <c r="Y5" s="454" t="n"/>
      <c r="Z5" s="454" t="n"/>
      <c r="AA5" s="454" t="n"/>
      <c r="AB5" s="454" t="n"/>
      <c r="AC5" s="454" t="n"/>
      <c r="AD5" s="454" t="n"/>
      <c r="AE5" s="454" t="n"/>
      <c r="AF5" s="454" t="n"/>
      <c r="AG5" s="454" t="n"/>
      <c r="AH5" s="454" t="n"/>
      <c r="AI5" s="454" t="n"/>
      <c r="AJ5" s="500" t="n">
        <v>4</v>
      </c>
      <c r="AK5" s="500">
        <f>IF($F$8="","",COUNTIF(F$9:F$18,"✓"))</f>
        <v/>
      </c>
      <c r="AL5" s="500">
        <f>DAY(EOMONTH(DATE($B$5,$AL$4,1),0))</f>
        <v/>
      </c>
    </row>
    <row r="6" ht="15.75" customHeight="1" s="232" thickBot="1">
      <c r="A6" s="455" t="inlineStr">
        <is>
          <t>Overall Completion %</t>
        </is>
      </c>
      <c r="B6" s="505">
        <f>IFERROR(AVERAGE(AH9:AH18),0)</f>
        <v/>
      </c>
      <c r="C6" s="285" t="n"/>
      <c r="D6" s="296" t="n"/>
      <c r="E6" s="506" t="n"/>
      <c r="F6" s="297" t="n"/>
      <c r="G6" s="454" t="n"/>
      <c r="H6" s="454" t="n"/>
      <c r="I6" s="454" t="n"/>
      <c r="J6" s="454" t="n"/>
      <c r="K6" s="454" t="n"/>
      <c r="L6" s="454" t="n"/>
      <c r="M6" s="454" t="n"/>
      <c r="N6" s="454" t="n"/>
      <c r="O6" s="454" t="n"/>
      <c r="P6" s="454" t="n"/>
      <c r="Q6" s="454" t="n"/>
      <c r="R6" s="454" t="n"/>
      <c r="S6" s="454" t="n"/>
      <c r="T6" s="454" t="n"/>
      <c r="U6" s="454" t="n"/>
      <c r="V6" s="454" t="n"/>
      <c r="W6" s="454" t="n"/>
      <c r="X6" s="454" t="n"/>
      <c r="Y6" s="454" t="n"/>
      <c r="Z6" s="454" t="n"/>
      <c r="AA6" s="454" t="n"/>
      <c r="AB6" s="454" t="n"/>
      <c r="AC6" s="454" t="n"/>
      <c r="AD6" s="454" t="n"/>
      <c r="AE6" s="454" t="n"/>
      <c r="AF6" s="454" t="n"/>
      <c r="AG6" s="454" t="n"/>
      <c r="AH6" s="454" t="n"/>
      <c r="AI6" s="454" t="n"/>
      <c r="AJ6" s="500" t="n">
        <v>5</v>
      </c>
      <c r="AK6" s="500">
        <f>IF($G$8="","",COUNTIF(G$9:G$18,"✓"))</f>
        <v/>
      </c>
      <c r="AL6" s="454" t="n"/>
    </row>
    <row r="7">
      <c r="A7" s="454" t="n"/>
      <c r="B7" s="454" t="n"/>
      <c r="C7" s="454" t="n"/>
      <c r="D7" s="454" t="n"/>
      <c r="E7" s="454" t="n"/>
      <c r="F7" s="454" t="n"/>
      <c r="G7" s="454" t="n"/>
      <c r="H7" s="454" t="n"/>
      <c r="I7" s="454" t="n"/>
      <c r="J7" s="454" t="n"/>
      <c r="K7" s="454" t="n"/>
      <c r="L7" s="454" t="n"/>
      <c r="M7" s="454" t="n"/>
      <c r="N7" s="454" t="n"/>
      <c r="O7" s="454" t="n"/>
      <c r="P7" s="454" t="n"/>
      <c r="Q7" s="454" t="n"/>
      <c r="R7" s="454" t="n"/>
      <c r="S7" s="454" t="n"/>
      <c r="T7" s="454" t="n"/>
      <c r="U7" s="454" t="n"/>
      <c r="V7" s="454" t="n"/>
      <c r="W7" s="454" t="n"/>
      <c r="X7" s="454" t="n"/>
      <c r="Y7" s="454" t="n"/>
      <c r="Z7" s="454" t="n"/>
      <c r="AA7" s="454" t="n"/>
      <c r="AB7" s="454" t="n"/>
      <c r="AC7" s="454" t="n"/>
      <c r="AD7" s="454" t="n"/>
      <c r="AE7" s="454" t="n"/>
      <c r="AF7" s="454" t="n"/>
      <c r="AG7" s="454" t="n"/>
      <c r="AH7" s="454" t="n"/>
      <c r="AI7" s="454" t="n"/>
      <c r="AJ7" s="500" t="n">
        <v>6</v>
      </c>
      <c r="AK7" s="500">
        <f>IF($H$8="","",COUNTIF(H$9:H$18,"✓"))</f>
        <v/>
      </c>
      <c r="AL7" s="454" t="n"/>
    </row>
    <row r="8">
      <c r="A8" s="507" t="inlineStr">
        <is>
          <t>Habit</t>
        </is>
      </c>
      <c r="B8" s="507" t="inlineStr">
        <is>
          <t>Category</t>
        </is>
      </c>
      <c r="C8" s="508">
        <f>IF(1&lt;=$AL$5,1,"")</f>
        <v/>
      </c>
      <c r="D8" s="508">
        <f>IF(2&lt;=$AL$5,2,"")</f>
        <v/>
      </c>
      <c r="E8" s="508">
        <f>IF(3&lt;=$AL$5,3,"")</f>
        <v/>
      </c>
      <c r="F8" s="508">
        <f>IF(4&lt;=$AL$5,4,"")</f>
        <v/>
      </c>
      <c r="G8" s="508">
        <f>IF(5&lt;=$AL$5,5,"")</f>
        <v/>
      </c>
      <c r="H8" s="508">
        <f>IF(6&lt;=$AL$5,6,"")</f>
        <v/>
      </c>
      <c r="I8" s="508">
        <f>IF(7&lt;=$AL$5,7,"")</f>
        <v/>
      </c>
      <c r="J8" s="508">
        <f>IF(8&lt;=$AL$5,8,"")</f>
        <v/>
      </c>
      <c r="K8" s="508">
        <f>IF(9&lt;=$AL$5,9,"")</f>
        <v/>
      </c>
      <c r="L8" s="508">
        <f>IF(10&lt;=$AL$5,10,"")</f>
        <v/>
      </c>
      <c r="M8" s="508">
        <f>IF(11&lt;=$AL$5,11,"")</f>
        <v/>
      </c>
      <c r="N8" s="508">
        <f>IF(12&lt;=$AL$5,12,"")</f>
        <v/>
      </c>
      <c r="O8" s="508">
        <f>IF(13&lt;=$AL$5,13,"")</f>
        <v/>
      </c>
      <c r="P8" s="508">
        <f>IF(14&lt;=$AL$5,14,"")</f>
        <v/>
      </c>
      <c r="Q8" s="508">
        <f>IF(15&lt;=$AL$5,15,"")</f>
        <v/>
      </c>
      <c r="R8" s="508">
        <f>IF(16&lt;=$AL$5,16,"")</f>
        <v/>
      </c>
      <c r="S8" s="508">
        <f>IF(17&lt;=$AL$5,17,"")</f>
        <v/>
      </c>
      <c r="T8" s="508">
        <f>IF(18&lt;=$AL$5,18,"")</f>
        <v/>
      </c>
      <c r="U8" s="508">
        <f>IF(19&lt;=$AL$5,19,"")</f>
        <v/>
      </c>
      <c r="V8" s="508">
        <f>IF(20&lt;=$AL$5,20,"")</f>
        <v/>
      </c>
      <c r="W8" s="508">
        <f>IF(21&lt;=$AL$5,21,"")</f>
        <v/>
      </c>
      <c r="X8" s="508">
        <f>IF(22&lt;=$AL$5,22,"")</f>
        <v/>
      </c>
      <c r="Y8" s="508">
        <f>IF(23&lt;=$AL$5,23,"")</f>
        <v/>
      </c>
      <c r="Z8" s="508">
        <f>IF(24&lt;=$AL$5,24,"")</f>
        <v/>
      </c>
      <c r="AA8" s="508">
        <f>IF(25&lt;=$AL$5,25,"")</f>
        <v/>
      </c>
      <c r="AB8" s="508">
        <f>IF(26&lt;=$AL$5,26,"")</f>
        <v/>
      </c>
      <c r="AC8" s="508">
        <f>IF(27&lt;=$AL$5,27,"")</f>
        <v/>
      </c>
      <c r="AD8" s="508">
        <f>IF(28&lt;=$AL$5,28,"")</f>
        <v/>
      </c>
      <c r="AE8" s="508">
        <f>IF(29&lt;=$AL$5,29,"")</f>
        <v/>
      </c>
      <c r="AF8" s="508">
        <f>IF(30&lt;=$AL$5,30,"")</f>
        <v/>
      </c>
      <c r="AG8" s="508">
        <f>IF(31&lt;=$AL$5,31,"")</f>
        <v/>
      </c>
      <c r="AH8" s="507" t="inlineStr">
        <is>
          <t>Completion %</t>
        </is>
      </c>
      <c r="AI8" s="454" t="n"/>
      <c r="AJ8" s="500" t="n">
        <v>7</v>
      </c>
      <c r="AK8" s="500">
        <f>IF($I$8="","",COUNTIF(I$9:I$18,"✓"))</f>
        <v/>
      </c>
      <c r="AL8" s="454" t="n"/>
    </row>
    <row r="9">
      <c r="A9" s="509" t="inlineStr">
        <is>
          <t>Drink Water</t>
        </is>
      </c>
      <c r="B9" s="509" t="n"/>
      <c r="C9" s="510" t="n"/>
      <c r="D9" s="510" t="n"/>
      <c r="E9" s="510" t="n"/>
      <c r="F9" s="510" t="n"/>
      <c r="G9" s="510" t="n"/>
      <c r="H9" s="510" t="n"/>
      <c r="I9" s="510" t="n"/>
      <c r="J9" s="510" t="n"/>
      <c r="K9" s="510" t="n"/>
      <c r="L9" s="510" t="n"/>
      <c r="M9" s="510" t="n"/>
      <c r="N9" s="510" t="n"/>
      <c r="O9" s="510" t="n"/>
      <c r="P9" s="510" t="n"/>
      <c r="Q9" s="510" t="n"/>
      <c r="R9" s="510" t="n"/>
      <c r="S9" s="510" t="n"/>
      <c r="T9" s="510" t="n"/>
      <c r="U9" s="510" t="n"/>
      <c r="V9" s="510" t="n"/>
      <c r="W9" s="510" t="n"/>
      <c r="X9" s="510" t="n"/>
      <c r="Y9" s="510" t="n"/>
      <c r="Z9" s="510" t="n"/>
      <c r="AA9" s="510" t="n"/>
      <c r="AB9" s="510" t="n"/>
      <c r="AC9" s="510" t="n"/>
      <c r="AD9" s="510" t="n"/>
      <c r="AE9" s="510" t="n"/>
      <c r="AF9" s="510" t="n"/>
      <c r="AG9" s="510" t="n"/>
      <c r="AH9" s="511">
        <f>IFERROR(COUNTIF(C9:AG9,"✓")/$AL$5,0)</f>
        <v/>
      </c>
      <c r="AI9" s="485" t="n"/>
      <c r="AJ9" s="512" t="n">
        <v>8</v>
      </c>
      <c r="AK9" s="512">
        <f>IF($J$8="","",COUNTIF(J$9:J$18,"✓"))</f>
        <v/>
      </c>
      <c r="AL9" s="485" t="n"/>
    </row>
    <row r="10">
      <c r="A10" s="509" t="inlineStr">
        <is>
          <t>Move My Body</t>
        </is>
      </c>
      <c r="B10" s="509" t="n"/>
      <c r="C10" s="510" t="n"/>
      <c r="D10" s="510" t="n"/>
      <c r="E10" s="510" t="n"/>
      <c r="F10" s="510" t="n"/>
      <c r="G10" s="510" t="n"/>
      <c r="H10" s="510" t="n"/>
      <c r="I10" s="510" t="n"/>
      <c r="J10" s="510" t="n"/>
      <c r="K10" s="510" t="n"/>
      <c r="L10" s="510" t="n"/>
      <c r="M10" s="510" t="n"/>
      <c r="N10" s="510" t="n"/>
      <c r="O10" s="510" t="n"/>
      <c r="P10" s="510" t="n"/>
      <c r="Q10" s="510" t="n"/>
      <c r="R10" s="510" t="n"/>
      <c r="S10" s="510" t="n"/>
      <c r="T10" s="510" t="n"/>
      <c r="U10" s="510" t="n"/>
      <c r="V10" s="510" t="n"/>
      <c r="W10" s="510" t="n"/>
      <c r="X10" s="510" t="n"/>
      <c r="Y10" s="510" t="n"/>
      <c r="Z10" s="510" t="n"/>
      <c r="AA10" s="510" t="n"/>
      <c r="AB10" s="510" t="n"/>
      <c r="AC10" s="510" t="n"/>
      <c r="AD10" s="510" t="n"/>
      <c r="AE10" s="510" t="n"/>
      <c r="AF10" s="510" t="n"/>
      <c r="AG10" s="510" t="n"/>
      <c r="AH10" s="511">
        <f>IFERROR(COUNTIF(C10:AG10,"✓")/$AL$5,0)</f>
        <v/>
      </c>
      <c r="AI10" s="485" t="n"/>
      <c r="AJ10" s="512" t="n">
        <v>9</v>
      </c>
      <c r="AK10" s="512">
        <f>IF($K$8="","",COUNTIF(K$9:K$18,"✓"))</f>
        <v/>
      </c>
      <c r="AL10" s="485" t="n"/>
    </row>
    <row r="11">
      <c r="A11" s="509" t="inlineStr">
        <is>
          <t>Sleep 7+ Hours</t>
        </is>
      </c>
      <c r="B11" s="509" t="n"/>
      <c r="C11" s="510" t="n"/>
      <c r="D11" s="510" t="n"/>
      <c r="E11" s="510" t="n"/>
      <c r="F11" s="510" t="n"/>
      <c r="G11" s="510" t="n"/>
      <c r="H11" s="510" t="n"/>
      <c r="I11" s="510" t="n"/>
      <c r="J11" s="510" t="n"/>
      <c r="K11" s="510" t="n"/>
      <c r="L11" s="510" t="n"/>
      <c r="M11" s="510" t="n"/>
      <c r="N11" s="510" t="n"/>
      <c r="O11" s="510" t="n"/>
      <c r="P11" s="510" t="n"/>
      <c r="Q11" s="510" t="n"/>
      <c r="R11" s="510" t="n"/>
      <c r="S11" s="510" t="n"/>
      <c r="T11" s="510" t="n"/>
      <c r="U11" s="510" t="n"/>
      <c r="V11" s="510" t="n"/>
      <c r="W11" s="510" t="n"/>
      <c r="X11" s="510" t="n"/>
      <c r="Y11" s="510" t="n"/>
      <c r="Z11" s="510" t="n"/>
      <c r="AA11" s="510" t="n"/>
      <c r="AB11" s="510" t="n"/>
      <c r="AC11" s="510" t="n"/>
      <c r="AD11" s="510" t="n"/>
      <c r="AE11" s="510" t="n"/>
      <c r="AF11" s="510" t="n"/>
      <c r="AG11" s="510" t="n"/>
      <c r="AH11" s="511">
        <f>IFERROR(COUNTIF(C11:AG11,"✓")/$AL$5,0)</f>
        <v/>
      </c>
      <c r="AI11" s="485" t="n"/>
      <c r="AJ11" s="512" t="n">
        <v>10</v>
      </c>
      <c r="AK11" s="512">
        <f>IF($L$8="","",COUNTIF(L$9:L$18,"✓"))</f>
        <v/>
      </c>
      <c r="AL11" s="485" t="n"/>
    </row>
    <row r="12">
      <c r="A12" s="509" t="n"/>
      <c r="B12" s="509" t="n"/>
      <c r="C12" s="510" t="n"/>
      <c r="D12" s="510" t="n"/>
      <c r="E12" s="510" t="n"/>
      <c r="F12" s="510" t="n"/>
      <c r="G12" s="510" t="n"/>
      <c r="H12" s="510" t="n"/>
      <c r="I12" s="510" t="n"/>
      <c r="J12" s="510" t="n"/>
      <c r="K12" s="510" t="n"/>
      <c r="L12" s="510" t="n"/>
      <c r="M12" s="510" t="n"/>
      <c r="N12" s="510" t="n"/>
      <c r="O12" s="510" t="n"/>
      <c r="P12" s="510" t="n"/>
      <c r="Q12" s="510" t="n"/>
      <c r="R12" s="510" t="n"/>
      <c r="S12" s="510" t="n"/>
      <c r="T12" s="510" t="n"/>
      <c r="U12" s="510" t="n"/>
      <c r="V12" s="510" t="n"/>
      <c r="W12" s="510" t="n"/>
      <c r="X12" s="510" t="n"/>
      <c r="Y12" s="510" t="n"/>
      <c r="Z12" s="510" t="n"/>
      <c r="AA12" s="510" t="n"/>
      <c r="AB12" s="510" t="n"/>
      <c r="AC12" s="510" t="n"/>
      <c r="AD12" s="510" t="n"/>
      <c r="AE12" s="510" t="n"/>
      <c r="AF12" s="510" t="n"/>
      <c r="AG12" s="510" t="n"/>
      <c r="AH12" s="511">
        <f>IFERROR(COUNTIF(C12:AG12,"✓")/$AL$5,0)</f>
        <v/>
      </c>
      <c r="AI12" s="485" t="n"/>
      <c r="AJ12" s="512" t="n">
        <v>11</v>
      </c>
      <c r="AK12" s="512">
        <f>IF($M$8="","",COUNTIF(M$9:M$18,"✓"))</f>
        <v/>
      </c>
      <c r="AL12" s="485" t="n"/>
    </row>
    <row r="13">
      <c r="A13" s="509" t="n"/>
      <c r="B13" s="509" t="n"/>
      <c r="C13" s="510" t="n"/>
      <c r="D13" s="510" t="n"/>
      <c r="E13" s="510" t="n"/>
      <c r="F13" s="510" t="n"/>
      <c r="G13" s="510" t="n"/>
      <c r="H13" s="510" t="n"/>
      <c r="I13" s="510" t="n"/>
      <c r="J13" s="510" t="n"/>
      <c r="K13" s="510" t="n"/>
      <c r="L13" s="510" t="n"/>
      <c r="M13" s="510" t="n"/>
      <c r="N13" s="510" t="n"/>
      <c r="O13" s="510" t="n"/>
      <c r="P13" s="510" t="n"/>
      <c r="Q13" s="510" t="n"/>
      <c r="R13" s="510" t="n"/>
      <c r="S13" s="510" t="n"/>
      <c r="T13" s="510" t="n"/>
      <c r="U13" s="510" t="n"/>
      <c r="V13" s="510" t="n"/>
      <c r="W13" s="510" t="n"/>
      <c r="X13" s="510" t="n"/>
      <c r="Y13" s="510" t="n"/>
      <c r="Z13" s="510" t="n"/>
      <c r="AA13" s="510" t="n"/>
      <c r="AB13" s="510" t="n"/>
      <c r="AC13" s="510" t="n"/>
      <c r="AD13" s="510" t="n"/>
      <c r="AE13" s="510" t="n"/>
      <c r="AF13" s="510" t="n"/>
      <c r="AG13" s="510" t="n"/>
      <c r="AH13" s="511">
        <f>IFERROR(COUNTIF(C13:AG13,"✓")/$AL$5,0)</f>
        <v/>
      </c>
      <c r="AI13" s="485" t="n"/>
      <c r="AJ13" s="512" t="n">
        <v>12</v>
      </c>
      <c r="AK13" s="512">
        <f>IF($N$8="","",COUNTIF(N$9:N$18,"✓"))</f>
        <v/>
      </c>
      <c r="AL13" s="485" t="n"/>
    </row>
    <row r="14">
      <c r="A14" s="509" t="n"/>
      <c r="B14" s="509" t="n"/>
      <c r="C14" s="510" t="n"/>
      <c r="D14" s="510" t="n"/>
      <c r="E14" s="510" t="n"/>
      <c r="F14" s="510" t="n"/>
      <c r="G14" s="510" t="n"/>
      <c r="H14" s="510" t="n"/>
      <c r="I14" s="510" t="n"/>
      <c r="J14" s="510" t="n"/>
      <c r="K14" s="510" t="n"/>
      <c r="L14" s="510" t="n"/>
      <c r="M14" s="510" t="n"/>
      <c r="N14" s="510" t="n"/>
      <c r="O14" s="510" t="n"/>
      <c r="P14" s="510" t="n"/>
      <c r="Q14" s="510" t="n"/>
      <c r="R14" s="510" t="n"/>
      <c r="S14" s="510" t="n"/>
      <c r="T14" s="510" t="n"/>
      <c r="U14" s="510" t="n"/>
      <c r="V14" s="510" t="n"/>
      <c r="W14" s="510" t="n"/>
      <c r="X14" s="510" t="n"/>
      <c r="Y14" s="510" t="n"/>
      <c r="Z14" s="510" t="n"/>
      <c r="AA14" s="510" t="n"/>
      <c r="AB14" s="510" t="n"/>
      <c r="AC14" s="510" t="n"/>
      <c r="AD14" s="510" t="n"/>
      <c r="AE14" s="510" t="n"/>
      <c r="AF14" s="510" t="n"/>
      <c r="AG14" s="510" t="n"/>
      <c r="AH14" s="511">
        <f>IFERROR(COUNTIF(C14:AG14,"✓")/$AL$5,0)</f>
        <v/>
      </c>
      <c r="AI14" s="485" t="n"/>
      <c r="AJ14" s="512" t="n">
        <v>13</v>
      </c>
      <c r="AK14" s="512">
        <f>IF($O$8="","",COUNTIF(O$9:O$18,"✓"))</f>
        <v/>
      </c>
      <c r="AL14" s="485" t="n"/>
    </row>
    <row r="15">
      <c r="A15" s="509" t="n"/>
      <c r="B15" s="509" t="n"/>
      <c r="C15" s="510" t="n"/>
      <c r="D15" s="510" t="n"/>
      <c r="E15" s="510" t="n"/>
      <c r="F15" s="510" t="n"/>
      <c r="G15" s="510" t="n"/>
      <c r="H15" s="510" t="n"/>
      <c r="I15" s="510" t="n"/>
      <c r="J15" s="510" t="n"/>
      <c r="K15" s="510" t="n"/>
      <c r="L15" s="510" t="n"/>
      <c r="M15" s="510" t="n"/>
      <c r="N15" s="510" t="n"/>
      <c r="O15" s="510" t="n"/>
      <c r="P15" s="510" t="n"/>
      <c r="Q15" s="510" t="n"/>
      <c r="R15" s="510" t="n"/>
      <c r="S15" s="510" t="n"/>
      <c r="T15" s="510" t="n"/>
      <c r="U15" s="510" t="n"/>
      <c r="V15" s="510" t="n"/>
      <c r="W15" s="510" t="n"/>
      <c r="X15" s="510" t="n"/>
      <c r="Y15" s="510" t="n"/>
      <c r="Z15" s="510" t="n"/>
      <c r="AA15" s="510" t="n"/>
      <c r="AB15" s="510" t="n"/>
      <c r="AC15" s="510" t="n"/>
      <c r="AD15" s="510" t="n"/>
      <c r="AE15" s="510" t="n"/>
      <c r="AF15" s="510" t="n"/>
      <c r="AG15" s="510" t="n"/>
      <c r="AH15" s="511">
        <f>IFERROR(COUNTIF(C15:AG15,"✓")/$AL$5,0)</f>
        <v/>
      </c>
      <c r="AI15" s="485" t="n"/>
      <c r="AJ15" s="512" t="n">
        <v>14</v>
      </c>
      <c r="AK15" s="512">
        <f>IF($P$8="","",COUNTIF(P$9:P$18,"✓"))</f>
        <v/>
      </c>
      <c r="AL15" s="485" t="n"/>
    </row>
    <row r="16">
      <c r="A16" s="509" t="n"/>
      <c r="B16" s="509" t="n"/>
      <c r="C16" s="510" t="n"/>
      <c r="D16" s="510" t="n"/>
      <c r="E16" s="510" t="n"/>
      <c r="F16" s="510" t="n"/>
      <c r="G16" s="510" t="n"/>
      <c r="H16" s="510" t="n"/>
      <c r="I16" s="510" t="n"/>
      <c r="J16" s="510" t="n"/>
      <c r="K16" s="510" t="n"/>
      <c r="L16" s="510" t="n"/>
      <c r="M16" s="510" t="n"/>
      <c r="N16" s="510" t="n"/>
      <c r="O16" s="510" t="n"/>
      <c r="P16" s="510" t="n"/>
      <c r="Q16" s="510" t="n"/>
      <c r="R16" s="510" t="n"/>
      <c r="S16" s="510" t="n"/>
      <c r="T16" s="510" t="n"/>
      <c r="U16" s="510" t="n"/>
      <c r="V16" s="510" t="n"/>
      <c r="W16" s="510" t="n"/>
      <c r="X16" s="510" t="n"/>
      <c r="Y16" s="510" t="n"/>
      <c r="Z16" s="510" t="n"/>
      <c r="AA16" s="510" t="n"/>
      <c r="AB16" s="510" t="n"/>
      <c r="AC16" s="510" t="n"/>
      <c r="AD16" s="510" t="n"/>
      <c r="AE16" s="510" t="n"/>
      <c r="AF16" s="510" t="n"/>
      <c r="AG16" s="510" t="n"/>
      <c r="AH16" s="511">
        <f>IFERROR(COUNTIF(C16:AG16,"✓")/$AL$5,0)</f>
        <v/>
      </c>
      <c r="AI16" s="485" t="n"/>
      <c r="AJ16" s="512" t="n">
        <v>15</v>
      </c>
      <c r="AK16" s="512">
        <f>IF($Q$8="","",COUNTIF(Q$9:Q$18,"✓"))</f>
        <v/>
      </c>
      <c r="AL16" s="485" t="n"/>
    </row>
    <row r="17">
      <c r="A17" s="509" t="n"/>
      <c r="B17" s="509" t="n"/>
      <c r="C17" s="510" t="n"/>
      <c r="D17" s="510" t="n"/>
      <c r="E17" s="510" t="n"/>
      <c r="F17" s="510" t="n"/>
      <c r="G17" s="510" t="n"/>
      <c r="H17" s="510" t="n"/>
      <c r="I17" s="510" t="n"/>
      <c r="J17" s="510" t="n"/>
      <c r="K17" s="510" t="n"/>
      <c r="L17" s="510" t="n"/>
      <c r="M17" s="510" t="n"/>
      <c r="N17" s="510" t="n"/>
      <c r="O17" s="510" t="n"/>
      <c r="P17" s="510" t="n"/>
      <c r="Q17" s="510" t="n"/>
      <c r="R17" s="510" t="n"/>
      <c r="S17" s="510" t="n"/>
      <c r="T17" s="510" t="n"/>
      <c r="U17" s="510" t="n"/>
      <c r="V17" s="510" t="n"/>
      <c r="W17" s="510" t="n"/>
      <c r="X17" s="510" t="n"/>
      <c r="Y17" s="510" t="n"/>
      <c r="Z17" s="510" t="n"/>
      <c r="AA17" s="510" t="n"/>
      <c r="AB17" s="510" t="n"/>
      <c r="AC17" s="510" t="n"/>
      <c r="AD17" s="510" t="n"/>
      <c r="AE17" s="510" t="n"/>
      <c r="AF17" s="510" t="n"/>
      <c r="AG17" s="510" t="n"/>
      <c r="AH17" s="511">
        <f>IFERROR(COUNTIF(C17:AG17,"✓")/$AL$5,0)</f>
        <v/>
      </c>
      <c r="AI17" s="485" t="n"/>
      <c r="AJ17" s="512" t="n">
        <v>16</v>
      </c>
      <c r="AK17" s="512">
        <f>IF($R$8="","",COUNTIF(R$9:R$18,"✓"))</f>
        <v/>
      </c>
      <c r="AL17" s="485" t="n"/>
    </row>
    <row r="18">
      <c r="A18" s="509" t="n"/>
      <c r="B18" s="509" t="n"/>
      <c r="C18" s="510" t="n"/>
      <c r="D18" s="510" t="n"/>
      <c r="E18" s="510" t="n"/>
      <c r="F18" s="510" t="n"/>
      <c r="G18" s="510" t="n"/>
      <c r="H18" s="510" t="n"/>
      <c r="I18" s="510" t="n"/>
      <c r="J18" s="510" t="n"/>
      <c r="K18" s="510" t="n"/>
      <c r="L18" s="510" t="n"/>
      <c r="M18" s="510" t="n"/>
      <c r="N18" s="510" t="n"/>
      <c r="O18" s="510" t="n"/>
      <c r="P18" s="510" t="n"/>
      <c r="Q18" s="510" t="n"/>
      <c r="R18" s="510" t="n"/>
      <c r="S18" s="510" t="n"/>
      <c r="T18" s="510" t="n"/>
      <c r="U18" s="510" t="n"/>
      <c r="V18" s="510" t="n"/>
      <c r="W18" s="510" t="n"/>
      <c r="X18" s="510" t="n"/>
      <c r="Y18" s="510" t="n"/>
      <c r="Z18" s="510" t="n"/>
      <c r="AA18" s="510" t="n"/>
      <c r="AB18" s="510" t="n"/>
      <c r="AC18" s="510" t="n"/>
      <c r="AD18" s="510" t="n"/>
      <c r="AE18" s="510" t="n"/>
      <c r="AF18" s="510" t="n"/>
      <c r="AG18" s="510" t="n"/>
      <c r="AH18" s="511">
        <f>IFERROR(COUNTIF(C18:AG18,"✓")/$AL$5,0)</f>
        <v/>
      </c>
      <c r="AI18" s="485" t="n"/>
      <c r="AJ18" s="512" t="n">
        <v>17</v>
      </c>
      <c r="AK18" s="512">
        <f>IF($S$8="","",COUNTIF(S$9:S$18,"✓"))</f>
        <v/>
      </c>
      <c r="AL18" s="485" t="n"/>
    </row>
    <row r="19">
      <c r="A19" s="454" t="n"/>
      <c r="B19" s="454" t="n"/>
      <c r="C19" s="454" t="n"/>
      <c r="D19" s="454" t="n"/>
      <c r="E19" s="454" t="n"/>
      <c r="F19" s="454" t="n"/>
      <c r="G19" s="454" t="n"/>
      <c r="H19" s="454" t="n"/>
      <c r="I19" s="454" t="n"/>
      <c r="J19" s="454" t="n"/>
      <c r="K19" s="454" t="n"/>
      <c r="L19" s="454" t="n"/>
      <c r="M19" s="454" t="n"/>
      <c r="N19" s="454" t="n"/>
      <c r="O19" s="454" t="n"/>
      <c r="P19" s="454" t="n"/>
      <c r="Q19" s="454" t="n"/>
      <c r="R19" s="454" t="n"/>
      <c r="S19" s="454" t="n"/>
      <c r="T19" s="454" t="n"/>
      <c r="U19" s="454" t="n"/>
      <c r="V19" s="454" t="n"/>
      <c r="W19" s="454" t="n"/>
      <c r="X19" s="454" t="n"/>
      <c r="Y19" s="454" t="n"/>
      <c r="Z19" s="454" t="n"/>
      <c r="AA19" s="454" t="n"/>
      <c r="AB19" s="454" t="n"/>
      <c r="AC19" s="454" t="n"/>
      <c r="AD19" s="454" t="n"/>
      <c r="AE19" s="454" t="n"/>
      <c r="AF19" s="454" t="n"/>
      <c r="AG19" s="454" t="n"/>
      <c r="AH19" s="454" t="n"/>
      <c r="AI19" s="454" t="n"/>
      <c r="AJ19" s="500" t="n">
        <v>18</v>
      </c>
      <c r="AK19" s="500">
        <f>IF($T$8="","",COUNTIF(T$9:T$18,"✓"))</f>
        <v/>
      </c>
      <c r="AL19" s="454" t="n"/>
    </row>
    <row r="20">
      <c r="A20" s="454" t="n"/>
      <c r="B20" s="454" t="n"/>
      <c r="C20" s="454" t="n"/>
      <c r="D20" s="454" t="n"/>
      <c r="E20" s="454" t="n"/>
      <c r="F20" s="454" t="n"/>
      <c r="G20" s="454" t="n"/>
      <c r="H20" s="454" t="n"/>
      <c r="I20" s="454" t="n"/>
      <c r="J20" s="454" t="n"/>
      <c r="K20" s="454" t="n"/>
      <c r="L20" s="454" t="n"/>
      <c r="M20" s="454" t="n"/>
      <c r="N20" s="454" t="n"/>
      <c r="O20" s="454" t="n"/>
      <c r="P20" s="454" t="n"/>
      <c r="Q20" s="454" t="n"/>
      <c r="R20" s="454" t="n"/>
      <c r="S20" s="454" t="n"/>
      <c r="T20" s="454" t="n"/>
      <c r="U20" s="454" t="n"/>
      <c r="V20" s="454" t="n"/>
      <c r="W20" s="454" t="n"/>
      <c r="X20" s="454" t="n"/>
      <c r="Y20" s="454" t="n"/>
      <c r="Z20" s="454" t="n"/>
      <c r="AA20" s="454" t="n"/>
      <c r="AB20" s="454" t="n"/>
      <c r="AC20" s="454" t="n"/>
      <c r="AD20" s="454" t="n"/>
      <c r="AE20" s="454" t="n"/>
      <c r="AF20" s="454" t="n"/>
      <c r="AG20" s="454" t="n"/>
      <c r="AH20" s="454" t="n"/>
      <c r="AI20" s="454" t="n"/>
      <c r="AJ20" s="500" t="n">
        <v>19</v>
      </c>
      <c r="AK20" s="500">
        <f>IF($U$8="","",COUNTIF(U$9:U$18,"✓"))</f>
        <v/>
      </c>
      <c r="AL20" s="454" t="n"/>
    </row>
    <row r="21">
      <c r="A21" s="454" t="n"/>
      <c r="B21" s="454" t="n"/>
      <c r="C21" s="454" t="n"/>
      <c r="D21" s="454" t="n"/>
      <c r="E21" s="454" t="n"/>
      <c r="F21" s="454" t="n"/>
      <c r="G21" s="454" t="n"/>
      <c r="H21" s="454" t="n"/>
      <c r="I21" s="454" t="n"/>
      <c r="J21" s="454" t="n"/>
      <c r="K21" s="454" t="n"/>
      <c r="L21" s="454" t="n"/>
      <c r="M21" s="454" t="n"/>
      <c r="N21" s="454" t="n"/>
      <c r="O21" s="454" t="n"/>
      <c r="P21" s="454" t="n"/>
      <c r="Q21" s="454" t="n"/>
      <c r="R21" s="454" t="n"/>
      <c r="S21" s="454" t="n"/>
      <c r="T21" s="454" t="n"/>
      <c r="U21" s="454" t="n"/>
      <c r="V21" s="454" t="n"/>
      <c r="W21" s="454" t="n"/>
      <c r="X21" s="454" t="n"/>
      <c r="Y21" s="454" t="n"/>
      <c r="Z21" s="454" t="n"/>
      <c r="AA21" s="454" t="n"/>
      <c r="AB21" s="454" t="n"/>
      <c r="AC21" s="454" t="n"/>
      <c r="AD21" s="454" t="n"/>
      <c r="AE21" s="454" t="n"/>
      <c r="AF21" s="454" t="n"/>
      <c r="AG21" s="454" t="n"/>
      <c r="AH21" s="454" t="n"/>
      <c r="AI21" s="454" t="n"/>
      <c r="AJ21" s="500" t="n">
        <v>20</v>
      </c>
      <c r="AK21" s="500">
        <f>IF($V$8="","",COUNTIF(V$9:V$18,"✓"))</f>
        <v/>
      </c>
      <c r="AL21" s="454" t="n"/>
    </row>
    <row r="22">
      <c r="A22" s="454" t="n"/>
      <c r="B22" s="454" t="n"/>
      <c r="C22" s="454" t="n"/>
      <c r="D22" s="454" t="n"/>
      <c r="E22" s="454" t="n"/>
      <c r="F22" s="454" t="n"/>
      <c r="G22" s="454" t="n"/>
      <c r="H22" s="454" t="n"/>
      <c r="I22" s="454" t="n"/>
      <c r="J22" s="454" t="n"/>
      <c r="K22" s="454" t="n"/>
      <c r="L22" s="454" t="n"/>
      <c r="M22" s="454" t="n"/>
      <c r="N22" s="454" t="n"/>
      <c r="O22" s="454" t="n"/>
      <c r="P22" s="454" t="n"/>
      <c r="Q22" s="454" t="n"/>
      <c r="R22" s="454" t="n"/>
      <c r="S22" s="454" t="n"/>
      <c r="T22" s="454" t="n"/>
      <c r="U22" s="454" t="n"/>
      <c r="V22" s="454" t="n"/>
      <c r="W22" s="454" t="n"/>
      <c r="X22" s="454" t="n"/>
      <c r="Y22" s="454" t="n"/>
      <c r="Z22" s="454" t="n"/>
      <c r="AA22" s="454" t="n"/>
      <c r="AB22" s="454" t="n"/>
      <c r="AC22" s="454" t="n"/>
      <c r="AD22" s="454" t="n"/>
      <c r="AE22" s="454" t="n"/>
      <c r="AF22" s="454" t="n"/>
      <c r="AG22" s="454" t="n"/>
      <c r="AH22" s="454" t="n"/>
      <c r="AI22" s="454" t="n"/>
      <c r="AJ22" s="500" t="n">
        <v>21</v>
      </c>
      <c r="AK22" s="500">
        <f>IF($W$8="","",COUNTIF(W$9:W$18,"✓"))</f>
        <v/>
      </c>
      <c r="AL22" s="454" t="n"/>
    </row>
    <row r="23">
      <c r="A23" s="454" t="n"/>
      <c r="B23" s="454" t="n"/>
      <c r="C23" s="454" t="n"/>
      <c r="D23" s="454" t="n"/>
      <c r="E23" s="454" t="n"/>
      <c r="F23" s="454" t="n"/>
      <c r="G23" s="454" t="n"/>
      <c r="H23" s="454" t="n"/>
      <c r="I23" s="454" t="n"/>
      <c r="J23" s="454" t="n"/>
      <c r="K23" s="454" t="n"/>
      <c r="L23" s="454" t="n"/>
      <c r="M23" s="454" t="n"/>
      <c r="N23" s="454" t="n"/>
      <c r="O23" s="454" t="n"/>
      <c r="P23" s="454" t="n"/>
      <c r="Q23" s="454" t="n"/>
      <c r="R23" s="454" t="n"/>
      <c r="S23" s="454" t="n"/>
      <c r="T23" s="454" t="n"/>
      <c r="U23" s="454" t="n"/>
      <c r="V23" s="454" t="n"/>
      <c r="W23" s="454" t="n"/>
      <c r="X23" s="454" t="n"/>
      <c r="Y23" s="454" t="n"/>
      <c r="Z23" s="454" t="n"/>
      <c r="AA23" s="454" t="n"/>
      <c r="AB23" s="454" t="n"/>
      <c r="AC23" s="454" t="n"/>
      <c r="AD23" s="454" t="n"/>
      <c r="AE23" s="454" t="n"/>
      <c r="AF23" s="454" t="n"/>
      <c r="AG23" s="454" t="n"/>
      <c r="AH23" s="454" t="n"/>
      <c r="AI23" s="454" t="n"/>
      <c r="AJ23" s="500" t="n">
        <v>22</v>
      </c>
      <c r="AK23" s="500">
        <f>IF($X$8="","",COUNTIF(X$9:X$18,"✓"))</f>
        <v/>
      </c>
      <c r="AL23" s="454" t="n"/>
    </row>
    <row r="24">
      <c r="A24" s="454" t="n"/>
      <c r="B24" s="454" t="n"/>
      <c r="C24" s="454" t="n"/>
      <c r="D24" s="454" t="n"/>
      <c r="E24" s="454" t="n"/>
      <c r="F24" s="454" t="n"/>
      <c r="G24" s="454" t="n"/>
      <c r="H24" s="454" t="n"/>
      <c r="I24" s="454" t="n"/>
      <c r="J24" s="454" t="n"/>
      <c r="K24" s="454" t="n"/>
      <c r="L24" s="454" t="n"/>
      <c r="M24" s="454" t="n"/>
      <c r="N24" s="454" t="n"/>
      <c r="O24" s="454" t="n"/>
      <c r="P24" s="454" t="n"/>
      <c r="Q24" s="454" t="n"/>
      <c r="R24" s="454" t="n"/>
      <c r="S24" s="454" t="n"/>
      <c r="T24" s="454" t="n"/>
      <c r="U24" s="454" t="n"/>
      <c r="V24" s="454" t="n"/>
      <c r="W24" s="454" t="n"/>
      <c r="X24" s="454" t="n"/>
      <c r="Y24" s="454" t="n"/>
      <c r="Z24" s="454" t="n"/>
      <c r="AA24" s="454" t="n"/>
      <c r="AB24" s="454" t="n"/>
      <c r="AC24" s="454" t="n"/>
      <c r="AD24" s="454" t="n"/>
      <c r="AE24" s="454" t="n"/>
      <c r="AF24" s="454" t="n"/>
      <c r="AG24" s="454" t="n"/>
      <c r="AH24" s="454" t="n"/>
      <c r="AI24" s="454" t="n"/>
      <c r="AJ24" s="500" t="n">
        <v>23</v>
      </c>
      <c r="AK24" s="500">
        <f>IF($Y$8="","",COUNTIF(Y$9:Y$18,"✓"))</f>
        <v/>
      </c>
      <c r="AL24" s="454" t="n"/>
    </row>
    <row r="25">
      <c r="A25" s="454" t="n"/>
      <c r="B25" s="454" t="n"/>
      <c r="C25" s="454" t="n"/>
      <c r="D25" s="454" t="n"/>
      <c r="E25" s="454" t="n"/>
      <c r="F25" s="454" t="n"/>
      <c r="G25" s="454" t="n"/>
      <c r="H25" s="454" t="n"/>
      <c r="I25" s="454" t="n"/>
      <c r="J25" s="454" t="n"/>
      <c r="K25" s="454" t="n"/>
      <c r="L25" s="454" t="n"/>
      <c r="M25" s="454" t="n"/>
      <c r="N25" s="454" t="n"/>
      <c r="O25" s="454" t="n"/>
      <c r="P25" s="454" t="n"/>
      <c r="Q25" s="454" t="n"/>
      <c r="R25" s="454" t="n"/>
      <c r="S25" s="454" t="n"/>
      <c r="T25" s="454" t="n"/>
      <c r="U25" s="454" t="n"/>
      <c r="V25" s="454" t="n"/>
      <c r="W25" s="454" t="n"/>
      <c r="X25" s="454" t="n"/>
      <c r="Y25" s="454" t="n"/>
      <c r="Z25" s="454" t="n"/>
      <c r="AA25" s="454" t="n"/>
      <c r="AB25" s="454" t="n"/>
      <c r="AC25" s="454" t="n"/>
      <c r="AD25" s="454" t="n"/>
      <c r="AE25" s="454" t="n"/>
      <c r="AF25" s="454" t="n"/>
      <c r="AG25" s="454" t="n"/>
      <c r="AH25" s="454" t="n"/>
      <c r="AI25" s="454" t="n"/>
      <c r="AJ25" s="500" t="n">
        <v>24</v>
      </c>
      <c r="AK25" s="500">
        <f>IF($Z$8="","",COUNTIF(Z$9:Z$18,"✓"))</f>
        <v/>
      </c>
      <c r="AL25" s="454" t="n"/>
    </row>
    <row r="26">
      <c r="A26" s="454" t="n"/>
      <c r="B26" s="454" t="n"/>
      <c r="C26" s="454" t="n"/>
      <c r="D26" s="454" t="n"/>
      <c r="E26" s="454" t="n"/>
      <c r="F26" s="454" t="n"/>
      <c r="G26" s="454" t="n"/>
      <c r="H26" s="454" t="n"/>
      <c r="I26" s="454" t="n"/>
      <c r="J26" s="454" t="n"/>
      <c r="K26" s="454" t="n"/>
      <c r="L26" s="454" t="n"/>
      <c r="M26" s="454" t="n"/>
      <c r="N26" s="454" t="n"/>
      <c r="O26" s="454" t="n"/>
      <c r="P26" s="454" t="n"/>
      <c r="Q26" s="454" t="n"/>
      <c r="R26" s="454" t="n"/>
      <c r="S26" s="454" t="n"/>
      <c r="T26" s="454" t="n"/>
      <c r="U26" s="454" t="n"/>
      <c r="V26" s="454" t="n"/>
      <c r="W26" s="454" t="n"/>
      <c r="X26" s="454" t="n"/>
      <c r="Y26" s="454" t="n"/>
      <c r="Z26" s="454" t="n"/>
      <c r="AA26" s="454" t="n"/>
      <c r="AB26" s="454" t="n"/>
      <c r="AC26" s="454" t="n"/>
      <c r="AD26" s="454" t="n"/>
      <c r="AE26" s="454" t="n"/>
      <c r="AF26" s="454" t="n"/>
      <c r="AG26" s="454" t="n"/>
      <c r="AH26" s="454" t="n"/>
      <c r="AI26" s="454" t="n"/>
      <c r="AJ26" s="500" t="n">
        <v>25</v>
      </c>
      <c r="AK26" s="500">
        <f>IF($AA$8="","",COUNTIF(AA$9:AA$18,"✓"))</f>
        <v/>
      </c>
      <c r="AL26" s="454" t="n"/>
    </row>
    <row r="27">
      <c r="A27" s="454" t="n"/>
      <c r="B27" s="454" t="n"/>
      <c r="C27" s="454" t="n"/>
      <c r="D27" s="454" t="n"/>
      <c r="E27" s="454" t="n"/>
      <c r="F27" s="454" t="n"/>
      <c r="G27" s="454" t="n"/>
      <c r="H27" s="454" t="n"/>
      <c r="I27" s="454" t="n"/>
      <c r="J27" s="454" t="n"/>
      <c r="K27" s="454" t="n"/>
      <c r="L27" s="454" t="n"/>
      <c r="M27" s="454" t="n"/>
      <c r="N27" s="454" t="n"/>
      <c r="O27" s="454" t="n"/>
      <c r="P27" s="454" t="n"/>
      <c r="Q27" s="454" t="n"/>
      <c r="R27" s="454" t="n"/>
      <c r="S27" s="454" t="n"/>
      <c r="T27" s="454" t="n"/>
      <c r="U27" s="454" t="n"/>
      <c r="V27" s="454" t="n"/>
      <c r="W27" s="454" t="n"/>
      <c r="X27" s="454" t="n"/>
      <c r="Y27" s="454" t="n"/>
      <c r="Z27" s="454" t="n"/>
      <c r="AA27" s="454" t="n"/>
      <c r="AB27" s="454" t="n"/>
      <c r="AC27" s="454" t="n"/>
      <c r="AD27" s="454" t="n"/>
      <c r="AE27" s="454" t="n"/>
      <c r="AF27" s="454" t="n"/>
      <c r="AG27" s="454" t="n"/>
      <c r="AH27" s="454" t="n"/>
      <c r="AI27" s="454" t="n"/>
      <c r="AJ27" s="500" t="n">
        <v>26</v>
      </c>
      <c r="AK27" s="500">
        <f>IF($AB$8="","",COUNTIF(AB$9:AB$18,"✓"))</f>
        <v/>
      </c>
      <c r="AL27" s="454" t="n"/>
    </row>
    <row r="28">
      <c r="A28" s="454" t="n"/>
      <c r="B28" s="454" t="n"/>
      <c r="C28" s="454" t="n"/>
      <c r="D28" s="454" t="n"/>
      <c r="E28" s="454" t="n"/>
      <c r="F28" s="454" t="n"/>
      <c r="G28" s="454" t="n"/>
      <c r="H28" s="454" t="n"/>
      <c r="I28" s="454" t="n"/>
      <c r="J28" s="454" t="n"/>
      <c r="K28" s="454" t="n"/>
      <c r="L28" s="454" t="n"/>
      <c r="M28" s="454" t="n"/>
      <c r="N28" s="454" t="n"/>
      <c r="O28" s="454" t="n"/>
      <c r="P28" s="454" t="n"/>
      <c r="Q28" s="454" t="n"/>
      <c r="R28" s="454" t="n"/>
      <c r="S28" s="454" t="n"/>
      <c r="T28" s="454" t="n"/>
      <c r="U28" s="454" t="n"/>
      <c r="V28" s="454" t="n"/>
      <c r="W28" s="454" t="n"/>
      <c r="X28" s="454" t="n"/>
      <c r="Y28" s="454" t="n"/>
      <c r="Z28" s="454" t="n"/>
      <c r="AA28" s="454" t="n"/>
      <c r="AB28" s="454" t="n"/>
      <c r="AC28" s="454" t="n"/>
      <c r="AD28" s="454" t="n"/>
      <c r="AE28" s="454" t="n"/>
      <c r="AF28" s="454" t="n"/>
      <c r="AG28" s="454" t="n"/>
      <c r="AH28" s="454" t="n"/>
      <c r="AI28" s="454" t="n"/>
      <c r="AJ28" s="500" t="n">
        <v>27</v>
      </c>
      <c r="AK28" s="500">
        <f>IF($AC$8="","",COUNTIF(AC$9:AC$18,"✓"))</f>
        <v/>
      </c>
      <c r="AL28" s="454" t="n"/>
    </row>
    <row r="29">
      <c r="A29" s="454" t="n"/>
      <c r="B29" s="454" t="n"/>
      <c r="C29" s="454" t="n"/>
      <c r="D29" s="454" t="n"/>
      <c r="E29" s="454" t="n"/>
      <c r="F29" s="454" t="n"/>
      <c r="G29" s="454" t="n"/>
      <c r="H29" s="454" t="n"/>
      <c r="I29" s="454" t="n"/>
      <c r="J29" s="454" t="n"/>
      <c r="K29" s="454" t="n"/>
      <c r="L29" s="454" t="n"/>
      <c r="M29" s="454" t="n"/>
      <c r="N29" s="454" t="n"/>
      <c r="O29" s="454" t="n"/>
      <c r="P29" s="454" t="n"/>
      <c r="Q29" s="454" t="n"/>
      <c r="R29" s="454" t="n"/>
      <c r="S29" s="454" t="n"/>
      <c r="T29" s="454" t="n"/>
      <c r="U29" s="454" t="n"/>
      <c r="V29" s="454" t="n"/>
      <c r="W29" s="454" t="n"/>
      <c r="X29" s="454" t="n"/>
      <c r="Y29" s="454" t="n"/>
      <c r="Z29" s="454" t="n"/>
      <c r="AA29" s="454" t="n"/>
      <c r="AB29" s="454" t="n"/>
      <c r="AC29" s="454" t="n"/>
      <c r="AD29" s="454" t="n"/>
      <c r="AE29" s="454" t="n"/>
      <c r="AF29" s="454" t="n"/>
      <c r="AG29" s="454" t="n"/>
      <c r="AH29" s="454" t="n"/>
      <c r="AI29" s="454" t="n"/>
      <c r="AJ29" s="500" t="n">
        <v>28</v>
      </c>
      <c r="AK29" s="500">
        <f>IF($AD$8="","",COUNTIF(AD$9:AD$18,"✓"))</f>
        <v/>
      </c>
      <c r="AL29" s="454" t="n"/>
    </row>
    <row r="30">
      <c r="A30" s="454" t="n"/>
      <c r="B30" s="454" t="n"/>
      <c r="C30" s="454" t="n"/>
      <c r="D30" s="454" t="n"/>
      <c r="E30" s="454" t="n"/>
      <c r="F30" s="454" t="n"/>
      <c r="G30" s="454" t="n"/>
      <c r="H30" s="454" t="n"/>
      <c r="I30" s="454" t="n"/>
      <c r="J30" s="454" t="n"/>
      <c r="K30" s="454" t="n"/>
      <c r="L30" s="454" t="n"/>
      <c r="M30" s="454" t="n"/>
      <c r="N30" s="454" t="n"/>
      <c r="O30" s="454" t="n"/>
      <c r="P30" s="454" t="n"/>
      <c r="Q30" s="454" t="n"/>
      <c r="R30" s="454" t="n"/>
      <c r="S30" s="454" t="n"/>
      <c r="T30" s="454" t="n"/>
      <c r="U30" s="454" t="n"/>
      <c r="V30" s="454" t="n"/>
      <c r="W30" s="454" t="n"/>
      <c r="X30" s="454" t="n"/>
      <c r="Y30" s="454" t="n"/>
      <c r="Z30" s="454" t="n"/>
      <c r="AA30" s="454" t="n"/>
      <c r="AB30" s="454" t="n"/>
      <c r="AC30" s="454" t="n"/>
      <c r="AD30" s="454" t="n"/>
      <c r="AE30" s="454" t="n"/>
      <c r="AF30" s="454" t="n"/>
      <c r="AG30" s="454" t="n"/>
      <c r="AH30" s="454" t="n"/>
      <c r="AI30" s="454" t="n"/>
      <c r="AJ30" s="500" t="n">
        <v>29</v>
      </c>
      <c r="AK30" s="500">
        <f>IF($AE$8="","",COUNTIF(AE$9:AE$18,"✓"))</f>
        <v/>
      </c>
      <c r="AL30" s="454" t="n"/>
    </row>
    <row r="31">
      <c r="A31" s="454" t="n"/>
      <c r="B31" s="454" t="n"/>
      <c r="C31" s="454" t="n"/>
      <c r="D31" s="454" t="n"/>
      <c r="E31" s="454" t="n"/>
      <c r="F31" s="454" t="n"/>
      <c r="G31" s="454" t="n"/>
      <c r="H31" s="454" t="n"/>
      <c r="I31" s="454" t="n"/>
      <c r="J31" s="454" t="n"/>
      <c r="K31" s="454" t="n"/>
      <c r="L31" s="454" t="n"/>
      <c r="M31" s="454" t="n"/>
      <c r="N31" s="454" t="n"/>
      <c r="O31" s="454" t="n"/>
      <c r="P31" s="454" t="n"/>
      <c r="Q31" s="454" t="n"/>
      <c r="R31" s="454" t="n"/>
      <c r="S31" s="454" t="n"/>
      <c r="T31" s="454" t="n"/>
      <c r="U31" s="454" t="n"/>
      <c r="V31" s="454" t="n"/>
      <c r="W31" s="454" t="n"/>
      <c r="X31" s="454" t="n"/>
      <c r="Y31" s="454" t="n"/>
      <c r="Z31" s="454" t="n"/>
      <c r="AA31" s="454" t="n"/>
      <c r="AB31" s="454" t="n"/>
      <c r="AC31" s="454" t="n"/>
      <c r="AD31" s="454" t="n"/>
      <c r="AE31" s="454" t="n"/>
      <c r="AF31" s="454" t="n"/>
      <c r="AG31" s="454" t="n"/>
      <c r="AH31" s="454" t="n"/>
      <c r="AI31" s="454" t="n"/>
      <c r="AJ31" s="500" t="n">
        <v>30</v>
      </c>
      <c r="AK31" s="500">
        <f>IF($AF$8="","",COUNTIF(AF$9:AF$18,"✓"))</f>
        <v/>
      </c>
      <c r="AL31" s="454" t="n"/>
    </row>
    <row r="32">
      <c r="A32" s="454" t="n"/>
      <c r="B32" s="454" t="n"/>
      <c r="C32" s="454" t="n"/>
      <c r="D32" s="454" t="n"/>
      <c r="E32" s="454" t="n"/>
      <c r="F32" s="454" t="n"/>
      <c r="G32" s="454" t="n"/>
      <c r="H32" s="454" t="n"/>
      <c r="I32" s="454" t="n"/>
      <c r="J32" s="454" t="n"/>
      <c r="K32" s="454" t="n"/>
      <c r="L32" s="454" t="n"/>
      <c r="M32" s="454" t="n"/>
      <c r="N32" s="454" t="n"/>
      <c r="O32" s="454" t="n"/>
      <c r="P32" s="454" t="n"/>
      <c r="Q32" s="454" t="n"/>
      <c r="R32" s="454" t="n"/>
      <c r="S32" s="454" t="n"/>
      <c r="T32" s="454" t="n"/>
      <c r="U32" s="454" t="n"/>
      <c r="V32" s="454" t="n"/>
      <c r="W32" s="454" t="n"/>
      <c r="X32" s="454" t="n"/>
      <c r="Y32" s="454" t="n"/>
      <c r="Z32" s="454" t="n"/>
      <c r="AA32" s="454" t="n"/>
      <c r="AB32" s="454" t="n"/>
      <c r="AC32" s="454" t="n"/>
      <c r="AD32" s="454" t="n"/>
      <c r="AE32" s="454" t="n"/>
      <c r="AF32" s="454" t="n"/>
      <c r="AG32" s="454" t="n"/>
      <c r="AH32" s="454" t="n"/>
      <c r="AI32" s="454" t="n"/>
      <c r="AJ32" s="500" t="n">
        <v>31</v>
      </c>
      <c r="AK32" s="500">
        <f>IF($AG$8="","",COUNTIF(AG$9:AG$18,"✓"))</f>
        <v/>
      </c>
      <c r="AL32" s="454" t="n"/>
    </row>
    <row r="33">
      <c r="A33" s="454" t="n"/>
      <c r="B33" s="454" t="n"/>
      <c r="C33" s="454" t="n"/>
      <c r="D33" s="454" t="n"/>
      <c r="E33" s="454" t="n"/>
      <c r="F33" s="454" t="n"/>
      <c r="G33" s="454" t="n"/>
      <c r="H33" s="454" t="n"/>
      <c r="I33" s="454" t="n"/>
      <c r="J33" s="454" t="n"/>
      <c r="K33" s="454" t="n"/>
      <c r="L33" s="454" t="n"/>
      <c r="M33" s="454" t="n"/>
      <c r="N33" s="454" t="n"/>
      <c r="O33" s="454" t="n"/>
      <c r="P33" s="454" t="n"/>
      <c r="Q33" s="454" t="n"/>
      <c r="R33" s="454" t="n"/>
      <c r="S33" s="454" t="n"/>
      <c r="T33" s="454" t="n"/>
      <c r="U33" s="454" t="n"/>
      <c r="V33" s="454" t="n"/>
      <c r="W33" s="454" t="n"/>
      <c r="X33" s="454" t="n"/>
      <c r="Y33" s="454" t="n"/>
      <c r="Z33" s="454" t="n"/>
      <c r="AA33" s="454" t="n"/>
      <c r="AB33" s="454" t="n"/>
      <c r="AC33" s="454" t="n"/>
      <c r="AD33" s="454" t="n"/>
      <c r="AE33" s="454" t="n"/>
      <c r="AF33" s="454" t="n"/>
      <c r="AG33" s="454" t="n"/>
      <c r="AH33" s="454" t="n"/>
      <c r="AI33" s="454" t="n"/>
      <c r="AJ33" s="454" t="n"/>
      <c r="AK33" s="454" t="n"/>
      <c r="AL33" s="454" t="n"/>
    </row>
    <row r="34">
      <c r="A34" s="454" t="n"/>
      <c r="B34" s="454" t="n"/>
      <c r="C34" s="454" t="n"/>
      <c r="D34" s="454" t="n"/>
      <c r="E34" s="454" t="n"/>
      <c r="F34" s="454" t="n"/>
      <c r="G34" s="454" t="n"/>
      <c r="H34" s="454" t="n"/>
      <c r="I34" s="454" t="n"/>
      <c r="J34" s="454" t="n"/>
      <c r="K34" s="454" t="n"/>
      <c r="L34" s="454" t="n"/>
      <c r="M34" s="454" t="n"/>
      <c r="N34" s="454" t="n"/>
      <c r="O34" s="454" t="n"/>
      <c r="P34" s="454" t="n"/>
      <c r="Q34" s="454" t="n"/>
      <c r="R34" s="454" t="n"/>
      <c r="S34" s="454" t="n"/>
      <c r="T34" s="454" t="n"/>
      <c r="U34" s="454" t="n"/>
      <c r="V34" s="454" t="n"/>
      <c r="W34" s="454" t="n"/>
      <c r="X34" s="454" t="n"/>
      <c r="Y34" s="454" t="n"/>
      <c r="Z34" s="454" t="n"/>
      <c r="AA34" s="454" t="n"/>
      <c r="AB34" s="454" t="n"/>
      <c r="AC34" s="454" t="n"/>
      <c r="AD34" s="454" t="n"/>
      <c r="AE34" s="454" t="n"/>
      <c r="AF34" s="454" t="n"/>
      <c r="AG34" s="454" t="n"/>
      <c r="AH34" s="454" t="n"/>
      <c r="AI34" s="454" t="n"/>
      <c r="AJ34" s="454" t="n"/>
      <c r="AK34" s="454" t="n"/>
      <c r="AL34" s="454" t="n"/>
    </row>
    <row r="35">
      <c r="A35" s="454" t="n"/>
      <c r="B35" s="454" t="n"/>
      <c r="C35" s="454" t="n"/>
      <c r="D35" s="454" t="n"/>
      <c r="E35" s="454" t="n"/>
      <c r="F35" s="454" t="n"/>
      <c r="G35" s="454" t="n"/>
      <c r="H35" s="454" t="n"/>
      <c r="I35" s="454" t="n"/>
      <c r="J35" s="454" t="n"/>
      <c r="K35" s="454" t="n"/>
      <c r="L35" s="454" t="n"/>
      <c r="M35" s="454" t="n"/>
      <c r="N35" s="454" t="n"/>
      <c r="O35" s="454" t="n"/>
      <c r="P35" s="454" t="n"/>
      <c r="Q35" s="454" t="n"/>
      <c r="R35" s="454" t="n"/>
      <c r="S35" s="454" t="n"/>
      <c r="T35" s="454" t="n"/>
      <c r="U35" s="454" t="n"/>
      <c r="V35" s="454" t="n"/>
      <c r="W35" s="454" t="n"/>
      <c r="X35" s="454" t="n"/>
      <c r="Y35" s="454" t="n"/>
      <c r="Z35" s="454" t="n"/>
      <c r="AA35" s="454" t="n"/>
      <c r="AB35" s="454" t="n"/>
      <c r="AC35" s="454" t="n"/>
      <c r="AD35" s="454" t="n"/>
      <c r="AE35" s="454" t="n"/>
      <c r="AF35" s="454" t="n"/>
      <c r="AG35" s="454" t="n"/>
      <c r="AH35" s="454" t="n"/>
      <c r="AI35" s="454" t="n"/>
      <c r="AJ35" s="454" t="n"/>
      <c r="AK35" s="454" t="n"/>
      <c r="AL35" s="454" t="n"/>
    </row>
    <row r="36">
      <c r="A36" s="454" t="n"/>
      <c r="B36" s="454" t="n"/>
      <c r="C36" s="454" t="n"/>
      <c r="D36" s="454" t="n"/>
      <c r="E36" s="454" t="n"/>
      <c r="F36" s="454" t="n"/>
      <c r="G36" s="454" t="n"/>
      <c r="H36" s="454" t="n"/>
      <c r="I36" s="454" t="n"/>
      <c r="J36" s="454" t="n"/>
      <c r="K36" s="454" t="n"/>
      <c r="L36" s="454" t="n"/>
      <c r="M36" s="454" t="n"/>
      <c r="N36" s="454" t="n"/>
      <c r="O36" s="454" t="n"/>
      <c r="P36" s="454" t="n"/>
      <c r="Q36" s="454" t="n"/>
      <c r="R36" s="454" t="n"/>
      <c r="S36" s="454" t="n"/>
      <c r="T36" s="454" t="n"/>
      <c r="U36" s="454" t="n"/>
      <c r="V36" s="454" t="n"/>
      <c r="W36" s="454" t="n"/>
      <c r="X36" s="454" t="n"/>
      <c r="Y36" s="454" t="n"/>
      <c r="Z36" s="454" t="n"/>
      <c r="AA36" s="454" t="n"/>
      <c r="AB36" s="454" t="n"/>
      <c r="AC36" s="454" t="n"/>
      <c r="AD36" s="454" t="n"/>
      <c r="AE36" s="454" t="n"/>
      <c r="AF36" s="454" t="n"/>
      <c r="AG36" s="454" t="n"/>
      <c r="AH36" s="454" t="n"/>
      <c r="AI36" s="454" t="n"/>
      <c r="AJ36" s="454" t="n"/>
      <c r="AK36" s="454" t="n"/>
      <c r="AL36" s="454" t="n"/>
    </row>
    <row r="37">
      <c r="A37" s="454" t="n"/>
      <c r="B37" s="454" t="n"/>
      <c r="C37" s="454" t="n"/>
      <c r="D37" s="454" t="n"/>
      <c r="E37" s="454" t="n"/>
      <c r="F37" s="454" t="n"/>
      <c r="G37" s="454" t="n"/>
      <c r="H37" s="454" t="n"/>
      <c r="I37" s="454" t="n"/>
      <c r="J37" s="454" t="n"/>
      <c r="K37" s="454" t="n"/>
      <c r="L37" s="454" t="n"/>
      <c r="M37" s="454" t="n"/>
      <c r="N37" s="454" t="n"/>
      <c r="O37" s="454" t="n"/>
      <c r="P37" s="454" t="n"/>
      <c r="Q37" s="454" t="n"/>
      <c r="R37" s="454" t="n"/>
      <c r="S37" s="454" t="n"/>
      <c r="T37" s="454" t="n"/>
      <c r="U37" s="454" t="n"/>
      <c r="V37" s="454" t="n"/>
      <c r="W37" s="454" t="n"/>
      <c r="X37" s="454" t="n"/>
      <c r="Y37" s="454" t="n"/>
      <c r="Z37" s="454" t="n"/>
      <c r="AA37" s="454" t="n"/>
      <c r="AB37" s="454" t="n"/>
      <c r="AC37" s="454" t="n"/>
      <c r="AD37" s="454" t="n"/>
      <c r="AE37" s="454" t="n"/>
      <c r="AF37" s="454" t="n"/>
      <c r="AG37" s="454" t="n"/>
      <c r="AH37" s="454" t="n"/>
      <c r="AI37" s="454" t="n"/>
      <c r="AJ37" s="454" t="n"/>
      <c r="AK37" s="454" t="n"/>
      <c r="AL37" s="454" t="n"/>
    </row>
  </sheetData>
  <sheetProtection selectLockedCells="0" selectUnlockedCells="0" sheet="1" objects="1" insertRows="1" insertHyperlinks="1" autoFilter="0" scenarios="1" formatColumns="1" deleteColumns="1" insertColumns="1" pivotTables="1" deleteRows="1" formatCells="0" formatRows="1" sort="0"/>
  <mergeCells count="4">
    <mergeCell ref="A2:AG2"/>
    <mergeCell ref="D5:F6"/>
    <mergeCell ref="A1:AG1"/>
    <mergeCell ref="D4:F4"/>
  </mergeCells>
  <conditionalFormatting sqref="C9:AG18">
    <cfRule type="cellIs" priority="1" operator="equal" dxfId="0">
      <formula>"✓"</formula>
    </cfRule>
  </conditionalFormatting>
  <conditionalFormatting sqref="AH9:AH18">
    <cfRule type="dataBar" priority="2">
      <dataBar>
        <cfvo type="min"/>
        <cfvo type="max"/>
        <color rgb="FFC8D8C4"/>
      </dataBar>
    </cfRule>
  </conditionalFormatting>
  <dataValidations count="2">
    <dataValidation sqref="C9:AG18" showDropDown="0" showInputMessage="1" showErrorMessage="1" allowBlank="1" type="list">
      <formula1>"✓, "</formula1>
    </dataValidation>
    <dataValidation sqref="B4" showDropDown="0" showInputMessage="1" showErrorMessage="1" allowBlank="1" type="list">
      <formula1>MonthList</formula1>
    </dataValidation>
  </dataValidations>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tabColor rgb="00D9D0E8"/>
    <outlinePr summaryBelow="1" summaryRight="1"/>
    <pageSetUpPr/>
  </sheetPr>
  <dimension ref="A1:G25"/>
  <sheetViews>
    <sheetView showGridLines="0" workbookViewId="0">
      <selection activeCell="A1" sqref="A1"/>
    </sheetView>
  </sheetViews>
  <sheetFormatPr baseColWidth="8" defaultRowHeight="15"/>
  <cols>
    <col width="3" customWidth="1" style="232" min="1" max="1"/>
    <col width="20" customWidth="1" style="232" min="2" max="2"/>
    <col width="20" customWidth="1" style="232" min="3" max="3"/>
    <col width="20" customWidth="1" style="232" min="4" max="4"/>
    <col width="20" customWidth="1" style="232" min="5" max="5"/>
    <col width="20" customWidth="1" style="232" min="6" max="6"/>
    <col width="3" customWidth="1" style="232" min="7" max="7"/>
  </cols>
  <sheetData>
    <row r="1" ht="42" customHeight="1" s="232">
      <c r="A1" s="513" t="inlineStr">
        <is>
          <t>✨ Monthly Reflection</t>
        </is>
      </c>
      <c r="B1" s="480" t="n"/>
      <c r="C1" s="480" t="n"/>
      <c r="D1" s="480" t="n"/>
      <c r="E1" s="480" t="n"/>
      <c r="F1" s="480" t="n"/>
      <c r="G1" s="480" t="n"/>
    </row>
    <row r="2" ht="30" customHeight="1" s="232">
      <c r="A2" s="251" t="inlineStr">
        <is>
          <t>Four gentle questions to close out the month. No scores, no grades, just a soft look back before you begin again.</t>
        </is>
      </c>
    </row>
    <row r="4">
      <c r="B4" s="262" t="inlineStr">
        <is>
          <t>Month</t>
        </is>
      </c>
      <c r="C4" s="435" t="n"/>
    </row>
    <row r="6" ht="24" customHeight="1" s="232">
      <c r="B6" s="514" t="inlineStr">
        <is>
          <t>1.  What felt good about my money this month?</t>
        </is>
      </c>
    </row>
    <row r="7" ht="26" customHeight="1" s="232">
      <c r="B7" s="515" t="n"/>
      <c r="C7" s="516" t="n"/>
      <c r="D7" s="516" t="n"/>
      <c r="E7" s="516" t="n"/>
      <c r="F7" s="516" t="n"/>
    </row>
    <row r="8" ht="26" customHeight="1" s="232">
      <c r="B8" s="516" t="n"/>
      <c r="C8" s="516" t="n"/>
      <c r="D8" s="516" t="n"/>
      <c r="E8" s="516" t="n"/>
      <c r="F8" s="516" t="n"/>
    </row>
    <row r="10" ht="24" customHeight="1" s="232">
      <c r="B10" s="514" t="inlineStr">
        <is>
          <t>2.  What did I notice about my spending? (just noticing, no judgement)</t>
        </is>
      </c>
    </row>
    <row r="11" ht="26" customHeight="1" s="232">
      <c r="B11" s="515" t="n"/>
      <c r="C11" s="516" t="n"/>
      <c r="D11" s="516" t="n"/>
      <c r="E11" s="516" t="n"/>
      <c r="F11" s="516" t="n"/>
    </row>
    <row r="12" ht="26" customHeight="1" s="232">
      <c r="B12" s="516" t="n"/>
      <c r="C12" s="516" t="n"/>
      <c r="D12" s="516" t="n"/>
      <c r="E12" s="516" t="n"/>
      <c r="F12" s="516" t="n"/>
    </row>
    <row r="14" ht="24" customHeight="1" s="232">
      <c r="B14" s="514" t="inlineStr">
        <is>
          <t>3.  What is one small, kind thing I want to try next month?</t>
        </is>
      </c>
    </row>
    <row r="15" ht="26" customHeight="1" s="232">
      <c r="B15" s="515" t="n"/>
      <c r="C15" s="516" t="n"/>
      <c r="D15" s="516" t="n"/>
      <c r="E15" s="516" t="n"/>
      <c r="F15" s="516" t="n"/>
    </row>
    <row r="16" ht="26" customHeight="1" s="232">
      <c r="B16" s="516" t="n"/>
      <c r="C16" s="516" t="n"/>
      <c r="D16" s="516" t="n"/>
      <c r="E16" s="516" t="n"/>
      <c r="F16" s="516" t="n"/>
    </row>
    <row r="18" ht="24" customHeight="1" s="232">
      <c r="B18" s="514" t="inlineStr">
        <is>
          <t>4.  What am I proud of this month, money or otherwise?</t>
        </is>
      </c>
    </row>
    <row r="19" ht="26" customHeight="1" s="232">
      <c r="B19" s="515" t="n"/>
      <c r="C19" s="516" t="n"/>
      <c r="D19" s="516" t="n"/>
      <c r="E19" s="516" t="n"/>
      <c r="F19" s="516" t="n"/>
    </row>
    <row r="20" ht="26" customHeight="1" s="232">
      <c r="B20" s="516" t="n"/>
      <c r="C20" s="516" t="n"/>
      <c r="D20" s="516" t="n"/>
      <c r="E20" s="516" t="n"/>
      <c r="F20" s="516" t="n"/>
    </row>
    <row r="22" ht="28" customHeight="1" s="232">
      <c r="B22" s="517" t="inlineStr">
        <is>
          <t>🤍  Life Happens</t>
        </is>
      </c>
    </row>
    <row r="23" ht="28" customHeight="1" s="232">
      <c r="B23" s="518" t="inlineStr">
        <is>
          <t>If this month went sideways, you overspent, you stopped logging, life got loud, that is completely okay. Nothing is broken. You have not failed. Take a breath, start a new month tab whenever you are ready, and pick up exactly where you are. This tool waits for you, without judgement. Always.</t>
        </is>
      </c>
      <c r="C23" s="519" t="n"/>
      <c r="D23" s="519" t="n"/>
      <c r="E23" s="519" t="n"/>
      <c r="F23" s="519" t="n"/>
    </row>
    <row r="24" ht="28" customHeight="1" s="232">
      <c r="B24" s="519" t="n"/>
      <c r="C24" s="519" t="n"/>
      <c r="D24" s="519" t="n"/>
      <c r="E24" s="519" t="n"/>
      <c r="F24" s="519" t="n"/>
    </row>
    <row r="25" ht="28" customHeight="1" s="232">
      <c r="B25" s="519" t="n"/>
      <c r="C25" s="519" t="n"/>
      <c r="D25" s="519" t="n"/>
      <c r="E25" s="519" t="n"/>
      <c r="F25" s="519" t="n"/>
    </row>
  </sheetData>
  <sheetProtection selectLockedCells="0" selectUnlockedCells="0" sheet="1" objects="0" insertRows="1" insertHyperlinks="1" autoFilter="1" scenarios="0" formatColumns="1" deleteColumns="1" insertColumns="1" pivotTables="1" deleteRows="1" formatCells="0" formatRows="1" sort="1"/>
  <mergeCells count="12">
    <mergeCell ref="A1:G1"/>
    <mergeCell ref="B6:F6"/>
    <mergeCell ref="B7:F8"/>
    <mergeCell ref="B10:F10"/>
    <mergeCell ref="B11:F12"/>
    <mergeCell ref="B19:F20"/>
    <mergeCell ref="A2:G2"/>
    <mergeCell ref="B15:F16"/>
    <mergeCell ref="B22:F22"/>
    <mergeCell ref="B14:F14"/>
    <mergeCell ref="B23:F25"/>
    <mergeCell ref="B18:F18"/>
  </mergeCells>
  <dataValidations count="1">
    <dataValidation sqref="C4" showDropDown="0" showInputMessage="0" showErrorMessage="0" allowBlank="1" type="list">
      <formula1>MonthList</formula1>
    </dataValidation>
  </dataValidations>
  <pageMargins left="0.75" right="0.75" top="1" bottom="1" header="0.5" footer="0.5"/>
</worksheet>
</file>

<file path=xl/worksheets/sheet14.xml><?xml version="1.0" encoding="utf-8"?>
<worksheet xmlns="http://schemas.openxmlformats.org/spreadsheetml/2006/main">
  <sheetPr>
    <tabColor rgb="00C9DDE8"/>
    <outlinePr summaryBelow="1" summaryRight="1"/>
    <pageSetUpPr fitToPage="1"/>
  </sheetPr>
  <dimension ref="A1:Z211"/>
  <sheetViews>
    <sheetView showGridLines="0" zoomScale="70" zoomScaleNormal="70" workbookViewId="0">
      <selection activeCell="C7" sqref="C7"/>
    </sheetView>
  </sheetViews>
  <sheetFormatPr baseColWidth="8" defaultRowHeight="15"/>
  <cols>
    <col width="27" customWidth="1" style="232" min="1" max="1"/>
    <col width="12" customWidth="1" style="232" min="2" max="3"/>
    <col width="12" customWidth="1" style="232" min="3" max="3"/>
    <col width="18" customWidth="1" style="232" min="4" max="4"/>
    <col width="11" customWidth="1" style="232" min="5" max="5"/>
    <col width="3" customWidth="1" style="232" min="6" max="6"/>
    <col width="12" customWidth="1" style="232" min="7" max="8"/>
    <col width="12" customWidth="1" style="232" min="8" max="8"/>
    <col width="12" customWidth="1" style="232" min="9" max="13"/>
    <col width="12" customWidth="1" style="232" min="10" max="10"/>
    <col width="12" customWidth="1" style="232" min="11" max="11"/>
    <col width="12" customWidth="1" style="232" min="12" max="12"/>
    <col width="12" customWidth="1" style="232" min="13" max="13"/>
    <col hidden="1" outlineLevel="3" style="12" min="14" max="15"/>
    <col hidden="1" outlineLevel="2" style="232" min="16" max="16"/>
    <col collapsed="1" width="9.140625" customWidth="1" style="232" min="17" max="17"/>
  </cols>
  <sheetData>
    <row r="1" ht="46" customHeight="1" s="232">
      <c r="A1" s="274" t="inlineStr">
        <is>
          <t>Paycheck Budget</t>
        </is>
      </c>
      <c r="B1" s="250" t="n"/>
      <c r="C1" s="250" t="n"/>
      <c r="D1" s="250" t="n"/>
      <c r="E1" s="250" t="n"/>
      <c r="F1" s="250" t="n"/>
      <c r="G1" s="275" t="inlineStr">
        <is>
          <t>LEFT TO SPEND</t>
        </is>
      </c>
      <c r="H1" s="276" t="n"/>
      <c r="I1" s="277" t="inlineStr">
        <is>
          <t>INCOME</t>
        </is>
      </c>
      <c r="J1" s="278" t="inlineStr">
        <is>
          <t>BILLS</t>
        </is>
      </c>
      <c r="K1" s="279" t="inlineStr">
        <is>
          <t>EXPENSES</t>
        </is>
      </c>
      <c r="L1" s="280" t="inlineStr">
        <is>
          <t>SAVINGS</t>
        </is>
      </c>
      <c r="M1" s="281" t="inlineStr">
        <is>
          <t>DEBT</t>
        </is>
      </c>
      <c r="N1" s="282" t="n"/>
      <c r="O1" s="282" t="n"/>
      <c r="P1" s="282" t="n"/>
      <c r="Q1" s="283" t="n"/>
      <c r="R1" s="283" t="n"/>
      <c r="S1" s="283" t="n"/>
      <c r="T1" s="283" t="n"/>
      <c r="U1" s="283" t="n"/>
      <c r="V1" s="283" t="n"/>
      <c r="W1" s="283" t="n"/>
      <c r="X1" s="283" t="n"/>
      <c r="Y1" s="283" t="n"/>
      <c r="Z1" s="283" t="n"/>
    </row>
    <row r="2" ht="25" customHeight="1" s="232">
      <c r="A2" s="284" t="inlineStr">
        <is>
          <t>Your automatic budget dashboard. Log transactions on the Transactions Log tab and everything below updates on its own.</t>
        </is>
      </c>
      <c r="B2" s="285" t="n"/>
      <c r="C2" s="285" t="n"/>
      <c r="D2" s="285" t="n"/>
      <c r="E2" s="285" t="n"/>
      <c r="F2" s="286" t="n"/>
      <c r="G2" s="287">
        <f>E10</f>
        <v/>
      </c>
      <c r="H2" s="286" t="n"/>
      <c r="I2" s="288">
        <f>C20</f>
        <v/>
      </c>
      <c r="J2" s="289">
        <f>C32</f>
        <v/>
      </c>
      <c r="K2" s="290">
        <f>C44</f>
        <v/>
      </c>
      <c r="L2" s="291">
        <f>C53</f>
        <v/>
      </c>
      <c r="M2" s="292">
        <f>C61</f>
        <v/>
      </c>
      <c r="N2" s="293" t="n"/>
      <c r="O2" s="293" t="n"/>
      <c r="P2" s="294" t="n"/>
      <c r="Q2" s="283" t="n"/>
      <c r="R2" s="283" t="n"/>
      <c r="S2" s="283" t="n"/>
      <c r="T2" s="283" t="n"/>
      <c r="U2" s="283" t="n"/>
      <c r="V2" s="283" t="n"/>
      <c r="W2" s="283" t="n"/>
      <c r="X2" s="283" t="n"/>
      <c r="Y2" s="283" t="n"/>
      <c r="Z2" s="283" t="n"/>
    </row>
    <row r="3" ht="26.1" customHeight="1" s="232" thickBot="1">
      <c r="A3" s="295" t="n"/>
      <c r="B3" s="295" t="n"/>
      <c r="C3" s="295" t="n"/>
      <c r="D3" s="295" t="n"/>
      <c r="E3" s="295" t="n"/>
      <c r="F3" s="295" t="n"/>
      <c r="G3" s="296" t="n"/>
      <c r="H3" s="297" t="n"/>
      <c r="I3" s="298" t="n"/>
      <c r="J3" s="299" t="n"/>
      <c r="K3" s="300" t="n"/>
      <c r="L3" s="301" t="n"/>
      <c r="M3" s="302" t="n"/>
      <c r="N3" s="303" t="inlineStr">
        <is>
          <t>Chart data (auto, don't edit)</t>
        </is>
      </c>
      <c r="O3" s="293" t="n"/>
      <c r="P3" s="294" t="n"/>
      <c r="Q3" s="283" t="n"/>
      <c r="R3" s="283" t="n"/>
      <c r="S3" s="283" t="n"/>
      <c r="T3" s="283" t="n"/>
      <c r="U3" s="283" t="n"/>
      <c r="V3" s="283" t="n"/>
      <c r="W3" s="283" t="n"/>
      <c r="X3" s="283" t="n"/>
      <c r="Y3" s="283" t="n"/>
      <c r="Z3" s="283" t="n"/>
    </row>
    <row r="4" ht="26" customHeight="1" s="232">
      <c r="A4" s="304" t="inlineStr">
        <is>
          <t>Your Setup</t>
        </is>
      </c>
      <c r="B4" s="305" t="n"/>
      <c r="C4" s="306" t="n"/>
      <c r="D4" s="307" t="inlineStr">
        <is>
          <t>Cash Flow Summary</t>
        </is>
      </c>
      <c r="E4" s="308" t="n"/>
      <c r="F4" s="309" t="n"/>
      <c r="G4" s="310">
        <f>"Days left: "&amp;IF(ISNUMBER(B7),MAX(B7-TODAY(),0),0)</f>
        <v/>
      </c>
      <c r="H4" s="285" t="n"/>
      <c r="I4" s="285" t="n"/>
      <c r="J4" s="285" t="n"/>
      <c r="K4" s="285" t="n"/>
      <c r="L4" s="285" t="n"/>
      <c r="M4" s="285" t="n"/>
      <c r="N4" s="293" t="inlineStr">
        <is>
          <t>Left to Spend</t>
        </is>
      </c>
      <c r="O4" s="311">
        <f>MAX(E10,0)</f>
        <v/>
      </c>
      <c r="P4" s="294" t="n"/>
      <c r="Q4" s="283" t="n"/>
      <c r="R4" s="283" t="n"/>
      <c r="S4" s="283" t="n"/>
      <c r="T4" s="283" t="n"/>
      <c r="U4" s="283" t="n"/>
      <c r="V4" s="283" t="n"/>
      <c r="W4" s="283" t="n"/>
      <c r="X4" s="283" t="n"/>
      <c r="Y4" s="283" t="n"/>
      <c r="Z4" s="283" t="n"/>
    </row>
    <row r="5">
      <c r="A5" s="312" t="inlineStr">
        <is>
          <t>Start Date</t>
        </is>
      </c>
      <c r="B5" s="520" t="n">
        <v>46235</v>
      </c>
      <c r="C5" s="295" t="n"/>
      <c r="D5" s="312" t="inlineStr">
        <is>
          <t>Income</t>
        </is>
      </c>
      <c r="E5" s="314">
        <f>C20</f>
        <v/>
      </c>
      <c r="F5" s="315" t="n"/>
      <c r="G5" s="295" t="n"/>
      <c r="H5" s="295" t="n"/>
      <c r="I5" s="295" t="n"/>
      <c r="J5" s="295" t="n"/>
      <c r="K5" s="295" t="n"/>
      <c r="L5" s="295" t="n"/>
      <c r="M5" s="295" t="n"/>
      <c r="N5" s="293" t="inlineStr">
        <is>
          <t>Spent</t>
        </is>
      </c>
      <c r="O5" s="311">
        <f>C32+C44+C53+C61</f>
        <v/>
      </c>
      <c r="P5" s="294" t="n"/>
      <c r="Q5" s="283" t="n"/>
      <c r="R5" s="283" t="n"/>
      <c r="S5" s="283" t="n"/>
      <c r="T5" s="283" t="n"/>
      <c r="U5" s="283" t="n"/>
      <c r="V5" s="283" t="n"/>
      <c r="W5" s="283" t="n"/>
      <c r="X5" s="283" t="n"/>
      <c r="Y5" s="283" t="n"/>
      <c r="Z5" s="283" t="n"/>
    </row>
    <row r="6">
      <c r="A6" s="312" t="inlineStr">
        <is>
          <t>Pay Frequency</t>
        </is>
      </c>
      <c r="B6" s="316" t="inlineStr">
        <is>
          <t>Monthly</t>
        </is>
      </c>
      <c r="C6" s="295" t="n"/>
      <c r="D6" s="312" t="inlineStr">
        <is>
          <t>Bills</t>
        </is>
      </c>
      <c r="E6" s="314">
        <f>-C32</f>
        <v/>
      </c>
      <c r="F6" s="315" t="n"/>
      <c r="G6" s="295" t="n"/>
      <c r="H6" s="295" t="n"/>
      <c r="I6" s="295" t="n"/>
      <c r="J6" s="295" t="n"/>
      <c r="K6" s="295" t="n"/>
      <c r="L6" s="295" t="n"/>
      <c r="M6" s="295" t="n"/>
      <c r="N6" s="293" t="n"/>
      <c r="O6" s="293" t="n"/>
      <c r="P6" s="294" t="n"/>
      <c r="Q6" s="283" t="n"/>
      <c r="R6" s="283" t="n"/>
      <c r="S6" s="283" t="n"/>
      <c r="T6" s="283" t="n"/>
      <c r="U6" s="283" t="n"/>
      <c r="V6" s="283" t="n"/>
      <c r="W6" s="283" t="n"/>
      <c r="X6" s="283" t="n"/>
      <c r="Y6" s="283" t="n"/>
      <c r="Z6" s="283" t="n"/>
    </row>
    <row r="7">
      <c r="A7" s="312" t="inlineStr">
        <is>
          <t>Budget Period End</t>
        </is>
      </c>
      <c r="B7" s="317" t="n">
        <v>46265</v>
      </c>
      <c r="C7" s="318" t="n"/>
      <c r="D7" s="312" t="inlineStr">
        <is>
          <t>Expenses</t>
        </is>
      </c>
      <c r="E7" s="314">
        <f>-C44</f>
        <v/>
      </c>
      <c r="F7" s="315" t="n"/>
      <c r="G7" s="295" t="n"/>
      <c r="H7" s="295" t="n"/>
      <c r="I7" s="295" t="n"/>
      <c r="J7" s="295" t="n"/>
      <c r="K7" s="295" t="n"/>
      <c r="L7" s="295" t="n"/>
      <c r="M7" s="295" t="n"/>
      <c r="N7" s="293" t="n"/>
      <c r="O7" s="293" t="n"/>
      <c r="P7" s="294" t="n"/>
      <c r="Q7" s="283" t="n"/>
      <c r="R7" s="283" t="n"/>
      <c r="S7" s="283" t="n"/>
      <c r="T7" s="283" t="n"/>
      <c r="U7" s="283" t="n"/>
      <c r="V7" s="283" t="n"/>
      <c r="W7" s="283" t="n"/>
      <c r="X7" s="283" t="n"/>
      <c r="Y7" s="283" t="n"/>
      <c r="Z7" s="283" t="n"/>
    </row>
    <row r="8">
      <c r="A8" s="319" t="inlineStr">
        <is>
          <t>Currency</t>
        </is>
      </c>
      <c r="B8" s="320" t="inlineStr">
        <is>
          <t>USD</t>
        </is>
      </c>
      <c r="C8" s="295" t="n"/>
      <c r="D8" s="312" t="inlineStr">
        <is>
          <t>Savings</t>
        </is>
      </c>
      <c r="E8" s="314">
        <f>-C53</f>
        <v/>
      </c>
      <c r="F8" s="315" t="n"/>
      <c r="G8" s="295" t="n"/>
      <c r="H8" s="295" t="n"/>
      <c r="I8" s="295" t="n"/>
      <c r="J8" s="295" t="n"/>
      <c r="K8" s="295" t="n"/>
      <c r="L8" s="295" t="n"/>
      <c r="M8" s="295" t="n"/>
      <c r="N8" s="293" t="inlineStr">
        <is>
          <t>Bills</t>
        </is>
      </c>
      <c r="O8" s="311">
        <f>C32</f>
        <v/>
      </c>
      <c r="P8" s="294" t="n"/>
      <c r="Q8" s="283" t="n"/>
      <c r="R8" s="283" t="n"/>
      <c r="S8" s="283" t="n"/>
      <c r="T8" s="283" t="n"/>
      <c r="U8" s="283" t="n"/>
      <c r="V8" s="283" t="n"/>
      <c r="W8" s="283" t="n"/>
      <c r="X8" s="283" t="n"/>
      <c r="Y8" s="283" t="n"/>
      <c r="Z8" s="283" t="n"/>
    </row>
    <row r="9">
      <c r="A9" s="295" t="n"/>
      <c r="B9" s="295" t="n"/>
      <c r="C9" s="295" t="n"/>
      <c r="D9" s="312" t="inlineStr">
        <is>
          <t>Debt</t>
        </is>
      </c>
      <c r="E9" s="314">
        <f>-C61</f>
        <v/>
      </c>
      <c r="F9" s="315" t="n"/>
      <c r="G9" s="295" t="n"/>
      <c r="H9" s="295" t="n"/>
      <c r="I9" s="295" t="n"/>
      <c r="J9" s="295" t="n"/>
      <c r="K9" s="295" t="n"/>
      <c r="L9" s="295" t="n"/>
      <c r="M9" s="295" t="n"/>
      <c r="N9" s="293" t="inlineStr">
        <is>
          <t>Expenses</t>
        </is>
      </c>
      <c r="O9" s="311">
        <f>C44</f>
        <v/>
      </c>
      <c r="P9" s="294" t="n"/>
      <c r="Q9" s="283" t="n"/>
      <c r="R9" s="283" t="n"/>
      <c r="S9" s="283" t="n"/>
      <c r="T9" s="283" t="n"/>
      <c r="U9" s="283" t="n"/>
      <c r="V9" s="283" t="n"/>
      <c r="W9" s="283" t="n"/>
      <c r="X9" s="283" t="n"/>
      <c r="Y9" s="283" t="n"/>
      <c r="Z9" s="283" t="n"/>
    </row>
    <row r="10">
      <c r="A10" s="295" t="n"/>
      <c r="B10" s="295" t="n"/>
      <c r="C10" s="295" t="n"/>
      <c r="D10" s="321" t="inlineStr">
        <is>
          <t>Amount Left to Spend</t>
        </is>
      </c>
      <c r="E10" s="322">
        <f>E5+E6+E7+E8+E9</f>
        <v/>
      </c>
      <c r="F10" s="323" t="n"/>
      <c r="G10" s="295" t="n"/>
      <c r="H10" s="295" t="n"/>
      <c r="I10" s="324">
        <f>E10</f>
        <v/>
      </c>
      <c r="J10" s="285" t="n"/>
      <c r="K10" s="285" t="n"/>
      <c r="L10" s="295" t="n"/>
      <c r="M10" s="295" t="n"/>
      <c r="N10" s="293" t="inlineStr">
        <is>
          <t>Savings</t>
        </is>
      </c>
      <c r="O10" s="311">
        <f>C53</f>
        <v/>
      </c>
      <c r="P10" s="294" t="n"/>
      <c r="Q10" s="283" t="n"/>
      <c r="R10" s="283" t="n"/>
      <c r="S10" s="283" t="n"/>
      <c r="T10" s="283" t="n"/>
      <c r="U10" s="283" t="n"/>
      <c r="V10" s="283" t="n"/>
      <c r="W10" s="283" t="n"/>
      <c r="X10" s="283" t="n"/>
      <c r="Y10" s="283" t="n"/>
      <c r="Z10" s="283" t="n"/>
    </row>
    <row r="11">
      <c r="A11" s="295" t="n"/>
      <c r="B11" s="295" t="n"/>
      <c r="C11" s="295" t="n"/>
      <c r="D11" s="295" t="n"/>
      <c r="E11" s="295" t="n"/>
      <c r="F11" s="295" t="n"/>
      <c r="G11" s="295" t="n"/>
      <c r="H11" s="295" t="n"/>
      <c r="I11" s="285" t="n"/>
      <c r="J11" s="285" t="n"/>
      <c r="K11" s="285" t="n"/>
      <c r="L11" s="295" t="n"/>
      <c r="M11" s="295" t="n"/>
      <c r="N11" s="293" t="inlineStr">
        <is>
          <t>Debt</t>
        </is>
      </c>
      <c r="O11" s="311">
        <f>C61</f>
        <v/>
      </c>
      <c r="P11" s="294" t="n"/>
      <c r="Q11" s="283" t="n"/>
      <c r="R11" s="283" t="n"/>
      <c r="S11" s="283" t="n"/>
      <c r="T11" s="283" t="n"/>
      <c r="U11" s="283" t="n"/>
      <c r="V11" s="283" t="n"/>
      <c r="W11" s="283" t="n"/>
      <c r="X11" s="283" t="n"/>
      <c r="Y11" s="283" t="n"/>
      <c r="Z11" s="283" t="n"/>
    </row>
    <row r="12">
      <c r="A12" s="295" t="n"/>
      <c r="B12" s="295" t="n"/>
      <c r="C12" s="295" t="n"/>
      <c r="D12" s="295" t="n"/>
      <c r="E12" s="295" t="n"/>
      <c r="F12" s="295" t="n"/>
      <c r="G12" s="295" t="n"/>
      <c r="H12" s="295" t="n"/>
      <c r="I12" s="285" t="n"/>
      <c r="J12" s="285" t="n"/>
      <c r="K12" s="285" t="n"/>
      <c r="L12" s="295" t="n"/>
      <c r="M12" s="295" t="n"/>
      <c r="N12" s="293" t="inlineStr">
        <is>
          <t>Left to Spend</t>
        </is>
      </c>
      <c r="O12" s="311">
        <f>MAX(E10,0)</f>
        <v/>
      </c>
      <c r="P12" s="294" t="n"/>
      <c r="Q12" s="283" t="n"/>
      <c r="R12" s="283" t="n"/>
      <c r="S12" s="283" t="n"/>
      <c r="T12" s="283" t="n"/>
      <c r="U12" s="283" t="n"/>
      <c r="V12" s="283" t="n"/>
      <c r="W12" s="283" t="n"/>
      <c r="X12" s="283" t="n"/>
      <c r="Y12" s="283" t="n"/>
      <c r="Z12" s="283" t="n"/>
    </row>
    <row r="13">
      <c r="A13" s="295" t="n"/>
      <c r="B13" s="295" t="n"/>
      <c r="C13" s="295" t="n"/>
      <c r="D13" s="295" t="n"/>
      <c r="E13" s="295" t="n"/>
      <c r="F13" s="295" t="n"/>
      <c r="G13" s="295" t="n"/>
      <c r="H13" s="295" t="n"/>
      <c r="I13" s="295" t="n"/>
      <c r="J13" s="295" t="n"/>
      <c r="K13" s="295" t="n"/>
      <c r="L13" s="295" t="n"/>
      <c r="M13" s="295" t="n"/>
      <c r="N13" s="293" t="n"/>
      <c r="O13" s="293" t="n"/>
      <c r="P13" s="294" t="n"/>
      <c r="Q13" s="283" t="n"/>
      <c r="R13" s="283" t="n"/>
      <c r="S13" s="283" t="n"/>
      <c r="T13" s="283" t="n"/>
      <c r="U13" s="283" t="n"/>
      <c r="V13" s="283" t="n"/>
      <c r="W13" s="283" t="n"/>
      <c r="X13" s="283" t="n"/>
      <c r="Y13" s="283" t="n"/>
      <c r="Z13" s="283" t="n"/>
    </row>
    <row r="14" ht="30" customHeight="1" s="232">
      <c r="A14" s="325" t="inlineStr">
        <is>
          <t>Income Summary</t>
        </is>
      </c>
      <c r="B14" s="326" t="inlineStr">
        <is>
          <t>Budget</t>
        </is>
      </c>
      <c r="C14" s="326" t="inlineStr">
        <is>
          <t>Actual</t>
        </is>
      </c>
      <c r="D14" s="327" t="inlineStr">
        <is>
          <t>Above/Below Budget</t>
        </is>
      </c>
      <c r="E14" s="328" t="inlineStr">
        <is>
          <t>✓</t>
        </is>
      </c>
      <c r="F14" s="295" t="n"/>
      <c r="G14" s="295" t="n"/>
      <c r="H14" s="295" t="n"/>
      <c r="I14" s="295" t="n"/>
      <c r="J14" s="295" t="n"/>
      <c r="K14" s="295" t="n"/>
      <c r="L14" s="295" t="n"/>
      <c r="M14" s="295" t="n"/>
      <c r="N14" s="293" t="n"/>
      <c r="O14" s="293" t="n"/>
      <c r="P14" s="294" t="n"/>
      <c r="Q14" s="283" t="n"/>
      <c r="R14" s="283" t="n"/>
      <c r="S14" s="283" t="n"/>
      <c r="T14" s="283" t="n"/>
      <c r="U14" s="283" t="n"/>
      <c r="V14" s="283" t="n"/>
      <c r="W14" s="283" t="n"/>
      <c r="X14" s="283" t="n"/>
      <c r="Y14" s="283" t="n"/>
      <c r="Z14" s="283" t="n"/>
    </row>
    <row r="15" ht="18" customHeight="1" s="232">
      <c r="A15" s="329">
        <f>Settings!A3</f>
        <v/>
      </c>
      <c r="B15" s="330" t="n"/>
      <c r="C15" s="330">
        <f>SUMIFS(TransactionsLog[Amount],TransactionsLog[Category],$A15,TransactionsLog[Date],"&gt;="&amp;PeriodStart,TransactionsLog[Date],"&lt;="&amp;PeriodEnd)</f>
        <v/>
      </c>
      <c r="D15" s="331">
        <f>C15-B15</f>
        <v/>
      </c>
      <c r="E15" s="332" t="n"/>
      <c r="F15" s="295" t="n"/>
      <c r="G15" s="295" t="n"/>
      <c r="H15" s="295" t="n"/>
      <c r="I15" s="295" t="n"/>
      <c r="J15" s="295" t="n"/>
      <c r="K15" s="295" t="n"/>
      <c r="L15" s="295" t="n"/>
      <c r="M15" s="295" t="n"/>
      <c r="N15" s="293" t="inlineStr">
        <is>
          <t>Category</t>
        </is>
      </c>
      <c r="O15" s="293" t="inlineStr">
        <is>
          <t>Actual</t>
        </is>
      </c>
      <c r="P15" s="294" t="n"/>
      <c r="Q15" s="283" t="n"/>
      <c r="R15" s="283" t="n"/>
      <c r="S15" s="283" t="n"/>
      <c r="T15" s="283" t="n"/>
      <c r="U15" s="283" t="n"/>
      <c r="V15" s="283" t="n"/>
      <c r="W15" s="283" t="n"/>
      <c r="X15" s="283" t="n"/>
      <c r="Y15" s="283" t="n"/>
      <c r="Z15" s="283" t="n"/>
    </row>
    <row r="16" ht="18" customHeight="1" s="232">
      <c r="A16" s="329">
        <f>Settings!A4</f>
        <v/>
      </c>
      <c r="B16" s="330" t="n">
        <v>0</v>
      </c>
      <c r="C16" s="330">
        <f>SUMIFS(TransactionsLog[Amount],TransactionsLog[Category],$A16,TransactionsLog[Date],"&gt;="&amp;PeriodStart,TransactionsLog[Date],"&lt;="&amp;PeriodEnd)</f>
        <v/>
      </c>
      <c r="D16" s="331">
        <f>C16-B16</f>
        <v/>
      </c>
      <c r="E16" s="332" t="n"/>
      <c r="F16" s="295" t="n"/>
      <c r="G16" s="295" t="n"/>
      <c r="H16" s="295" t="n"/>
      <c r="I16" s="295" t="n"/>
      <c r="J16" s="295" t="n"/>
      <c r="K16" s="295" t="n"/>
      <c r="L16" s="295" t="n"/>
      <c r="M16" s="295" t="n"/>
      <c r="N16" s="293">
        <f>A36</f>
        <v/>
      </c>
      <c r="O16" s="311">
        <f>C36</f>
        <v/>
      </c>
      <c r="P16" s="294" t="n"/>
      <c r="Q16" s="283" t="n"/>
      <c r="R16" s="283" t="n"/>
      <c r="S16" s="283" t="n"/>
      <c r="T16" s="283" t="n"/>
      <c r="U16" s="283" t="n"/>
      <c r="V16" s="283" t="n"/>
      <c r="W16" s="283" t="n"/>
      <c r="X16" s="283" t="n"/>
      <c r="Y16" s="283" t="n"/>
      <c r="Z16" s="283" t="n"/>
    </row>
    <row r="17" ht="18" customHeight="1" s="232">
      <c r="A17" s="329">
        <f>Settings!A5</f>
        <v/>
      </c>
      <c r="B17" s="330" t="n">
        <v>0</v>
      </c>
      <c r="C17" s="330">
        <f>SUMIFS(TransactionsLog[Amount],TransactionsLog[Category],$A17,TransactionsLog[Date],"&gt;="&amp;PeriodStart,TransactionsLog[Date],"&lt;="&amp;PeriodEnd)</f>
        <v/>
      </c>
      <c r="D17" s="331">
        <f>C17-B17</f>
        <v/>
      </c>
      <c r="E17" s="332" t="n"/>
      <c r="F17" s="295" t="n"/>
      <c r="G17" s="295" t="n"/>
      <c r="H17" s="295" t="n"/>
      <c r="I17" s="295" t="n"/>
      <c r="J17" s="295" t="n"/>
      <c r="K17" s="295" t="n"/>
      <c r="L17" s="295" t="n"/>
      <c r="M17" s="295" t="n"/>
      <c r="N17" s="293">
        <f>A37</f>
        <v/>
      </c>
      <c r="O17" s="311">
        <f>C37</f>
        <v/>
      </c>
      <c r="P17" s="294" t="n"/>
      <c r="Q17" s="283" t="n"/>
      <c r="R17" s="283" t="n"/>
      <c r="S17" s="283" t="n"/>
      <c r="T17" s="283" t="n"/>
      <c r="U17" s="283" t="n"/>
      <c r="V17" s="283" t="n"/>
      <c r="W17" s="283" t="n"/>
      <c r="X17" s="283" t="n"/>
      <c r="Y17" s="283" t="n"/>
      <c r="Z17" s="283" t="n"/>
    </row>
    <row r="18" ht="18" customHeight="1" s="232">
      <c r="A18" s="329">
        <f>Settings!A6</f>
        <v/>
      </c>
      <c r="B18" s="330" t="n">
        <v>0</v>
      </c>
      <c r="C18" s="330">
        <f>SUMIFS(TransactionsLog[Amount],TransactionsLog[Category],$A18,TransactionsLog[Date],"&gt;="&amp;PeriodStart,TransactionsLog[Date],"&lt;="&amp;PeriodEnd)</f>
        <v/>
      </c>
      <c r="D18" s="331">
        <f>C18-B18</f>
        <v/>
      </c>
      <c r="E18" s="332" t="n"/>
      <c r="F18" s="295" t="n"/>
      <c r="G18" s="295" t="n"/>
      <c r="H18" s="295" t="n"/>
      <c r="I18" s="295" t="n"/>
      <c r="J18" s="295" t="n"/>
      <c r="K18" s="295" t="n"/>
      <c r="L18" s="295" t="n"/>
      <c r="M18" s="295" t="n"/>
      <c r="N18" s="293">
        <f>A38</f>
        <v/>
      </c>
      <c r="O18" s="311">
        <f>C38</f>
        <v/>
      </c>
      <c r="P18" s="294" t="n"/>
      <c r="Q18" s="283" t="n"/>
      <c r="R18" s="283" t="n"/>
      <c r="S18" s="283" t="n"/>
      <c r="T18" s="283" t="n"/>
      <c r="U18" s="283" t="n"/>
      <c r="V18" s="283" t="n"/>
      <c r="W18" s="283" t="n"/>
      <c r="X18" s="283" t="n"/>
      <c r="Y18" s="283" t="n"/>
      <c r="Z18" s="283" t="n"/>
    </row>
    <row r="19" ht="18" customHeight="1" s="232">
      <c r="A19" s="329">
        <f>Settings!A7</f>
        <v/>
      </c>
      <c r="B19" s="330" t="n">
        <v>0</v>
      </c>
      <c r="C19" s="330">
        <f>SUMIFS(TransactionsLog[Amount],TransactionsLog[Category],$A19,TransactionsLog[Date],"&gt;="&amp;PeriodStart,TransactionsLog[Date],"&lt;="&amp;PeriodEnd)</f>
        <v/>
      </c>
      <c r="D19" s="331">
        <f>C19-B19</f>
        <v/>
      </c>
      <c r="E19" s="332" t="n"/>
      <c r="F19" s="295" t="n"/>
      <c r="G19" s="295" t="n"/>
      <c r="H19" s="295" t="n"/>
      <c r="I19" s="295" t="n"/>
      <c r="J19" s="295" t="n"/>
      <c r="K19" s="295" t="n"/>
      <c r="L19" s="295" t="n"/>
      <c r="M19" s="295" t="n"/>
      <c r="N19" s="293">
        <f>A39</f>
        <v/>
      </c>
      <c r="O19" s="311">
        <f>C39</f>
        <v/>
      </c>
      <c r="P19" s="294" t="n"/>
      <c r="Q19" s="283" t="n"/>
      <c r="R19" s="283" t="n"/>
      <c r="S19" s="283" t="n"/>
      <c r="T19" s="283" t="n"/>
      <c r="U19" s="283" t="n"/>
      <c r="V19" s="283" t="n"/>
      <c r="W19" s="283" t="n"/>
      <c r="X19" s="283" t="n"/>
      <c r="Y19" s="283" t="n"/>
      <c r="Z19" s="283" t="n"/>
    </row>
    <row r="20" ht="18" customHeight="1" s="232">
      <c r="A20" s="333" t="inlineStr">
        <is>
          <t>Total Income</t>
        </is>
      </c>
      <c r="B20" s="334">
        <f>SUM(B15:B19)</f>
        <v/>
      </c>
      <c r="C20" s="334">
        <f>SUM(C15:C19)</f>
        <v/>
      </c>
      <c r="D20" s="335">
        <f>C20-B20</f>
        <v/>
      </c>
      <c r="E20" s="336" t="n"/>
      <c r="F20" s="295" t="n"/>
      <c r="G20" s="295" t="n"/>
      <c r="H20" s="295" t="n"/>
      <c r="I20" s="295" t="n"/>
      <c r="J20" s="295" t="n"/>
      <c r="K20" s="295" t="n"/>
      <c r="L20" s="295" t="n"/>
      <c r="M20" s="295" t="n"/>
      <c r="N20" s="293">
        <f>A40</f>
        <v/>
      </c>
      <c r="O20" s="311">
        <f>C40</f>
        <v/>
      </c>
      <c r="P20" s="294" t="n"/>
      <c r="Q20" s="283" t="n"/>
      <c r="R20" s="283" t="n"/>
      <c r="S20" s="283" t="n"/>
      <c r="T20" s="283" t="n"/>
      <c r="U20" s="283" t="n"/>
      <c r="V20" s="283" t="n"/>
      <c r="W20" s="283" t="n"/>
      <c r="X20" s="283" t="n"/>
      <c r="Y20" s="283" t="n"/>
      <c r="Z20" s="283" t="n"/>
    </row>
    <row r="21">
      <c r="A21" s="295" t="n"/>
      <c r="B21" s="295" t="n"/>
      <c r="C21" s="295" t="n"/>
      <c r="D21" s="295" t="n"/>
      <c r="E21" s="295" t="n"/>
      <c r="F21" s="295" t="n"/>
      <c r="G21" s="295" t="n"/>
      <c r="H21" s="295" t="n"/>
      <c r="I21" s="295" t="n"/>
      <c r="J21" s="295" t="n"/>
      <c r="K21" s="295" t="n"/>
      <c r="L21" s="295" t="n"/>
      <c r="M21" s="295" t="n"/>
      <c r="N21" s="293">
        <f>A41</f>
        <v/>
      </c>
      <c r="O21" s="311">
        <f>C41</f>
        <v/>
      </c>
      <c r="P21" s="294" t="n"/>
      <c r="Q21" s="283" t="n"/>
      <c r="R21" s="283" t="n"/>
      <c r="S21" s="283" t="n"/>
      <c r="T21" s="283" t="n"/>
      <c r="U21" s="283" t="n"/>
      <c r="V21" s="283" t="n"/>
      <c r="W21" s="283" t="n"/>
      <c r="X21" s="283" t="n"/>
      <c r="Y21" s="283" t="n"/>
      <c r="Z21" s="283" t="n"/>
    </row>
    <row r="22">
      <c r="A22" s="295" t="n"/>
      <c r="B22" s="295" t="n"/>
      <c r="C22" s="295" t="n"/>
      <c r="D22" s="295" t="n"/>
      <c r="E22" s="295" t="n"/>
      <c r="F22" s="295" t="n"/>
      <c r="G22" s="295" t="n"/>
      <c r="H22" s="295" t="n"/>
      <c r="I22" s="295" t="n"/>
      <c r="J22" s="295" t="n"/>
      <c r="K22" s="295" t="n"/>
      <c r="L22" s="295" t="n"/>
      <c r="M22" s="295" t="n"/>
      <c r="N22" s="293">
        <f>A42</f>
        <v/>
      </c>
      <c r="O22" s="311">
        <f>C42</f>
        <v/>
      </c>
      <c r="P22" s="294" t="n"/>
      <c r="Q22" s="283" t="n"/>
      <c r="R22" s="283" t="n"/>
      <c r="S22" s="283" t="n"/>
      <c r="T22" s="283" t="n"/>
      <c r="U22" s="283" t="n"/>
      <c r="V22" s="283" t="n"/>
      <c r="W22" s="283" t="n"/>
      <c r="X22" s="283" t="n"/>
      <c r="Y22" s="283" t="n"/>
      <c r="Z22" s="283" t="n"/>
    </row>
    <row r="23" ht="30" customHeight="1" s="232">
      <c r="A23" s="337" t="inlineStr">
        <is>
          <t>Bill Tracker</t>
        </is>
      </c>
      <c r="B23" s="338" t="inlineStr">
        <is>
          <t>Budget</t>
        </is>
      </c>
      <c r="C23" s="338" t="inlineStr">
        <is>
          <t>Actual</t>
        </is>
      </c>
      <c r="D23" s="339" t="inlineStr">
        <is>
          <t>Remaining</t>
        </is>
      </c>
      <c r="E23" s="340" t="inlineStr">
        <is>
          <t>✓</t>
        </is>
      </c>
      <c r="F23" s="295" t="n"/>
      <c r="G23" s="295" t="n"/>
      <c r="H23" s="295" t="n"/>
      <c r="I23" s="295" t="n"/>
      <c r="J23" s="295" t="n"/>
      <c r="K23" s="295" t="n"/>
      <c r="L23" s="295" t="n"/>
      <c r="M23" s="295" t="n"/>
      <c r="N23" s="293">
        <f>A43</f>
        <v/>
      </c>
      <c r="O23" s="311">
        <f>C43</f>
        <v/>
      </c>
      <c r="P23" s="294" t="n"/>
      <c r="Q23" s="283" t="n"/>
      <c r="R23" s="283" t="n"/>
      <c r="S23" s="283" t="n"/>
      <c r="T23" s="283" t="n"/>
      <c r="U23" s="283" t="n"/>
      <c r="V23" s="283" t="n"/>
      <c r="W23" s="283" t="n"/>
      <c r="X23" s="283" t="n"/>
      <c r="Y23" s="283" t="n"/>
      <c r="Z23" s="283" t="n"/>
    </row>
    <row r="24" ht="18" customHeight="1" s="232">
      <c r="A24" s="341">
        <f>Settings!A8</f>
        <v/>
      </c>
      <c r="B24" s="330" t="n">
        <v>0</v>
      </c>
      <c r="C24" s="330">
        <f>SUMIFS(TransactionsLog[Amount],TransactionsLog[Category],$A24,TransactionsLog[Date],"&gt;="&amp;PeriodStart,TransactionsLog[Date],"&lt;="&amp;PeriodEnd)</f>
        <v/>
      </c>
      <c r="D24" s="331">
        <f>B24-C24</f>
        <v/>
      </c>
      <c r="E24" s="342" t="n"/>
      <c r="F24" s="295" t="n"/>
      <c r="G24" s="295" t="n"/>
      <c r="H24" s="295" t="n"/>
      <c r="I24" s="295" t="n"/>
      <c r="J24" s="295" t="n"/>
      <c r="K24" s="295" t="n"/>
      <c r="L24" s="295" t="n"/>
      <c r="M24" s="295" t="n"/>
      <c r="N24" s="293" t="n"/>
      <c r="O24" s="293" t="n"/>
      <c r="P24" s="294" t="n"/>
      <c r="Q24" s="283" t="n"/>
      <c r="R24" s="283" t="n"/>
      <c r="S24" s="283" t="n"/>
      <c r="T24" s="283" t="n"/>
      <c r="U24" s="283" t="n"/>
      <c r="V24" s="283" t="n"/>
      <c r="W24" s="283" t="n"/>
      <c r="X24" s="283" t="n"/>
      <c r="Y24" s="283" t="n"/>
      <c r="Z24" s="283" t="n"/>
    </row>
    <row r="25" ht="18" customHeight="1" s="232">
      <c r="A25" s="341">
        <f>Settings!A9</f>
        <v/>
      </c>
      <c r="B25" s="330" t="n">
        <v>0</v>
      </c>
      <c r="C25" s="330">
        <f>SUMIFS(TransactionsLog[Amount],TransactionsLog[Category],$A25,TransactionsLog[Date],"&gt;="&amp;PeriodStart,TransactionsLog[Date],"&lt;="&amp;PeriodEnd)</f>
        <v/>
      </c>
      <c r="D25" s="331">
        <f>B25-C25</f>
        <v/>
      </c>
      <c r="E25" s="342" t="n"/>
      <c r="F25" s="295" t="n"/>
      <c r="G25" s="295" t="n"/>
      <c r="H25" s="295" t="n"/>
      <c r="I25" s="295" t="n"/>
      <c r="J25" s="295" t="n"/>
      <c r="K25" s="295" t="n"/>
      <c r="L25" s="295" t="n"/>
      <c r="M25" s="295" t="n"/>
      <c r="N25" s="293" t="n"/>
      <c r="O25" s="293" t="n"/>
      <c r="P25" s="294" t="n"/>
      <c r="Q25" s="283" t="n"/>
      <c r="R25" s="283" t="n"/>
      <c r="S25" s="283" t="n"/>
      <c r="T25" s="283" t="n"/>
      <c r="U25" s="283" t="n"/>
      <c r="V25" s="283" t="n"/>
      <c r="W25" s="283" t="n"/>
      <c r="X25" s="283" t="n"/>
      <c r="Y25" s="283" t="n"/>
      <c r="Z25" s="283" t="n"/>
    </row>
    <row r="26" ht="18" customHeight="1" s="232">
      <c r="A26" s="341">
        <f>Settings!A10</f>
        <v/>
      </c>
      <c r="B26" s="330" t="n">
        <v>0</v>
      </c>
      <c r="C26" s="330">
        <f>SUMIFS(TransactionsLog[Amount],TransactionsLog[Category],$A26,TransactionsLog[Date],"&gt;="&amp;PeriodStart,TransactionsLog[Date],"&lt;="&amp;PeriodEnd)</f>
        <v/>
      </c>
      <c r="D26" s="331">
        <f>B26-C26</f>
        <v/>
      </c>
      <c r="E26" s="342" t="n"/>
      <c r="F26" s="295" t="n"/>
      <c r="G26" s="295" t="n"/>
      <c r="H26" s="295" t="n"/>
      <c r="I26" s="295" t="n"/>
      <c r="J26" s="295" t="n"/>
      <c r="K26" s="295" t="n"/>
      <c r="L26" s="295" t="n"/>
      <c r="M26" s="295" t="n"/>
      <c r="N26" s="343" t="inlineStr">
        <is>
          <t>Category</t>
        </is>
      </c>
      <c r="O26" s="343" t="inlineStr">
        <is>
          <t>Budget</t>
        </is>
      </c>
      <c r="P26" s="343" t="inlineStr">
        <is>
          <t>Actual</t>
        </is>
      </c>
      <c r="Q26" s="283" t="n"/>
      <c r="R26" s="283" t="n"/>
      <c r="S26" s="283" t="n"/>
      <c r="T26" s="283" t="n"/>
      <c r="U26" s="283" t="n"/>
      <c r="V26" s="283" t="n"/>
      <c r="W26" s="283" t="n"/>
      <c r="X26" s="283" t="n"/>
      <c r="Y26" s="283" t="n"/>
      <c r="Z26" s="283" t="n"/>
    </row>
    <row r="27" ht="18" customHeight="1" s="232">
      <c r="A27" s="341">
        <f>Settings!A11</f>
        <v/>
      </c>
      <c r="B27" s="330" t="n">
        <v>0</v>
      </c>
      <c r="C27" s="330">
        <f>SUMIFS(TransactionsLog[Amount],TransactionsLog[Category],$A27,TransactionsLog[Date],"&gt;="&amp;PeriodStart,TransactionsLog[Date],"&lt;="&amp;PeriodEnd)</f>
        <v/>
      </c>
      <c r="D27" s="331">
        <f>B27-C27</f>
        <v/>
      </c>
      <c r="E27" s="342" t="n"/>
      <c r="F27" s="295" t="n"/>
      <c r="G27" s="295" t="n"/>
      <c r="H27" s="295" t="n"/>
      <c r="I27" s="295" t="n"/>
      <c r="J27" s="295" t="n"/>
      <c r="K27" s="295" t="n"/>
      <c r="L27" s="295" t="n"/>
      <c r="M27" s="295" t="n"/>
      <c r="N27" s="343" t="inlineStr">
        <is>
          <t>Income</t>
        </is>
      </c>
      <c r="O27" s="343">
        <f>B20</f>
        <v/>
      </c>
      <c r="P27" s="343">
        <f>C20</f>
        <v/>
      </c>
      <c r="Q27" s="283" t="n"/>
      <c r="R27" s="283" t="n"/>
      <c r="S27" s="283" t="n"/>
      <c r="T27" s="283" t="n"/>
      <c r="U27" s="283" t="n"/>
      <c r="V27" s="283" t="n"/>
      <c r="W27" s="283" t="n"/>
      <c r="X27" s="283" t="n"/>
      <c r="Y27" s="283" t="n"/>
      <c r="Z27" s="283" t="n"/>
    </row>
    <row r="28" ht="18" customHeight="1" s="232">
      <c r="A28" s="341">
        <f>Settings!A12</f>
        <v/>
      </c>
      <c r="B28" s="330" t="n">
        <v>0</v>
      </c>
      <c r="C28" s="330">
        <f>SUMIFS(TransactionsLog[Amount],TransactionsLog[Category],$A28,TransactionsLog[Date],"&gt;="&amp;PeriodStart,TransactionsLog[Date],"&lt;="&amp;PeriodEnd)</f>
        <v/>
      </c>
      <c r="D28" s="331">
        <f>B28-C28</f>
        <v/>
      </c>
      <c r="E28" s="342" t="n"/>
      <c r="F28" s="295" t="n"/>
      <c r="G28" s="295" t="n"/>
      <c r="H28" s="295" t="n"/>
      <c r="I28" s="295" t="n"/>
      <c r="J28" s="295" t="n"/>
      <c r="K28" s="295" t="n"/>
      <c r="L28" s="295" t="n"/>
      <c r="M28" s="295" t="n"/>
      <c r="N28" s="343" t="inlineStr">
        <is>
          <t>Bills</t>
        </is>
      </c>
      <c r="O28" s="343">
        <f>B32</f>
        <v/>
      </c>
      <c r="P28" s="343">
        <f>C32</f>
        <v/>
      </c>
      <c r="Q28" s="283" t="n"/>
      <c r="R28" s="283" t="n"/>
      <c r="S28" s="283" t="n"/>
      <c r="T28" s="283" t="n"/>
      <c r="U28" s="283" t="n"/>
      <c r="V28" s="283" t="n"/>
      <c r="W28" s="283" t="n"/>
      <c r="X28" s="283" t="n"/>
      <c r="Y28" s="283" t="n"/>
      <c r="Z28" s="283" t="n"/>
    </row>
    <row r="29" ht="18" customHeight="1" s="232">
      <c r="A29" s="341">
        <f>Settings!A13</f>
        <v/>
      </c>
      <c r="B29" s="330" t="n">
        <v>0</v>
      </c>
      <c r="C29" s="330">
        <f>SUMIFS(TransactionsLog[Amount],TransactionsLog[Category],$A29,TransactionsLog[Date],"&gt;="&amp;PeriodStart,TransactionsLog[Date],"&lt;="&amp;PeriodEnd)</f>
        <v/>
      </c>
      <c r="D29" s="331">
        <f>B29-C29</f>
        <v/>
      </c>
      <c r="E29" s="342" t="n"/>
      <c r="F29" s="295" t="n"/>
      <c r="G29" s="295" t="n"/>
      <c r="H29" s="295" t="n"/>
      <c r="I29" s="295" t="n"/>
      <c r="J29" s="295" t="n"/>
      <c r="K29" s="295" t="n"/>
      <c r="L29" s="295" t="n"/>
      <c r="M29" s="295" t="n"/>
      <c r="N29" s="343" t="inlineStr">
        <is>
          <t>Expenses</t>
        </is>
      </c>
      <c r="O29" s="343">
        <f>B44</f>
        <v/>
      </c>
      <c r="P29" s="343">
        <f>C44</f>
        <v/>
      </c>
      <c r="Q29" s="283" t="n"/>
      <c r="R29" s="283" t="n"/>
      <c r="S29" s="283" t="n"/>
      <c r="T29" s="283" t="n"/>
      <c r="U29" s="283" t="n"/>
      <c r="V29" s="283" t="n"/>
      <c r="W29" s="283" t="n"/>
      <c r="X29" s="283" t="n"/>
      <c r="Y29" s="283" t="n"/>
      <c r="Z29" s="283" t="n"/>
    </row>
    <row r="30" ht="18" customHeight="1" s="232">
      <c r="A30" s="341">
        <f>Settings!A14</f>
        <v/>
      </c>
      <c r="B30" s="330" t="n">
        <v>0</v>
      </c>
      <c r="C30" s="330">
        <f>SUMIFS(TransactionsLog[Amount],TransactionsLog[Category],$A30,TransactionsLog[Date],"&gt;="&amp;PeriodStart,TransactionsLog[Date],"&lt;="&amp;PeriodEnd)</f>
        <v/>
      </c>
      <c r="D30" s="331">
        <f>B30-C30</f>
        <v/>
      </c>
      <c r="E30" s="342" t="n"/>
      <c r="F30" s="295" t="n"/>
      <c r="G30" s="295" t="n"/>
      <c r="H30" s="295" t="n"/>
      <c r="I30" s="295" t="n"/>
      <c r="J30" s="295" t="n"/>
      <c r="K30" s="295" t="n"/>
      <c r="L30" s="295" t="n"/>
      <c r="M30" s="295" t="n"/>
      <c r="N30" s="343" t="inlineStr">
        <is>
          <t>Savings</t>
        </is>
      </c>
      <c r="O30" s="343">
        <f>B53</f>
        <v/>
      </c>
      <c r="P30" s="343">
        <f>C53</f>
        <v/>
      </c>
      <c r="Q30" s="283" t="n"/>
      <c r="R30" s="283" t="n"/>
      <c r="S30" s="283" t="n"/>
      <c r="T30" s="283" t="n"/>
      <c r="U30" s="283" t="n"/>
      <c r="V30" s="283" t="n"/>
      <c r="W30" s="283" t="n"/>
      <c r="X30" s="283" t="n"/>
      <c r="Y30" s="283" t="n"/>
      <c r="Z30" s="283" t="n"/>
    </row>
    <row r="31" ht="18" customHeight="1" s="232">
      <c r="A31" s="341">
        <f>Settings!A15</f>
        <v/>
      </c>
      <c r="B31" s="330" t="n">
        <v>0</v>
      </c>
      <c r="C31" s="330">
        <f>'Subscription Tracker'!$C$4</f>
        <v/>
      </c>
      <c r="D31" s="331">
        <f>B31-C31</f>
        <v/>
      </c>
      <c r="E31" s="344" t="n"/>
      <c r="F31" s="295" t="n"/>
      <c r="G31" s="295" t="n"/>
      <c r="H31" s="295" t="n"/>
      <c r="I31" s="295" t="n"/>
      <c r="J31" s="295" t="n"/>
      <c r="K31" s="295" t="n"/>
      <c r="L31" s="295" t="n"/>
      <c r="M31" s="295" t="n"/>
      <c r="N31" s="343" t="inlineStr">
        <is>
          <t>Debt</t>
        </is>
      </c>
      <c r="O31" s="343">
        <f>B61</f>
        <v/>
      </c>
      <c r="P31" s="343">
        <f>C61</f>
        <v/>
      </c>
      <c r="Q31" s="283" t="n"/>
      <c r="R31" s="283" t="n"/>
      <c r="S31" s="283" t="n"/>
      <c r="T31" s="283" t="n"/>
      <c r="U31" s="283" t="n"/>
      <c r="V31" s="283" t="n"/>
      <c r="W31" s="283" t="n"/>
      <c r="X31" s="283" t="n"/>
      <c r="Y31" s="283" t="n"/>
      <c r="Z31" s="283" t="n"/>
    </row>
    <row r="32" ht="18" customHeight="1" s="232">
      <c r="A32" s="345" t="inlineStr">
        <is>
          <t>Total Bills</t>
        </is>
      </c>
      <c r="B32" s="346">
        <f>SUM(B24:B31)</f>
        <v/>
      </c>
      <c r="C32" s="346">
        <f>SUM(C24:C31)</f>
        <v/>
      </c>
      <c r="D32" s="347">
        <f>B32-C32</f>
        <v/>
      </c>
      <c r="E32" s="348" t="n"/>
      <c r="F32" s="295" t="n"/>
      <c r="G32" s="295" t="n"/>
      <c r="H32" s="295" t="n"/>
      <c r="I32" s="295" t="n"/>
      <c r="J32" s="295" t="n"/>
      <c r="K32" s="295" t="n"/>
      <c r="L32" s="295" t="n"/>
      <c r="M32" s="295" t="n"/>
      <c r="N32" s="293" t="n"/>
      <c r="O32" s="293" t="n"/>
      <c r="P32" s="294" t="n"/>
      <c r="Q32" s="283" t="n"/>
      <c r="R32" s="283" t="n"/>
      <c r="S32" s="283" t="n"/>
      <c r="T32" s="283" t="n"/>
      <c r="U32" s="283" t="n"/>
      <c r="V32" s="283" t="n"/>
      <c r="W32" s="283" t="n"/>
      <c r="X32" s="283" t="n"/>
      <c r="Y32" s="283" t="n"/>
      <c r="Z32" s="283" t="n"/>
    </row>
    <row r="33">
      <c r="A33" s="295" t="n"/>
      <c r="B33" s="295" t="n"/>
      <c r="C33" s="295" t="n"/>
      <c r="D33" s="295" t="n"/>
      <c r="E33" s="295" t="n"/>
      <c r="F33" s="295" t="n"/>
      <c r="G33" s="295" t="n"/>
      <c r="H33" s="295" t="n"/>
      <c r="I33" s="295" t="n"/>
      <c r="J33" s="295" t="n"/>
      <c r="K33" s="295" t="n"/>
      <c r="L33" s="295" t="n"/>
      <c r="M33" s="295" t="n"/>
      <c r="N33" s="293" t="n"/>
      <c r="O33" s="293" t="n"/>
      <c r="P33" s="294" t="n"/>
      <c r="Q33" s="283" t="n"/>
      <c r="R33" s="283" t="n"/>
      <c r="S33" s="283" t="n"/>
      <c r="T33" s="283" t="n"/>
      <c r="U33" s="283" t="n"/>
      <c r="V33" s="283" t="n"/>
      <c r="W33" s="283" t="n"/>
      <c r="X33" s="283" t="n"/>
      <c r="Y33" s="283" t="n"/>
      <c r="Z33" s="283" t="n"/>
    </row>
    <row r="34">
      <c r="A34" s="295" t="n"/>
      <c r="B34" s="295" t="n"/>
      <c r="C34" s="295" t="n"/>
      <c r="D34" s="295" t="n"/>
      <c r="E34" s="295" t="n"/>
      <c r="F34" s="295" t="n"/>
      <c r="G34" s="295" t="n"/>
      <c r="H34" s="295" t="n"/>
      <c r="I34" s="295" t="n"/>
      <c r="J34" s="295" t="n"/>
      <c r="K34" s="295" t="n"/>
      <c r="L34" s="295" t="n"/>
      <c r="M34" s="295" t="n"/>
      <c r="N34" s="293" t="n"/>
      <c r="O34" s="293" t="n"/>
      <c r="P34" s="294" t="n"/>
      <c r="Q34" s="283" t="n"/>
      <c r="R34" s="283" t="n"/>
      <c r="S34" s="283" t="n"/>
      <c r="T34" s="283" t="n"/>
      <c r="U34" s="283" t="n"/>
      <c r="V34" s="283" t="n"/>
      <c r="W34" s="283" t="n"/>
      <c r="X34" s="283" t="n"/>
      <c r="Y34" s="283" t="n"/>
      <c r="Z34" s="283" t="n"/>
    </row>
    <row r="35" ht="30" customHeight="1" s="232">
      <c r="A35" s="349" t="inlineStr">
        <is>
          <t>Expense Summary</t>
        </is>
      </c>
      <c r="B35" s="350" t="inlineStr">
        <is>
          <t>Budget</t>
        </is>
      </c>
      <c r="C35" s="350" t="inlineStr">
        <is>
          <t>Actual</t>
        </is>
      </c>
      <c r="D35" s="351" t="inlineStr">
        <is>
          <t>Remaining</t>
        </is>
      </c>
      <c r="E35" s="352" t="inlineStr">
        <is>
          <t>✓</t>
        </is>
      </c>
      <c r="F35" s="295" t="n"/>
      <c r="G35" s="295" t="n"/>
      <c r="H35" s="295" t="n"/>
      <c r="I35" s="295" t="n"/>
      <c r="J35" s="295" t="n"/>
      <c r="K35" s="295" t="n"/>
      <c r="L35" s="295" t="n"/>
      <c r="M35" s="295" t="n"/>
      <c r="N35" s="293" t="n"/>
      <c r="O35" s="293" t="n"/>
      <c r="P35" s="294" t="n"/>
      <c r="Q35" s="283" t="n"/>
      <c r="R35" s="283" t="n"/>
      <c r="S35" s="283" t="n"/>
      <c r="T35" s="283" t="n"/>
      <c r="U35" s="283" t="n"/>
      <c r="V35" s="283" t="n"/>
      <c r="W35" s="283" t="n"/>
      <c r="X35" s="283" t="n"/>
      <c r="Y35" s="283" t="n"/>
      <c r="Z35" s="283" t="n"/>
    </row>
    <row r="36" ht="18" customHeight="1" s="232">
      <c r="A36" s="353">
        <f>Settings!A16</f>
        <v/>
      </c>
      <c r="B36" s="330" t="n">
        <v>0</v>
      </c>
      <c r="C36" s="330">
        <f>SUMIFS(TransactionsLog[Amount],TransactionsLog[Category],$A36,TransactionsLog[Date],"&gt;="&amp;PeriodStart,TransactionsLog[Date],"&lt;="&amp;PeriodEnd)</f>
        <v/>
      </c>
      <c r="D36" s="331">
        <f>B36-C36</f>
        <v/>
      </c>
      <c r="E36" s="354" t="n"/>
      <c r="F36" s="295" t="n"/>
      <c r="G36" s="295" t="n"/>
      <c r="H36" s="295" t="n"/>
      <c r="I36" s="295" t="n"/>
      <c r="J36" s="295" t="n"/>
      <c r="K36" s="295" t="n"/>
      <c r="L36" s="295" t="n"/>
      <c r="M36" s="295" t="n"/>
      <c r="N36" s="293" t="n"/>
      <c r="O36" s="293" t="n"/>
      <c r="P36" s="294" t="n"/>
      <c r="Q36" s="283" t="n"/>
      <c r="R36" s="283" t="n"/>
      <c r="S36" s="283" t="n"/>
      <c r="T36" s="283" t="n"/>
      <c r="U36" s="283" t="n"/>
      <c r="V36" s="283" t="n"/>
      <c r="W36" s="283" t="n"/>
      <c r="X36" s="283" t="n"/>
      <c r="Y36" s="283" t="n"/>
      <c r="Z36" s="283" t="n"/>
    </row>
    <row r="37" ht="18" customHeight="1" s="232">
      <c r="A37" s="353">
        <f>Settings!A17</f>
        <v/>
      </c>
      <c r="B37" s="330" t="n">
        <v>0</v>
      </c>
      <c r="C37" s="330">
        <f>SUMIFS(TransactionsLog[Amount],TransactionsLog[Category],$A37,TransactionsLog[Date],"&gt;="&amp;PeriodStart,TransactionsLog[Date],"&lt;="&amp;PeriodEnd)</f>
        <v/>
      </c>
      <c r="D37" s="331">
        <f>B37-C37</f>
        <v/>
      </c>
      <c r="E37" s="354" t="n"/>
      <c r="F37" s="295" t="n"/>
      <c r="G37" s="295" t="n"/>
      <c r="H37" s="295" t="n"/>
      <c r="I37" s="295" t="n"/>
      <c r="J37" s="295" t="n"/>
      <c r="K37" s="295" t="n"/>
      <c r="L37" s="295" t="n"/>
      <c r="M37" s="295" t="n"/>
      <c r="N37" s="293" t="n"/>
      <c r="O37" s="293" t="n"/>
      <c r="P37" s="294" t="n"/>
      <c r="Q37" s="283" t="n"/>
      <c r="R37" s="283" t="n"/>
      <c r="S37" s="283" t="n"/>
      <c r="T37" s="283" t="n"/>
      <c r="U37" s="283" t="n"/>
      <c r="V37" s="283" t="n"/>
      <c r="W37" s="283" t="n"/>
      <c r="X37" s="283" t="n"/>
      <c r="Y37" s="283" t="n"/>
      <c r="Z37" s="283" t="n"/>
    </row>
    <row r="38" ht="18" customHeight="1" s="232">
      <c r="A38" s="353">
        <f>Settings!A18</f>
        <v/>
      </c>
      <c r="B38" s="330" t="n">
        <v>0</v>
      </c>
      <c r="C38" s="330">
        <f>SUMIFS(TransactionsLog[Amount],TransactionsLog[Category],$A38,TransactionsLog[Date],"&gt;="&amp;PeriodStart,TransactionsLog[Date],"&lt;="&amp;PeriodEnd)</f>
        <v/>
      </c>
      <c r="D38" s="331">
        <f>B38-C38</f>
        <v/>
      </c>
      <c r="E38" s="354" t="n"/>
      <c r="F38" s="295" t="n"/>
      <c r="G38" s="295" t="n"/>
      <c r="H38" s="295" t="n"/>
      <c r="I38" s="295" t="n"/>
      <c r="J38" s="295" t="n"/>
      <c r="K38" s="295" t="n"/>
      <c r="L38" s="295" t="n"/>
      <c r="M38" s="295" t="n"/>
      <c r="N38" s="293" t="n"/>
      <c r="O38" s="293" t="n"/>
      <c r="P38" s="294" t="n"/>
      <c r="Q38" s="283" t="n"/>
      <c r="R38" s="283" t="n"/>
      <c r="S38" s="283" t="n"/>
      <c r="T38" s="283" t="n"/>
      <c r="U38" s="283" t="n"/>
      <c r="V38" s="283" t="n"/>
      <c r="W38" s="283" t="n"/>
      <c r="X38" s="283" t="n"/>
      <c r="Y38" s="283" t="n"/>
      <c r="Z38" s="283" t="n"/>
    </row>
    <row r="39" ht="18" customHeight="1" s="232">
      <c r="A39" s="353">
        <f>Settings!A19</f>
        <v/>
      </c>
      <c r="B39" s="330" t="n">
        <v>0</v>
      </c>
      <c r="C39" s="330">
        <f>SUMIFS(TransactionsLog[Amount],TransactionsLog[Category],$A39,TransactionsLog[Date],"&gt;="&amp;PeriodStart,TransactionsLog[Date],"&lt;="&amp;PeriodEnd)</f>
        <v/>
      </c>
      <c r="D39" s="331">
        <f>B39-C39</f>
        <v/>
      </c>
      <c r="E39" s="354" t="n"/>
      <c r="F39" s="295" t="n"/>
      <c r="G39" s="295" t="n"/>
      <c r="H39" s="295" t="n"/>
      <c r="I39" s="295" t="n"/>
      <c r="J39" s="295" t="n"/>
      <c r="K39" s="295" t="n"/>
      <c r="L39" s="295" t="n"/>
      <c r="M39" s="295" t="n"/>
      <c r="N39" s="293" t="n"/>
      <c r="O39" s="293" t="n"/>
      <c r="P39" s="294" t="n"/>
      <c r="Q39" s="283" t="n"/>
      <c r="R39" s="283" t="n"/>
      <c r="S39" s="283" t="n"/>
      <c r="T39" s="283" t="n"/>
      <c r="U39" s="283" t="n"/>
      <c r="V39" s="283" t="n"/>
      <c r="W39" s="283" t="n"/>
      <c r="X39" s="283" t="n"/>
      <c r="Y39" s="283" t="n"/>
      <c r="Z39" s="283" t="n"/>
    </row>
    <row r="40" ht="18" customHeight="1" s="232">
      <c r="A40" s="353">
        <f>Settings!A20</f>
        <v/>
      </c>
      <c r="B40" s="330" t="n">
        <v>0</v>
      </c>
      <c r="C40" s="330">
        <f>SUMIFS(TransactionsLog[Amount],TransactionsLog[Category],$A40,TransactionsLog[Date],"&gt;="&amp;PeriodStart,TransactionsLog[Date],"&lt;="&amp;PeriodEnd)</f>
        <v/>
      </c>
      <c r="D40" s="331">
        <f>B40-C40</f>
        <v/>
      </c>
      <c r="E40" s="354" t="n"/>
      <c r="F40" s="295" t="n"/>
      <c r="G40" s="295" t="n"/>
      <c r="H40" s="295" t="n"/>
      <c r="I40" s="295" t="n"/>
      <c r="J40" s="295" t="n"/>
      <c r="K40" s="295" t="n"/>
      <c r="L40" s="295" t="n"/>
      <c r="M40" s="295" t="n"/>
      <c r="N40" s="293" t="n"/>
      <c r="O40" s="293" t="n"/>
      <c r="P40" s="294" t="n"/>
      <c r="Q40" s="283" t="n"/>
      <c r="R40" s="283" t="n"/>
      <c r="S40" s="283" t="n"/>
      <c r="T40" s="283" t="n"/>
      <c r="U40" s="283" t="n"/>
      <c r="V40" s="283" t="n"/>
      <c r="W40" s="283" t="n"/>
      <c r="X40" s="283" t="n"/>
      <c r="Y40" s="283" t="n"/>
      <c r="Z40" s="283" t="n"/>
    </row>
    <row r="41" ht="18" customHeight="1" s="232">
      <c r="A41" s="353">
        <f>Settings!A21</f>
        <v/>
      </c>
      <c r="B41" s="330" t="n">
        <v>0</v>
      </c>
      <c r="C41" s="330">
        <f>SUMIFS(TransactionsLog[Amount],TransactionsLog[Category],$A41,TransactionsLog[Date],"&gt;="&amp;PeriodStart,TransactionsLog[Date],"&lt;="&amp;PeriodEnd)</f>
        <v/>
      </c>
      <c r="D41" s="331">
        <f>B41-C41</f>
        <v/>
      </c>
      <c r="E41" s="354" t="n"/>
      <c r="F41" s="295" t="n"/>
      <c r="G41" s="295" t="n"/>
      <c r="H41" s="295" t="n"/>
      <c r="I41" s="295" t="n"/>
      <c r="J41" s="295" t="n"/>
      <c r="K41" s="295" t="n"/>
      <c r="L41" s="295" t="n"/>
      <c r="M41" s="295" t="n"/>
      <c r="N41" s="355" t="n"/>
      <c r="O41" s="355" t="n"/>
      <c r="P41" s="295" t="n"/>
      <c r="Q41" s="283" t="n"/>
      <c r="R41" s="283" t="n"/>
      <c r="S41" s="283" t="n"/>
      <c r="T41" s="283" t="n"/>
      <c r="U41" s="283" t="n"/>
      <c r="V41" s="283" t="n"/>
      <c r="W41" s="283" t="n"/>
      <c r="X41" s="283" t="n"/>
      <c r="Y41" s="283" t="n"/>
      <c r="Z41" s="283" t="n"/>
    </row>
    <row r="42" ht="18" customHeight="1" s="232">
      <c r="A42" s="353">
        <f>Settings!A22</f>
        <v/>
      </c>
      <c r="B42" s="330" t="n">
        <v>0</v>
      </c>
      <c r="C42" s="330">
        <f>SUMIFS(TransactionsLog[Amount],TransactionsLog[Category],$A42,TransactionsLog[Date],"&gt;="&amp;PeriodStart,TransactionsLog[Date],"&lt;="&amp;PeriodEnd)</f>
        <v/>
      </c>
      <c r="D42" s="331">
        <f>B42-C42</f>
        <v/>
      </c>
      <c r="E42" s="354" t="n"/>
      <c r="F42" s="295" t="n"/>
      <c r="G42" s="295" t="n"/>
      <c r="H42" s="295" t="n"/>
      <c r="I42" s="295" t="n"/>
      <c r="J42" s="295" t="n"/>
      <c r="K42" s="295" t="n"/>
      <c r="L42" s="295" t="n"/>
      <c r="M42" s="295" t="n"/>
      <c r="N42" s="355" t="n"/>
      <c r="O42" s="355" t="n"/>
      <c r="P42" s="295" t="n"/>
      <c r="Q42" s="283" t="n"/>
      <c r="R42" s="283" t="n"/>
      <c r="S42" s="283" t="n"/>
      <c r="T42" s="283" t="n"/>
      <c r="U42" s="283" t="n"/>
      <c r="V42" s="283" t="n"/>
      <c r="W42" s="283" t="n"/>
      <c r="X42" s="283" t="n"/>
      <c r="Y42" s="283" t="n"/>
      <c r="Z42" s="283" t="n"/>
    </row>
    <row r="43" ht="18" customHeight="1" s="232">
      <c r="A43" s="353">
        <f>Settings!A23</f>
        <v/>
      </c>
      <c r="B43" s="330" t="n">
        <v>0</v>
      </c>
      <c r="C43" s="330">
        <f>SUMIFS(TransactionsLog[Amount],TransactionsLog[Category],$A43,TransactionsLog[Date],"&gt;="&amp;PeriodStart,TransactionsLog[Date],"&lt;="&amp;PeriodEnd)</f>
        <v/>
      </c>
      <c r="D43" s="331">
        <f>B43-C43</f>
        <v/>
      </c>
      <c r="E43" s="354" t="n"/>
      <c r="F43" s="295" t="n"/>
      <c r="G43" s="295" t="n"/>
      <c r="H43" s="295" t="n"/>
      <c r="I43" s="295" t="n"/>
      <c r="J43" s="295" t="n"/>
      <c r="K43" s="295" t="n"/>
      <c r="L43" s="295" t="n"/>
      <c r="M43" s="295" t="n"/>
      <c r="N43" s="355" t="n"/>
      <c r="O43" s="355" t="n"/>
      <c r="P43" s="295" t="n"/>
      <c r="Q43" s="283" t="n"/>
      <c r="R43" s="283" t="n"/>
      <c r="S43" s="283" t="n"/>
      <c r="T43" s="283" t="n"/>
      <c r="U43" s="283" t="n"/>
      <c r="V43" s="283" t="n"/>
      <c r="W43" s="283" t="n"/>
      <c r="X43" s="283" t="n"/>
      <c r="Y43" s="283" t="n"/>
      <c r="Z43" s="283" t="n"/>
    </row>
    <row r="44" ht="18" customHeight="1" s="232">
      <c r="A44" s="356" t="inlineStr">
        <is>
          <t>Total Expenses</t>
        </is>
      </c>
      <c r="B44" s="357">
        <f>SUM(B36:B43)</f>
        <v/>
      </c>
      <c r="C44" s="357">
        <f>SUM(C36:C43)</f>
        <v/>
      </c>
      <c r="D44" s="358">
        <f>B44-C44</f>
        <v/>
      </c>
      <c r="E44" s="359" t="n"/>
      <c r="F44" s="295" t="n"/>
      <c r="G44" s="295" t="n"/>
      <c r="H44" s="295" t="n"/>
      <c r="I44" s="295" t="n"/>
      <c r="J44" s="295" t="n"/>
      <c r="K44" s="295" t="n"/>
      <c r="L44" s="295" t="n"/>
      <c r="M44" s="295" t="n"/>
      <c r="N44" s="355" t="n"/>
      <c r="O44" s="355" t="n"/>
      <c r="P44" s="295" t="n"/>
      <c r="Q44" s="283" t="n"/>
      <c r="R44" s="283" t="n"/>
      <c r="S44" s="283" t="n"/>
      <c r="T44" s="283" t="n"/>
      <c r="U44" s="283" t="n"/>
      <c r="V44" s="283" t="n"/>
      <c r="W44" s="283" t="n"/>
      <c r="X44" s="283" t="n"/>
      <c r="Y44" s="283" t="n"/>
      <c r="Z44" s="283" t="n"/>
    </row>
    <row r="45">
      <c r="A45" s="295" t="n"/>
      <c r="B45" s="295" t="n"/>
      <c r="C45" s="295" t="n"/>
      <c r="D45" s="295" t="n"/>
      <c r="E45" s="295" t="n"/>
      <c r="F45" s="295" t="n"/>
      <c r="G45" s="295" t="n"/>
      <c r="H45" s="295" t="n"/>
      <c r="I45" s="295" t="n"/>
      <c r="J45" s="295" t="n"/>
      <c r="K45" s="295" t="n"/>
      <c r="L45" s="295" t="n"/>
      <c r="M45" s="295" t="n"/>
      <c r="N45" s="355" t="n"/>
      <c r="O45" s="355" t="n"/>
      <c r="P45" s="295" t="n"/>
      <c r="Q45" s="283" t="n"/>
      <c r="R45" s="283" t="n"/>
      <c r="S45" s="283" t="n"/>
      <c r="T45" s="283" t="n"/>
      <c r="U45" s="283" t="n"/>
      <c r="V45" s="283" t="n"/>
      <c r="W45" s="283" t="n"/>
      <c r="X45" s="283" t="n"/>
      <c r="Y45" s="283" t="n"/>
      <c r="Z45" s="283" t="n"/>
    </row>
    <row r="46">
      <c r="A46" s="295" t="n"/>
      <c r="B46" s="295" t="n"/>
      <c r="C46" s="295" t="n"/>
      <c r="D46" s="295" t="n"/>
      <c r="E46" s="295" t="n"/>
      <c r="F46" s="295" t="n"/>
      <c r="G46" s="295" t="n"/>
      <c r="H46" s="295" t="n"/>
      <c r="I46" s="295" t="n"/>
      <c r="J46" s="295" t="n"/>
      <c r="K46" s="295" t="n"/>
      <c r="L46" s="295" t="n"/>
      <c r="M46" s="295" t="n"/>
      <c r="N46" s="355" t="n"/>
      <c r="O46" s="355" t="n"/>
      <c r="P46" s="295" t="n"/>
      <c r="Q46" s="283" t="n"/>
      <c r="R46" s="283" t="n"/>
      <c r="S46" s="283" t="n"/>
      <c r="T46" s="283" t="n"/>
      <c r="U46" s="283" t="n"/>
      <c r="V46" s="283" t="n"/>
      <c r="W46" s="283" t="n"/>
      <c r="X46" s="283" t="n"/>
      <c r="Y46" s="283" t="n"/>
      <c r="Z46" s="283" t="n"/>
    </row>
    <row r="47" ht="30" customHeight="1" s="232">
      <c r="A47" s="360" t="inlineStr">
        <is>
          <t>Savings Tracker</t>
        </is>
      </c>
      <c r="B47" s="361" t="inlineStr">
        <is>
          <t>Budget</t>
        </is>
      </c>
      <c r="C47" s="361" t="inlineStr">
        <is>
          <t>Actual</t>
        </is>
      </c>
      <c r="D47" s="362" t="inlineStr">
        <is>
          <t>Remaining</t>
        </is>
      </c>
      <c r="E47" s="363" t="inlineStr">
        <is>
          <t>✓</t>
        </is>
      </c>
      <c r="F47" s="295" t="n"/>
      <c r="G47" s="295" t="n"/>
      <c r="H47" s="295" t="n"/>
      <c r="I47" s="295" t="n"/>
      <c r="J47" s="295" t="n"/>
      <c r="K47" s="295" t="n"/>
      <c r="L47" s="295" t="n"/>
      <c r="M47" s="295" t="n"/>
      <c r="N47" s="355" t="n"/>
      <c r="O47" s="355" t="n"/>
      <c r="P47" s="295" t="n"/>
      <c r="Q47" s="283" t="n"/>
      <c r="R47" s="283" t="n"/>
      <c r="S47" s="283" t="n"/>
      <c r="T47" s="283" t="n"/>
      <c r="U47" s="283" t="n"/>
      <c r="V47" s="283" t="n"/>
      <c r="W47" s="283" t="n"/>
      <c r="X47" s="283" t="n"/>
      <c r="Y47" s="283" t="n"/>
      <c r="Z47" s="283" t="n"/>
    </row>
    <row r="48" ht="18" customHeight="1" s="232">
      <c r="A48" s="364">
        <f>Settings!A24</f>
        <v/>
      </c>
      <c r="B48" s="330" t="n"/>
      <c r="C48" s="330" t="n"/>
      <c r="D48" s="331">
        <f>B48-C48</f>
        <v/>
      </c>
      <c r="E48" s="365" t="inlineStr">
        <is>
          <t>✓</t>
        </is>
      </c>
      <c r="F48" s="295" t="n"/>
      <c r="G48" s="295" t="n"/>
      <c r="H48" s="295" t="n"/>
      <c r="I48" s="295" t="n"/>
      <c r="J48" s="295" t="n"/>
      <c r="K48" s="295" t="n"/>
      <c r="L48" s="295" t="n"/>
      <c r="M48" s="295" t="n"/>
      <c r="N48" s="355" t="n"/>
      <c r="O48" s="355" t="n"/>
      <c r="P48" s="295" t="n"/>
      <c r="Q48" s="283" t="n"/>
      <c r="R48" s="283" t="n"/>
      <c r="S48" s="283" t="n"/>
      <c r="T48" s="283" t="n"/>
      <c r="U48" s="283" t="n"/>
      <c r="V48" s="283" t="n"/>
      <c r="W48" s="283" t="n"/>
      <c r="X48" s="283" t="n"/>
      <c r="Y48" s="283" t="n"/>
      <c r="Z48" s="283" t="n"/>
    </row>
    <row r="49" ht="18" customHeight="1" s="232">
      <c r="A49" s="364">
        <f>Settings!A25</f>
        <v/>
      </c>
      <c r="B49" s="330" t="n">
        <v>0</v>
      </c>
      <c r="C49" s="330">
        <f>SUMIFS(TransactionsLog[Amount],TransactionsLog[Category],$A49,TransactionsLog[Date],"&gt;="&amp;PeriodStart,TransactionsLog[Date],"&lt;="&amp;PeriodEnd)</f>
        <v/>
      </c>
      <c r="D49" s="331">
        <f>B49-C49</f>
        <v/>
      </c>
      <c r="E49" s="365" t="n"/>
      <c r="F49" s="295" t="n"/>
      <c r="G49" s="295" t="n"/>
      <c r="H49" s="295" t="n"/>
      <c r="I49" s="295" t="n"/>
      <c r="J49" s="295" t="n"/>
      <c r="K49" s="295" t="n"/>
      <c r="L49" s="295" t="n"/>
      <c r="M49" s="295" t="n"/>
      <c r="N49" s="355" t="n"/>
      <c r="O49" s="355" t="n"/>
      <c r="P49" s="295" t="n"/>
      <c r="Q49" s="283" t="n"/>
      <c r="R49" s="283" t="n"/>
      <c r="S49" s="283" t="n"/>
      <c r="T49" s="283" t="n"/>
      <c r="U49" s="283" t="n"/>
      <c r="V49" s="283" t="n"/>
      <c r="W49" s="283" t="n"/>
      <c r="X49" s="283" t="n"/>
      <c r="Y49" s="283" t="n"/>
      <c r="Z49" s="283" t="n"/>
    </row>
    <row r="50" ht="18" customHeight="1" s="232">
      <c r="A50" s="364">
        <f>Settings!A26</f>
        <v/>
      </c>
      <c r="B50" s="330" t="n">
        <v>0</v>
      </c>
      <c r="C50" s="330">
        <f>SUMIFS(TransactionsLog[Amount],TransactionsLog[Category],$A50,TransactionsLog[Date],"&gt;="&amp;PeriodStart,TransactionsLog[Date],"&lt;="&amp;PeriodEnd)</f>
        <v/>
      </c>
      <c r="D50" s="331">
        <f>B50-C50</f>
        <v/>
      </c>
      <c r="E50" s="365" t="n"/>
      <c r="F50" s="295" t="n"/>
      <c r="G50" s="295" t="n"/>
      <c r="H50" s="295" t="n"/>
      <c r="I50" s="295" t="n"/>
      <c r="J50" s="295" t="n"/>
      <c r="K50" s="295" t="n"/>
      <c r="L50" s="295" t="n"/>
      <c r="M50" s="295" t="n"/>
      <c r="N50" s="355" t="n"/>
      <c r="O50" s="355" t="n"/>
      <c r="P50" s="295" t="n"/>
      <c r="Q50" s="283" t="n"/>
      <c r="R50" s="283" t="n"/>
      <c r="S50" s="283" t="n"/>
      <c r="T50" s="283" t="n"/>
      <c r="U50" s="283" t="n"/>
      <c r="V50" s="283" t="n"/>
      <c r="W50" s="283" t="n"/>
      <c r="X50" s="283" t="n"/>
      <c r="Y50" s="283" t="n"/>
      <c r="Z50" s="283" t="n"/>
    </row>
    <row r="51" ht="18" customHeight="1" s="232">
      <c r="A51" s="364">
        <f>Settings!A27</f>
        <v/>
      </c>
      <c r="B51" s="330" t="n">
        <v>0</v>
      </c>
      <c r="C51" s="330">
        <f>SUMIFS(TransactionsLog[Amount],TransactionsLog[Category],$A51,TransactionsLog[Date],"&gt;="&amp;PeriodStart,TransactionsLog[Date],"&lt;="&amp;PeriodEnd)</f>
        <v/>
      </c>
      <c r="D51" s="331">
        <f>B51-C51</f>
        <v/>
      </c>
      <c r="E51" s="365" t="n"/>
      <c r="F51" s="295" t="n"/>
      <c r="G51" s="295" t="n"/>
      <c r="H51" s="295" t="n"/>
      <c r="I51" s="295" t="n"/>
      <c r="J51" s="295" t="n"/>
      <c r="K51" s="295" t="n"/>
      <c r="L51" s="295" t="n"/>
      <c r="M51" s="295" t="n"/>
      <c r="N51" s="355" t="n"/>
      <c r="O51" s="355" t="n"/>
      <c r="P51" s="295" t="n"/>
      <c r="Q51" s="283" t="n"/>
      <c r="R51" s="283" t="n"/>
      <c r="S51" s="283" t="n"/>
      <c r="T51" s="283" t="n"/>
      <c r="U51" s="283" t="n"/>
      <c r="V51" s="283" t="n"/>
      <c r="W51" s="283" t="n"/>
      <c r="X51" s="283" t="n"/>
      <c r="Y51" s="283" t="n"/>
      <c r="Z51" s="283" t="n"/>
    </row>
    <row r="52" ht="18" customHeight="1" s="232">
      <c r="A52" s="364">
        <f>Settings!A28</f>
        <v/>
      </c>
      <c r="B52" s="330" t="n">
        <v>0</v>
      </c>
      <c r="C52" s="330">
        <f>SUMIFS(TransactionsLog[Amount],TransactionsLog[Category],$A52,TransactionsLog[Date],"&gt;="&amp;PeriodStart,TransactionsLog[Date],"&lt;="&amp;PeriodEnd)</f>
        <v/>
      </c>
      <c r="D52" s="331">
        <f>B52-C52</f>
        <v/>
      </c>
      <c r="E52" s="365" t="n"/>
      <c r="F52" s="295" t="n"/>
      <c r="G52" s="295" t="n"/>
      <c r="H52" s="295" t="n"/>
      <c r="I52" s="295" t="n"/>
      <c r="J52" s="295" t="n"/>
      <c r="K52" s="295" t="n"/>
      <c r="L52" s="295" t="n"/>
      <c r="M52" s="295" t="n"/>
      <c r="N52" s="355" t="n"/>
      <c r="O52" s="355" t="n"/>
      <c r="P52" s="295" t="n"/>
      <c r="Q52" s="283" t="n"/>
      <c r="R52" s="283" t="n"/>
      <c r="S52" s="283" t="n"/>
      <c r="T52" s="283" t="n"/>
      <c r="U52" s="283" t="n"/>
      <c r="V52" s="283" t="n"/>
      <c r="W52" s="283" t="n"/>
      <c r="X52" s="283" t="n"/>
      <c r="Y52" s="283" t="n"/>
      <c r="Z52" s="283" t="n"/>
    </row>
    <row r="53" ht="18" customHeight="1" s="232">
      <c r="A53" s="366" t="inlineStr">
        <is>
          <t>Total Savings</t>
        </is>
      </c>
      <c r="B53" s="367">
        <f>SUM(B48:B52)</f>
        <v/>
      </c>
      <c r="C53" s="367">
        <f>SUM(C48:C52)</f>
        <v/>
      </c>
      <c r="D53" s="368">
        <f>B53-C53</f>
        <v/>
      </c>
      <c r="E53" s="369" t="n"/>
      <c r="F53" s="295" t="n"/>
      <c r="G53" s="295" t="n"/>
      <c r="H53" s="295" t="n"/>
      <c r="I53" s="295" t="n"/>
      <c r="J53" s="295" t="n"/>
      <c r="K53" s="295" t="n"/>
      <c r="L53" s="295" t="n"/>
      <c r="M53" s="295" t="n"/>
      <c r="N53" s="355" t="n"/>
      <c r="O53" s="355" t="n"/>
      <c r="P53" s="295" t="n"/>
      <c r="Q53" s="283" t="n"/>
      <c r="R53" s="283" t="n"/>
      <c r="S53" s="283" t="n"/>
      <c r="T53" s="283" t="n"/>
      <c r="U53" s="283" t="n"/>
      <c r="V53" s="283" t="n"/>
      <c r="W53" s="283" t="n"/>
      <c r="X53" s="283" t="n"/>
      <c r="Y53" s="283" t="n"/>
      <c r="Z53" s="283" t="n"/>
    </row>
    <row r="54">
      <c r="A54" s="295" t="n"/>
      <c r="B54" s="295" t="n"/>
      <c r="C54" s="295" t="n"/>
      <c r="D54" s="295" t="n"/>
      <c r="E54" s="295" t="n"/>
      <c r="F54" s="295" t="n"/>
      <c r="G54" s="295" t="n"/>
      <c r="H54" s="295" t="n"/>
      <c r="I54" s="295" t="n"/>
      <c r="J54" s="295" t="n"/>
      <c r="K54" s="295" t="n"/>
      <c r="L54" s="295" t="n"/>
      <c r="M54" s="295" t="n"/>
      <c r="N54" s="355" t="n"/>
      <c r="O54" s="355" t="n"/>
      <c r="P54" s="295" t="n"/>
      <c r="Q54" s="283" t="n"/>
      <c r="R54" s="283" t="n"/>
      <c r="S54" s="283" t="n"/>
      <c r="T54" s="283" t="n"/>
      <c r="U54" s="283" t="n"/>
      <c r="V54" s="283" t="n"/>
      <c r="W54" s="283" t="n"/>
      <c r="X54" s="283" t="n"/>
      <c r="Y54" s="283" t="n"/>
      <c r="Z54" s="283" t="n"/>
    </row>
    <row r="55">
      <c r="A55" s="295" t="n"/>
      <c r="B55" s="295" t="n"/>
      <c r="C55" s="295" t="n"/>
      <c r="D55" s="295" t="n"/>
      <c r="E55" s="295" t="n"/>
      <c r="F55" s="295" t="n"/>
      <c r="G55" s="295" t="n"/>
      <c r="H55" s="295" t="n"/>
      <c r="I55" s="295" t="n"/>
      <c r="J55" s="295" t="n"/>
      <c r="K55" s="295" t="n"/>
      <c r="L55" s="295" t="n"/>
      <c r="M55" s="295" t="n"/>
      <c r="N55" s="355" t="n"/>
      <c r="O55" s="355" t="n"/>
      <c r="P55" s="295" t="n"/>
      <c r="Q55" s="283" t="n"/>
      <c r="R55" s="283" t="n"/>
      <c r="S55" s="283" t="n"/>
      <c r="T55" s="283" t="n"/>
      <c r="U55" s="283" t="n"/>
      <c r="V55" s="283" t="n"/>
      <c r="W55" s="283" t="n"/>
      <c r="X55" s="283" t="n"/>
      <c r="Y55" s="283" t="n"/>
      <c r="Z55" s="283" t="n"/>
    </row>
    <row r="56" ht="30" customHeight="1" s="232">
      <c r="A56" s="370" t="inlineStr">
        <is>
          <t>Debt Tracker</t>
        </is>
      </c>
      <c r="B56" s="371" t="inlineStr">
        <is>
          <t>Budget</t>
        </is>
      </c>
      <c r="C56" s="371" t="inlineStr">
        <is>
          <t>Actual</t>
        </is>
      </c>
      <c r="D56" s="372" t="inlineStr">
        <is>
          <t>Remaining</t>
        </is>
      </c>
      <c r="E56" s="373" t="inlineStr">
        <is>
          <t>✓</t>
        </is>
      </c>
      <c r="F56" s="295" t="n"/>
      <c r="G56" s="295" t="n"/>
      <c r="H56" s="295" t="n"/>
      <c r="I56" s="295" t="n"/>
      <c r="J56" s="295" t="n"/>
      <c r="K56" s="295" t="n"/>
      <c r="L56" s="295" t="n"/>
      <c r="M56" s="295" t="n"/>
      <c r="N56" s="355" t="n"/>
      <c r="O56" s="355" t="n"/>
      <c r="P56" s="295" t="n"/>
      <c r="Q56" s="283" t="n"/>
      <c r="R56" s="283" t="n"/>
      <c r="S56" s="283" t="n"/>
      <c r="T56" s="283" t="n"/>
      <c r="U56" s="283" t="n"/>
      <c r="V56" s="283" t="n"/>
      <c r="W56" s="283" t="n"/>
      <c r="X56" s="283" t="n"/>
      <c r="Y56" s="283" t="n"/>
      <c r="Z56" s="283" t="n"/>
    </row>
    <row r="57" ht="18" customHeight="1" s="232">
      <c r="A57" s="374">
        <f>Settings!A29</f>
        <v/>
      </c>
      <c r="B57" s="330" t="n">
        <v>0</v>
      </c>
      <c r="C57" s="330">
        <f>SUMIFS(TransactionsLog[Amount],TransactionsLog[Category],$A57,TransactionsLog[Date],"&gt;="&amp;PeriodStart,TransactionsLog[Date],"&lt;="&amp;PeriodEnd)</f>
        <v/>
      </c>
      <c r="D57" s="331">
        <f>B57-C57</f>
        <v/>
      </c>
      <c r="E57" s="375" t="n"/>
      <c r="F57" s="295" t="n"/>
      <c r="G57" s="295" t="n"/>
      <c r="H57" s="295" t="n"/>
      <c r="I57" s="295" t="n"/>
      <c r="J57" s="295" t="n"/>
      <c r="K57" s="295" t="n"/>
      <c r="L57" s="295" t="n"/>
      <c r="M57" s="295" t="n"/>
      <c r="N57" s="355" t="n"/>
      <c r="O57" s="355" t="n"/>
      <c r="P57" s="295" t="n"/>
      <c r="Q57" s="283" t="n"/>
      <c r="R57" s="283" t="n"/>
      <c r="S57" s="283" t="n"/>
      <c r="T57" s="283" t="n"/>
      <c r="U57" s="283" t="n"/>
      <c r="V57" s="283" t="n"/>
      <c r="W57" s="283" t="n"/>
      <c r="X57" s="283" t="n"/>
      <c r="Y57" s="283" t="n"/>
      <c r="Z57" s="283" t="n"/>
    </row>
    <row r="58" ht="18" customHeight="1" s="232">
      <c r="A58" s="374">
        <f>Settings!A30</f>
        <v/>
      </c>
      <c r="B58" s="330" t="n">
        <v>0</v>
      </c>
      <c r="C58" s="330">
        <f>SUMIFS(TransactionsLog[Amount],TransactionsLog[Category],$A58,TransactionsLog[Date],"&gt;="&amp;PeriodStart,TransactionsLog[Date],"&lt;="&amp;PeriodEnd)</f>
        <v/>
      </c>
      <c r="D58" s="331">
        <f>B58-C58</f>
        <v/>
      </c>
      <c r="E58" s="375" t="n"/>
      <c r="F58" s="295" t="n"/>
      <c r="G58" s="295" t="n"/>
      <c r="H58" s="295" t="n"/>
      <c r="I58" s="295" t="n"/>
      <c r="J58" s="295" t="n"/>
      <c r="K58" s="295" t="n"/>
      <c r="L58" s="295" t="n"/>
      <c r="M58" s="295" t="n"/>
      <c r="N58" s="355" t="n"/>
      <c r="O58" s="355" t="n"/>
      <c r="P58" s="295" t="n"/>
      <c r="Q58" s="283" t="n"/>
      <c r="R58" s="283" t="n"/>
      <c r="S58" s="283" t="n"/>
      <c r="T58" s="283" t="n"/>
      <c r="U58" s="283" t="n"/>
      <c r="V58" s="283" t="n"/>
      <c r="W58" s="283" t="n"/>
      <c r="X58" s="283" t="n"/>
      <c r="Y58" s="283" t="n"/>
      <c r="Z58" s="283" t="n"/>
    </row>
    <row r="59" ht="18" customHeight="1" s="232">
      <c r="A59" s="374">
        <f>Settings!A31</f>
        <v/>
      </c>
      <c r="B59" s="330" t="n">
        <v>0</v>
      </c>
      <c r="C59" s="330">
        <f>SUMIFS(TransactionsLog[Amount],TransactionsLog[Category],$A59,TransactionsLog[Date],"&gt;="&amp;PeriodStart,TransactionsLog[Date],"&lt;="&amp;PeriodEnd)</f>
        <v/>
      </c>
      <c r="D59" s="331">
        <f>B59-C59</f>
        <v/>
      </c>
      <c r="E59" s="375" t="n"/>
      <c r="F59" s="295" t="n"/>
      <c r="G59" s="295" t="n"/>
      <c r="H59" s="295" t="n"/>
      <c r="I59" s="295" t="n"/>
      <c r="J59" s="295" t="n"/>
      <c r="K59" s="295" t="n"/>
      <c r="L59" s="295" t="n"/>
      <c r="M59" s="295" t="n"/>
      <c r="N59" s="355" t="n"/>
      <c r="O59" s="355" t="n"/>
      <c r="P59" s="295" t="n"/>
      <c r="Q59" s="283" t="n"/>
      <c r="R59" s="283" t="n"/>
      <c r="S59" s="283" t="n"/>
      <c r="T59" s="283" t="n"/>
      <c r="U59" s="283" t="n"/>
      <c r="V59" s="283" t="n"/>
      <c r="W59" s="283" t="n"/>
      <c r="X59" s="283" t="n"/>
      <c r="Y59" s="283" t="n"/>
      <c r="Z59" s="283" t="n"/>
    </row>
    <row r="60" ht="18" customHeight="1" s="232">
      <c r="A60" s="374">
        <f>Settings!A32</f>
        <v/>
      </c>
      <c r="B60" s="330" t="n">
        <v>0</v>
      </c>
      <c r="C60" s="330">
        <f>SUMIFS(TransactionsLog[Amount],TransactionsLog[Category],$A60,TransactionsLog[Date],"&gt;="&amp;PeriodStart,TransactionsLog[Date],"&lt;="&amp;PeriodEnd)</f>
        <v/>
      </c>
      <c r="D60" s="331">
        <f>B60-C60</f>
        <v/>
      </c>
      <c r="E60" s="375" t="n"/>
      <c r="F60" s="295" t="n"/>
      <c r="G60" s="295" t="n"/>
      <c r="H60" s="295" t="n"/>
      <c r="I60" s="295" t="n"/>
      <c r="J60" s="295" t="n"/>
      <c r="K60" s="295" t="n"/>
      <c r="L60" s="295" t="n"/>
      <c r="M60" s="295" t="n"/>
      <c r="N60" s="355" t="n"/>
      <c r="O60" s="355" t="n"/>
      <c r="P60" s="295" t="n"/>
      <c r="Q60" s="283" t="n"/>
      <c r="R60" s="283" t="n"/>
      <c r="S60" s="283" t="n"/>
      <c r="T60" s="283" t="n"/>
      <c r="U60" s="283" t="n"/>
      <c r="V60" s="283" t="n"/>
      <c r="W60" s="283" t="n"/>
      <c r="X60" s="283" t="n"/>
      <c r="Y60" s="283" t="n"/>
      <c r="Z60" s="283" t="n"/>
    </row>
    <row r="61" ht="18" customHeight="1" s="232">
      <c r="A61" s="376" t="inlineStr">
        <is>
          <t>Total Debt</t>
        </is>
      </c>
      <c r="B61" s="377">
        <f>SUM(B57:B60)</f>
        <v/>
      </c>
      <c r="C61" s="377">
        <f>SUM(C57:C60)</f>
        <v/>
      </c>
      <c r="D61" s="378">
        <f>B61-C61</f>
        <v/>
      </c>
      <c r="E61" s="379" t="n"/>
      <c r="F61" s="295" t="n"/>
      <c r="G61" s="295" t="n"/>
      <c r="H61" s="295" t="n"/>
      <c r="I61" s="295" t="n"/>
      <c r="J61" s="295" t="n"/>
      <c r="K61" s="295" t="n"/>
      <c r="L61" s="295" t="n"/>
      <c r="M61" s="295" t="n"/>
      <c r="N61" s="355" t="n"/>
      <c r="O61" s="355" t="n"/>
      <c r="P61" s="295" t="n"/>
      <c r="Q61" s="283" t="n"/>
      <c r="R61" s="283" t="n"/>
      <c r="S61" s="283" t="n"/>
      <c r="T61" s="283" t="n"/>
      <c r="U61" s="283" t="n"/>
      <c r="V61" s="283" t="n"/>
      <c r="W61" s="283" t="n"/>
      <c r="X61" s="283" t="n"/>
      <c r="Y61" s="283" t="n"/>
      <c r="Z61" s="283" t="n"/>
    </row>
    <row r="62">
      <c r="A62" s="295" t="n"/>
      <c r="B62" s="295" t="n"/>
      <c r="C62" s="295" t="n"/>
      <c r="D62" s="295" t="n"/>
      <c r="E62" s="295" t="n"/>
      <c r="F62" s="295" t="n"/>
      <c r="G62" s="295" t="n"/>
      <c r="H62" s="295" t="n"/>
      <c r="I62" s="295" t="n"/>
      <c r="J62" s="295" t="n"/>
      <c r="K62" s="295" t="n"/>
      <c r="L62" s="295" t="n"/>
      <c r="M62" s="295" t="n"/>
      <c r="N62" s="355" t="n"/>
      <c r="O62" s="355" t="n"/>
      <c r="P62" s="295" t="n"/>
      <c r="Q62" s="283" t="n"/>
      <c r="R62" s="283" t="n"/>
      <c r="S62" s="283" t="n"/>
      <c r="T62" s="283" t="n"/>
      <c r="U62" s="283" t="n"/>
      <c r="V62" s="283" t="n"/>
      <c r="W62" s="283" t="n"/>
      <c r="X62" s="283" t="n"/>
      <c r="Y62" s="283" t="n"/>
      <c r="Z62" s="283" t="n"/>
    </row>
    <row r="63">
      <c r="A63" s="283" t="n"/>
      <c r="B63" s="283" t="n"/>
      <c r="C63" s="283" t="n"/>
      <c r="D63" s="283" t="n"/>
      <c r="E63" s="283" t="n"/>
      <c r="F63" s="283" t="n"/>
      <c r="G63" s="283" t="n"/>
      <c r="H63" s="283" t="n"/>
      <c r="I63" s="283" t="n"/>
      <c r="J63" s="283" t="n"/>
      <c r="K63" s="283" t="n"/>
      <c r="L63" s="283" t="n"/>
      <c r="M63" s="283" t="n"/>
      <c r="N63" s="380" t="n"/>
      <c r="O63" s="380" t="n"/>
      <c r="P63" s="283" t="n"/>
      <c r="Q63" s="283" t="n"/>
      <c r="R63" s="283" t="n"/>
      <c r="S63" s="283" t="n"/>
      <c r="T63" s="283" t="n"/>
      <c r="U63" s="283" t="n"/>
      <c r="V63" s="283" t="n"/>
      <c r="W63" s="283" t="n"/>
      <c r="X63" s="283" t="n"/>
      <c r="Y63" s="283" t="n"/>
      <c r="Z63" s="283" t="n"/>
    </row>
    <row r="64">
      <c r="A64" s="283" t="n"/>
      <c r="B64" s="283" t="n"/>
      <c r="C64" s="283" t="n"/>
      <c r="D64" s="283" t="n"/>
      <c r="E64" s="283" t="n"/>
      <c r="F64" s="283" t="n"/>
      <c r="G64" s="283" t="n"/>
      <c r="H64" s="283" t="n"/>
      <c r="I64" s="283" t="n"/>
      <c r="J64" s="283" t="n"/>
      <c r="K64" s="283" t="n"/>
      <c r="L64" s="283" t="n"/>
      <c r="M64" s="283" t="n"/>
      <c r="N64" s="380" t="n"/>
      <c r="O64" s="380" t="n"/>
      <c r="P64" s="283" t="n"/>
      <c r="Q64" s="283" t="n"/>
      <c r="R64" s="283" t="n"/>
      <c r="S64" s="283" t="n"/>
      <c r="T64" s="283" t="n"/>
      <c r="U64" s="283" t="n"/>
      <c r="V64" s="283" t="n"/>
      <c r="W64" s="283" t="n"/>
      <c r="X64" s="283" t="n"/>
      <c r="Y64" s="283" t="n"/>
      <c r="Z64" s="283" t="n"/>
    </row>
    <row r="65">
      <c r="A65" s="283" t="n"/>
      <c r="B65" s="283" t="n"/>
      <c r="C65" s="283" t="n"/>
      <c r="D65" s="283" t="n"/>
      <c r="E65" s="283" t="n"/>
      <c r="F65" s="283" t="n"/>
      <c r="G65" s="283" t="n"/>
      <c r="H65" s="283" t="n"/>
      <c r="I65" s="283" t="n"/>
      <c r="J65" s="283" t="n"/>
      <c r="K65" s="283" t="n"/>
      <c r="L65" s="283" t="n"/>
      <c r="M65" s="283" t="n"/>
      <c r="N65" s="380" t="n"/>
      <c r="O65" s="380" t="n"/>
      <c r="P65" s="283" t="n"/>
      <c r="Q65" s="283" t="n"/>
      <c r="R65" s="283" t="n"/>
      <c r="S65" s="283" t="n"/>
      <c r="T65" s="283" t="n"/>
      <c r="U65" s="283" t="n"/>
      <c r="V65" s="283" t="n"/>
      <c r="W65" s="283" t="n"/>
      <c r="X65" s="283" t="n"/>
      <c r="Y65" s="283" t="n"/>
      <c r="Z65" s="283" t="n"/>
    </row>
    <row r="66">
      <c r="A66" s="283" t="n"/>
      <c r="B66" s="283" t="n"/>
      <c r="C66" s="283" t="n"/>
      <c r="D66" s="283" t="n"/>
      <c r="E66" s="283" t="n"/>
      <c r="F66" s="283" t="n"/>
      <c r="G66" s="283" t="n"/>
      <c r="H66" s="283" t="n"/>
      <c r="I66" s="283" t="n"/>
      <c r="J66" s="283" t="n"/>
      <c r="K66" s="283" t="n"/>
      <c r="L66" s="283" t="n"/>
      <c r="M66" s="283" t="n"/>
      <c r="N66" s="380" t="n"/>
      <c r="O66" s="380" t="n"/>
      <c r="P66" s="283" t="n"/>
      <c r="Q66" s="283" t="n"/>
      <c r="R66" s="283" t="n"/>
      <c r="S66" s="283" t="n"/>
      <c r="T66" s="283" t="n"/>
      <c r="U66" s="283" t="n"/>
      <c r="V66" s="283" t="n"/>
      <c r="W66" s="283" t="n"/>
      <c r="X66" s="283" t="n"/>
      <c r="Y66" s="283" t="n"/>
      <c r="Z66" s="283" t="n"/>
    </row>
    <row r="67">
      <c r="A67" s="283" t="n"/>
      <c r="B67" s="283" t="n"/>
      <c r="C67" s="283" t="n"/>
      <c r="D67" s="283" t="n"/>
      <c r="E67" s="283" t="n"/>
      <c r="F67" s="283" t="n"/>
      <c r="G67" s="283" t="n"/>
      <c r="H67" s="283" t="n"/>
      <c r="I67" s="283" t="n"/>
      <c r="J67" s="283" t="n"/>
      <c r="K67" s="283" t="n"/>
      <c r="L67" s="283" t="n"/>
      <c r="M67" s="283" t="n"/>
      <c r="N67" s="380" t="n"/>
      <c r="O67" s="380" t="n"/>
      <c r="P67" s="283" t="n"/>
      <c r="Q67" s="283" t="n"/>
      <c r="R67" s="283" t="n"/>
      <c r="S67" s="283" t="n"/>
      <c r="T67" s="283" t="n"/>
      <c r="U67" s="283" t="n"/>
      <c r="V67" s="283" t="n"/>
      <c r="W67" s="283" t="n"/>
      <c r="X67" s="283" t="n"/>
      <c r="Y67" s="283" t="n"/>
      <c r="Z67" s="283" t="n"/>
    </row>
    <row r="68">
      <c r="A68" s="283" t="n"/>
      <c r="B68" s="283" t="n"/>
      <c r="C68" s="283" t="n"/>
      <c r="D68" s="283" t="n"/>
      <c r="E68" s="283" t="n"/>
      <c r="F68" s="283" t="n"/>
      <c r="G68" s="283" t="n"/>
      <c r="H68" s="283" t="n"/>
      <c r="I68" s="283" t="n"/>
      <c r="J68" s="283" t="n"/>
      <c r="K68" s="283" t="n"/>
      <c r="L68" s="283" t="n"/>
      <c r="M68" s="283" t="n"/>
      <c r="N68" s="380" t="n"/>
      <c r="O68" s="380" t="n"/>
      <c r="P68" s="283" t="n"/>
      <c r="Q68" s="283" t="n"/>
      <c r="R68" s="283" t="n"/>
      <c r="S68" s="283" t="n"/>
      <c r="T68" s="283" t="n"/>
      <c r="U68" s="283" t="n"/>
      <c r="V68" s="283" t="n"/>
      <c r="W68" s="283" t="n"/>
      <c r="X68" s="283" t="n"/>
      <c r="Y68" s="283" t="n"/>
      <c r="Z68" s="283" t="n"/>
    </row>
    <row r="69">
      <c r="A69" s="283" t="n"/>
      <c r="B69" s="283" t="n"/>
      <c r="C69" s="283" t="n"/>
      <c r="D69" s="283" t="n"/>
      <c r="E69" s="283" t="n"/>
      <c r="F69" s="283" t="n"/>
      <c r="G69" s="283" t="n"/>
      <c r="H69" s="283" t="n"/>
      <c r="I69" s="283" t="n"/>
      <c r="J69" s="283" t="n"/>
      <c r="K69" s="283" t="n"/>
      <c r="L69" s="283" t="n"/>
      <c r="M69" s="283" t="n"/>
      <c r="N69" s="380" t="n"/>
      <c r="O69" s="380" t="n"/>
      <c r="P69" s="283" t="n"/>
      <c r="Q69" s="283" t="n"/>
      <c r="R69" s="283" t="n"/>
      <c r="S69" s="283" t="n"/>
      <c r="T69" s="283" t="n"/>
      <c r="U69" s="283" t="n"/>
      <c r="V69" s="283" t="n"/>
      <c r="W69" s="283" t="n"/>
      <c r="X69" s="283" t="n"/>
      <c r="Y69" s="283" t="n"/>
      <c r="Z69" s="283" t="n"/>
    </row>
    <row r="70" ht="26" customHeight="1" s="232">
      <c r="A70" s="283" t="n"/>
      <c r="B70" s="283" t="n"/>
      <c r="C70" s="283" t="n"/>
      <c r="D70" s="283" t="n"/>
      <c r="E70" s="283" t="n"/>
      <c r="F70" s="283" t="n"/>
      <c r="G70" s="283" t="n"/>
      <c r="H70" s="283" t="n"/>
      <c r="I70" s="283" t="n"/>
      <c r="J70" s="283" t="n"/>
      <c r="K70" s="283" t="n"/>
      <c r="L70" s="283" t="n"/>
      <c r="M70" s="283" t="n"/>
      <c r="N70" s="380" t="n"/>
      <c r="O70" s="380" t="n"/>
      <c r="P70" s="283" t="n"/>
      <c r="Q70" s="283" t="n"/>
      <c r="R70" s="283" t="n"/>
      <c r="S70" s="283" t="n"/>
      <c r="T70" s="283" t="n"/>
      <c r="U70" s="283" t="n"/>
      <c r="V70" s="283" t="n"/>
      <c r="W70" s="283" t="n"/>
      <c r="X70" s="283" t="n"/>
      <c r="Y70" s="283" t="n"/>
      <c r="Z70" s="283" t="n"/>
    </row>
    <row r="71">
      <c r="A71" s="283" t="n"/>
      <c r="B71" s="283" t="n"/>
      <c r="C71" s="283" t="n"/>
      <c r="D71" s="283" t="n"/>
      <c r="E71" s="283" t="n"/>
      <c r="F71" s="283" t="n"/>
      <c r="G71" s="283" t="n"/>
      <c r="H71" s="283" t="n"/>
      <c r="I71" s="283" t="n"/>
      <c r="J71" s="283" t="n"/>
      <c r="K71" s="283" t="n"/>
      <c r="L71" s="283" t="n"/>
      <c r="M71" s="283" t="n"/>
      <c r="N71" s="380" t="n"/>
      <c r="O71" s="380" t="n"/>
      <c r="P71" s="283" t="n"/>
      <c r="Q71" s="283" t="n"/>
      <c r="R71" s="283" t="n"/>
      <c r="S71" s="283" t="n"/>
      <c r="T71" s="283" t="n"/>
      <c r="U71" s="283" t="n"/>
      <c r="V71" s="283" t="n"/>
      <c r="W71" s="283" t="n"/>
      <c r="X71" s="283" t="n"/>
      <c r="Y71" s="283" t="n"/>
      <c r="Z71" s="283" t="n"/>
    </row>
    <row r="72">
      <c r="A72" s="283" t="n"/>
      <c r="B72" s="283" t="n"/>
      <c r="C72" s="283" t="n"/>
      <c r="D72" s="283" t="n"/>
      <c r="E72" s="283" t="n"/>
      <c r="F72" s="283" t="n"/>
      <c r="G72" s="283" t="n"/>
      <c r="H72" s="283" t="n"/>
      <c r="I72" s="283" t="n"/>
      <c r="J72" s="283" t="n"/>
      <c r="K72" s="283" t="n"/>
      <c r="L72" s="283" t="n"/>
      <c r="M72" s="283" t="n"/>
      <c r="N72" s="380" t="n"/>
      <c r="O72" s="380" t="n"/>
      <c r="P72" s="283" t="n"/>
      <c r="Q72" s="283" t="n"/>
      <c r="R72" s="283" t="n"/>
      <c r="S72" s="283" t="n"/>
      <c r="T72" s="283" t="n"/>
      <c r="U72" s="283" t="n"/>
      <c r="V72" s="283" t="n"/>
      <c r="W72" s="283" t="n"/>
      <c r="X72" s="283" t="n"/>
      <c r="Y72" s="283" t="n"/>
      <c r="Z72" s="283" t="n"/>
    </row>
    <row r="73">
      <c r="A73" s="283" t="n"/>
      <c r="B73" s="283" t="n"/>
      <c r="C73" s="283" t="n"/>
      <c r="D73" s="283" t="n"/>
      <c r="E73" s="283" t="n"/>
      <c r="F73" s="283" t="n"/>
      <c r="G73" s="283" t="n"/>
      <c r="H73" s="283" t="n"/>
      <c r="I73" s="283" t="n"/>
      <c r="J73" s="283" t="n"/>
      <c r="K73" s="283" t="n"/>
      <c r="L73" s="283" t="n"/>
      <c r="M73" s="283" t="n"/>
      <c r="N73" s="380" t="n"/>
      <c r="O73" s="380" t="n"/>
      <c r="P73" s="283" t="n"/>
      <c r="Q73" s="283" t="n"/>
      <c r="R73" s="283" t="n"/>
      <c r="S73" s="283" t="n"/>
      <c r="T73" s="283" t="n"/>
      <c r="U73" s="283" t="n"/>
      <c r="V73" s="283" t="n"/>
      <c r="W73" s="283" t="n"/>
      <c r="X73" s="283" t="n"/>
      <c r="Y73" s="283" t="n"/>
      <c r="Z73" s="283" t="n"/>
    </row>
    <row r="74">
      <c r="A74" s="283" t="n"/>
      <c r="B74" s="283" t="n"/>
      <c r="C74" s="283" t="n"/>
      <c r="D74" s="283" t="n"/>
      <c r="E74" s="283" t="n"/>
      <c r="F74" s="283" t="n"/>
      <c r="G74" s="283" t="n"/>
      <c r="H74" s="283" t="n"/>
      <c r="I74" s="283" t="n"/>
      <c r="J74" s="283" t="n"/>
      <c r="K74" s="283" t="n"/>
      <c r="L74" s="283" t="n"/>
      <c r="M74" s="283" t="n"/>
      <c r="N74" s="380" t="n"/>
      <c r="O74" s="380" t="n"/>
      <c r="P74" s="283" t="n"/>
      <c r="Q74" s="283" t="n"/>
      <c r="R74" s="283" t="n"/>
      <c r="S74" s="283" t="n"/>
      <c r="T74" s="283" t="n"/>
      <c r="U74" s="283" t="n"/>
      <c r="V74" s="283" t="n"/>
      <c r="W74" s="283" t="n"/>
      <c r="X74" s="283" t="n"/>
      <c r="Y74" s="283" t="n"/>
      <c r="Z74" s="283" t="n"/>
    </row>
    <row r="75">
      <c r="A75" s="283" t="n"/>
      <c r="B75" s="283" t="n"/>
      <c r="C75" s="283" t="n"/>
      <c r="D75" s="283" t="n"/>
      <c r="E75" s="283" t="n"/>
      <c r="F75" s="283" t="n"/>
      <c r="G75" s="283" t="n"/>
      <c r="H75" s="283" t="n"/>
      <c r="I75" s="283" t="n"/>
      <c r="J75" s="283" t="n"/>
      <c r="K75" s="283" t="n"/>
      <c r="L75" s="283" t="n"/>
      <c r="M75" s="283" t="n"/>
      <c r="N75" s="380" t="n"/>
      <c r="O75" s="380" t="n"/>
      <c r="P75" s="283" t="n"/>
      <c r="Q75" s="283" t="n"/>
      <c r="R75" s="283" t="n"/>
      <c r="S75" s="283" t="n"/>
      <c r="T75" s="283" t="n"/>
      <c r="U75" s="283" t="n"/>
      <c r="V75" s="283" t="n"/>
      <c r="W75" s="283" t="n"/>
      <c r="X75" s="283" t="n"/>
      <c r="Y75" s="283" t="n"/>
      <c r="Z75" s="283" t="n"/>
    </row>
    <row r="76">
      <c r="A76" s="283" t="n"/>
      <c r="B76" s="283" t="n"/>
      <c r="C76" s="283" t="n"/>
      <c r="D76" s="283" t="n"/>
      <c r="E76" s="283" t="n"/>
      <c r="F76" s="283" t="n"/>
      <c r="G76" s="283" t="n"/>
      <c r="H76" s="283" t="n"/>
      <c r="I76" s="283" t="n"/>
      <c r="J76" s="283" t="n"/>
      <c r="K76" s="283" t="n"/>
      <c r="L76" s="283" t="n"/>
      <c r="M76" s="283" t="n"/>
      <c r="N76" s="380" t="n"/>
      <c r="O76" s="380" t="n"/>
      <c r="P76" s="283" t="n"/>
      <c r="Q76" s="283" t="n"/>
      <c r="R76" s="283" t="n"/>
      <c r="S76" s="283" t="n"/>
      <c r="T76" s="283" t="n"/>
      <c r="U76" s="283" t="n"/>
      <c r="V76" s="283" t="n"/>
      <c r="W76" s="283" t="n"/>
      <c r="X76" s="283" t="n"/>
      <c r="Y76" s="283" t="n"/>
      <c r="Z76" s="283" t="n"/>
    </row>
    <row r="77">
      <c r="A77" s="283" t="n"/>
      <c r="B77" s="283" t="n"/>
      <c r="C77" s="283" t="n"/>
      <c r="D77" s="283" t="n"/>
      <c r="E77" s="283" t="n"/>
      <c r="F77" s="283" t="n"/>
      <c r="G77" s="283" t="n"/>
      <c r="H77" s="283" t="n"/>
      <c r="I77" s="283" t="n"/>
      <c r="J77" s="283" t="n"/>
      <c r="K77" s="283" t="n"/>
      <c r="L77" s="283" t="n"/>
      <c r="M77" s="283" t="n"/>
      <c r="N77" s="380" t="n"/>
      <c r="O77" s="380" t="n"/>
      <c r="P77" s="283" t="n"/>
      <c r="Q77" s="283" t="n"/>
      <c r="R77" s="283" t="n"/>
      <c r="S77" s="283" t="n"/>
      <c r="T77" s="283" t="n"/>
      <c r="U77" s="283" t="n"/>
      <c r="V77" s="283" t="n"/>
      <c r="W77" s="283" t="n"/>
      <c r="X77" s="283" t="n"/>
      <c r="Y77" s="283" t="n"/>
      <c r="Z77" s="283" t="n"/>
    </row>
    <row r="78">
      <c r="A78" s="283" t="n"/>
      <c r="B78" s="283" t="n"/>
      <c r="C78" s="283" t="n"/>
      <c r="D78" s="283" t="n"/>
      <c r="E78" s="283" t="n"/>
      <c r="F78" s="283" t="n"/>
      <c r="G78" s="283" t="n"/>
      <c r="H78" s="283" t="n"/>
      <c r="I78" s="283" t="n"/>
      <c r="J78" s="283" t="n"/>
      <c r="K78" s="283" t="n"/>
      <c r="L78" s="283" t="n"/>
      <c r="M78" s="283" t="n"/>
      <c r="N78" s="380" t="n"/>
      <c r="O78" s="380" t="n"/>
      <c r="P78" s="283" t="n"/>
      <c r="Q78" s="283" t="n"/>
      <c r="R78" s="283" t="n"/>
      <c r="S78" s="283" t="n"/>
      <c r="T78" s="283" t="n"/>
      <c r="U78" s="283" t="n"/>
      <c r="V78" s="283" t="n"/>
      <c r="W78" s="283" t="n"/>
      <c r="X78" s="283" t="n"/>
      <c r="Y78" s="283" t="n"/>
      <c r="Z78" s="283" t="n"/>
    </row>
    <row r="79">
      <c r="A79" s="283" t="n"/>
      <c r="B79" s="283" t="n"/>
      <c r="C79" s="283" t="n"/>
      <c r="D79" s="283" t="n"/>
      <c r="E79" s="283" t="n"/>
      <c r="F79" s="283" t="n"/>
      <c r="G79" s="283" t="n"/>
      <c r="H79" s="283" t="n"/>
      <c r="I79" s="283" t="n"/>
      <c r="J79" s="283" t="n"/>
      <c r="K79" s="283" t="n"/>
      <c r="L79" s="283" t="n"/>
      <c r="M79" s="283" t="n"/>
      <c r="N79" s="380" t="n"/>
      <c r="O79" s="380" t="n"/>
      <c r="P79" s="283" t="n"/>
      <c r="Q79" s="283" t="n"/>
      <c r="R79" s="283" t="n"/>
      <c r="S79" s="283" t="n"/>
      <c r="T79" s="283" t="n"/>
      <c r="U79" s="283" t="n"/>
      <c r="V79" s="283" t="n"/>
      <c r="W79" s="283" t="n"/>
      <c r="X79" s="283" t="n"/>
      <c r="Y79" s="283" t="n"/>
      <c r="Z79" s="283" t="n"/>
    </row>
    <row r="80">
      <c r="A80" s="283" t="n"/>
      <c r="B80" s="283" t="n"/>
      <c r="C80" s="283" t="n"/>
      <c r="D80" s="283" t="n"/>
      <c r="E80" s="283" t="n"/>
      <c r="F80" s="283" t="n"/>
      <c r="G80" s="283" t="n"/>
      <c r="H80" s="283" t="n"/>
      <c r="I80" s="283" t="n"/>
      <c r="J80" s="283" t="n"/>
      <c r="K80" s="283" t="n"/>
      <c r="L80" s="283" t="n"/>
      <c r="M80" s="283" t="n"/>
      <c r="N80" s="380" t="n"/>
      <c r="O80" s="380" t="n"/>
      <c r="P80" s="283" t="n"/>
      <c r="Q80" s="283" t="n"/>
      <c r="R80" s="283" t="n"/>
      <c r="S80" s="283" t="n"/>
      <c r="T80" s="283" t="n"/>
      <c r="U80" s="283" t="n"/>
      <c r="V80" s="283" t="n"/>
      <c r="W80" s="283" t="n"/>
      <c r="X80" s="283" t="n"/>
      <c r="Y80" s="283" t="n"/>
      <c r="Z80" s="283" t="n"/>
    </row>
    <row r="81">
      <c r="A81" s="283" t="n"/>
      <c r="B81" s="283" t="n"/>
      <c r="C81" s="283" t="n"/>
      <c r="D81" s="283" t="n"/>
      <c r="E81" s="283" t="n"/>
      <c r="F81" s="283" t="n"/>
      <c r="G81" s="283" t="n"/>
      <c r="H81" s="283" t="n"/>
      <c r="I81" s="283" t="n"/>
      <c r="J81" s="283" t="n"/>
      <c r="K81" s="283" t="n"/>
      <c r="L81" s="283" t="n"/>
      <c r="M81" s="283" t="n"/>
      <c r="N81" s="380" t="n"/>
      <c r="O81" s="380" t="n"/>
      <c r="P81" s="283" t="n"/>
      <c r="Q81" s="283" t="n"/>
      <c r="R81" s="283" t="n"/>
      <c r="S81" s="283" t="n"/>
      <c r="T81" s="283" t="n"/>
      <c r="U81" s="283" t="n"/>
      <c r="V81" s="283" t="n"/>
      <c r="W81" s="283" t="n"/>
      <c r="X81" s="283" t="n"/>
      <c r="Y81" s="283" t="n"/>
      <c r="Z81" s="283" t="n"/>
    </row>
    <row r="82">
      <c r="A82" s="283" t="n"/>
      <c r="B82" s="283" t="n"/>
      <c r="C82" s="283" t="n"/>
      <c r="D82" s="283" t="n"/>
      <c r="E82" s="283" t="n"/>
      <c r="F82" s="283" t="n"/>
      <c r="G82" s="283" t="n"/>
      <c r="H82" s="283" t="n"/>
      <c r="I82" s="283" t="n"/>
      <c r="J82" s="283" t="n"/>
      <c r="K82" s="283" t="n"/>
      <c r="L82" s="283" t="n"/>
      <c r="M82" s="283" t="n"/>
      <c r="N82" s="380" t="n"/>
      <c r="O82" s="380" t="n"/>
      <c r="P82" s="283" t="n"/>
      <c r="Q82" s="283" t="n"/>
      <c r="R82" s="283" t="n"/>
      <c r="S82" s="283" t="n"/>
      <c r="T82" s="283" t="n"/>
      <c r="U82" s="283" t="n"/>
      <c r="V82" s="283" t="n"/>
      <c r="W82" s="283" t="n"/>
      <c r="X82" s="283" t="n"/>
      <c r="Y82" s="283" t="n"/>
      <c r="Z82" s="283" t="n"/>
    </row>
    <row r="83">
      <c r="A83" s="283" t="n"/>
      <c r="B83" s="283" t="n"/>
      <c r="C83" s="283" t="n"/>
      <c r="D83" s="283" t="n"/>
      <c r="E83" s="283" t="n"/>
      <c r="F83" s="283" t="n"/>
      <c r="G83" s="283" t="n"/>
      <c r="H83" s="283" t="n"/>
      <c r="I83" s="283" t="n"/>
      <c r="J83" s="283" t="n"/>
      <c r="K83" s="283" t="n"/>
      <c r="L83" s="283" t="n"/>
      <c r="M83" s="283" t="n"/>
      <c r="N83" s="380" t="n"/>
      <c r="O83" s="380" t="n"/>
      <c r="P83" s="283" t="n"/>
      <c r="Q83" s="283" t="n"/>
      <c r="R83" s="283" t="n"/>
      <c r="S83" s="283" t="n"/>
      <c r="T83" s="283" t="n"/>
      <c r="U83" s="283" t="n"/>
      <c r="V83" s="283" t="n"/>
      <c r="W83" s="283" t="n"/>
      <c r="X83" s="283" t="n"/>
      <c r="Y83" s="283" t="n"/>
      <c r="Z83" s="283" t="n"/>
    </row>
    <row r="84">
      <c r="A84" s="283" t="n"/>
      <c r="B84" s="283" t="n"/>
      <c r="C84" s="283" t="n"/>
      <c r="D84" s="283" t="n"/>
      <c r="E84" s="283" t="n"/>
      <c r="F84" s="283" t="n"/>
      <c r="G84" s="283" t="n"/>
      <c r="H84" s="283" t="n"/>
      <c r="I84" s="283" t="n"/>
      <c r="J84" s="283" t="n"/>
      <c r="K84" s="283" t="n"/>
      <c r="L84" s="283" t="n"/>
      <c r="M84" s="283" t="n"/>
      <c r="N84" s="380" t="n"/>
      <c r="O84" s="380" t="n"/>
      <c r="P84" s="283" t="n"/>
      <c r="Q84" s="283" t="n"/>
      <c r="R84" s="283" t="n"/>
      <c r="S84" s="283" t="n"/>
      <c r="T84" s="283" t="n"/>
      <c r="U84" s="283" t="n"/>
      <c r="V84" s="283" t="n"/>
      <c r="W84" s="283" t="n"/>
      <c r="X84" s="283" t="n"/>
      <c r="Y84" s="283" t="n"/>
      <c r="Z84" s="283" t="n"/>
    </row>
    <row r="85">
      <c r="A85" s="283" t="n"/>
      <c r="B85" s="283" t="n"/>
      <c r="C85" s="283" t="n"/>
      <c r="D85" s="283" t="n"/>
      <c r="E85" s="283" t="n"/>
      <c r="F85" s="283" t="n"/>
      <c r="G85" s="283" t="n"/>
      <c r="H85" s="283" t="n"/>
      <c r="I85" s="283" t="n"/>
      <c r="J85" s="283" t="n"/>
      <c r="K85" s="283" t="n"/>
      <c r="L85" s="283" t="n"/>
      <c r="M85" s="283" t="n"/>
      <c r="N85" s="380" t="n"/>
      <c r="O85" s="380" t="n"/>
      <c r="P85" s="283" t="n"/>
      <c r="Q85" s="283" t="n"/>
      <c r="R85" s="283" t="n"/>
      <c r="S85" s="283" t="n"/>
      <c r="T85" s="283" t="n"/>
      <c r="U85" s="283" t="n"/>
      <c r="V85" s="283" t="n"/>
      <c r="W85" s="283" t="n"/>
      <c r="X85" s="283" t="n"/>
      <c r="Y85" s="283" t="n"/>
      <c r="Z85" s="283" t="n"/>
    </row>
    <row r="86">
      <c r="A86" s="283" t="n"/>
      <c r="B86" s="283" t="n"/>
      <c r="C86" s="283" t="n"/>
      <c r="D86" s="283" t="n"/>
      <c r="E86" s="283" t="n"/>
      <c r="F86" s="283" t="n"/>
      <c r="G86" s="283" t="n"/>
      <c r="H86" s="283" t="n"/>
      <c r="I86" s="283" t="n"/>
      <c r="J86" s="283" t="n"/>
      <c r="K86" s="283" t="n"/>
      <c r="L86" s="283" t="n"/>
      <c r="M86" s="283" t="n"/>
      <c r="N86" s="380" t="n"/>
      <c r="O86" s="380" t="n"/>
      <c r="P86" s="283" t="n"/>
      <c r="Q86" s="283" t="n"/>
      <c r="R86" s="283" t="n"/>
      <c r="S86" s="283" t="n"/>
      <c r="T86" s="283" t="n"/>
      <c r="U86" s="283" t="n"/>
      <c r="V86" s="283" t="n"/>
      <c r="W86" s="283" t="n"/>
      <c r="X86" s="283" t="n"/>
      <c r="Y86" s="283" t="n"/>
      <c r="Z86" s="283" t="n"/>
    </row>
    <row r="87">
      <c r="A87" s="283" t="n"/>
      <c r="B87" s="283" t="n"/>
      <c r="C87" s="283" t="n"/>
      <c r="D87" s="283" t="n"/>
      <c r="E87" s="283" t="n"/>
      <c r="F87" s="283" t="n"/>
      <c r="G87" s="283" t="n"/>
      <c r="H87" s="283" t="n"/>
      <c r="I87" s="283" t="n"/>
      <c r="J87" s="283" t="n"/>
      <c r="K87" s="283" t="n"/>
      <c r="L87" s="283" t="n"/>
      <c r="M87" s="283" t="n"/>
      <c r="N87" s="380" t="n"/>
      <c r="O87" s="380" t="n"/>
      <c r="P87" s="283" t="n"/>
      <c r="Q87" s="283" t="n"/>
      <c r="R87" s="283" t="n"/>
      <c r="S87" s="283" t="n"/>
      <c r="T87" s="283" t="n"/>
      <c r="U87" s="283" t="n"/>
      <c r="V87" s="283" t="n"/>
      <c r="W87" s="283" t="n"/>
      <c r="X87" s="283" t="n"/>
      <c r="Y87" s="283" t="n"/>
      <c r="Z87" s="283" t="n"/>
    </row>
    <row r="88">
      <c r="A88" s="283" t="n"/>
      <c r="B88" s="283" t="n"/>
      <c r="C88" s="283" t="n"/>
      <c r="D88" s="283" t="n"/>
      <c r="E88" s="283" t="n"/>
      <c r="F88" s="283" t="n"/>
      <c r="G88" s="283" t="n"/>
      <c r="H88" s="283" t="n"/>
      <c r="I88" s="283" t="n"/>
      <c r="J88" s="283" t="n"/>
      <c r="K88" s="283" t="n"/>
      <c r="L88" s="283" t="n"/>
      <c r="M88" s="283" t="n"/>
      <c r="N88" s="380" t="n"/>
      <c r="O88" s="380" t="n"/>
      <c r="P88" s="283" t="n"/>
      <c r="Q88" s="283" t="n"/>
      <c r="R88" s="283" t="n"/>
      <c r="S88" s="283" t="n"/>
      <c r="T88" s="283" t="n"/>
      <c r="U88" s="283" t="n"/>
      <c r="V88" s="283" t="n"/>
      <c r="W88" s="283" t="n"/>
      <c r="X88" s="283" t="n"/>
      <c r="Y88" s="283" t="n"/>
      <c r="Z88" s="283" t="n"/>
    </row>
    <row r="89">
      <c r="A89" s="283" t="n"/>
      <c r="B89" s="283" t="n"/>
      <c r="C89" s="283" t="n"/>
      <c r="D89" s="283" t="n"/>
      <c r="E89" s="283" t="n"/>
      <c r="F89" s="283" t="n"/>
      <c r="G89" s="283" t="n"/>
      <c r="H89" s="283" t="n"/>
      <c r="I89" s="283" t="n"/>
      <c r="J89" s="283" t="n"/>
      <c r="K89" s="283" t="n"/>
      <c r="L89" s="283" t="n"/>
      <c r="M89" s="283" t="n"/>
      <c r="N89" s="380" t="n"/>
      <c r="O89" s="380" t="n"/>
      <c r="P89" s="283" t="n"/>
      <c r="Q89" s="283" t="n"/>
      <c r="R89" s="283" t="n"/>
      <c r="S89" s="283" t="n"/>
      <c r="T89" s="283" t="n"/>
      <c r="U89" s="283" t="n"/>
      <c r="V89" s="283" t="n"/>
      <c r="W89" s="283" t="n"/>
      <c r="X89" s="283" t="n"/>
      <c r="Y89" s="283" t="n"/>
      <c r="Z89" s="283" t="n"/>
    </row>
    <row r="90">
      <c r="A90" s="283" t="n"/>
      <c r="B90" s="283" t="n"/>
      <c r="C90" s="283" t="n"/>
      <c r="D90" s="283" t="n"/>
      <c r="E90" s="283" t="n"/>
      <c r="F90" s="283" t="n"/>
      <c r="G90" s="283" t="n"/>
      <c r="H90" s="283" t="n"/>
      <c r="I90" s="283" t="n"/>
      <c r="J90" s="283" t="n"/>
      <c r="K90" s="283" t="n"/>
      <c r="L90" s="283" t="n"/>
      <c r="M90" s="283" t="n"/>
      <c r="N90" s="380" t="n"/>
      <c r="O90" s="380" t="n"/>
      <c r="P90" s="283" t="n"/>
      <c r="Q90" s="283" t="n"/>
      <c r="R90" s="283" t="n"/>
      <c r="S90" s="283" t="n"/>
      <c r="T90" s="283" t="n"/>
      <c r="U90" s="283" t="n"/>
      <c r="V90" s="283" t="n"/>
      <c r="W90" s="283" t="n"/>
      <c r="X90" s="283" t="n"/>
      <c r="Y90" s="283" t="n"/>
      <c r="Z90" s="283" t="n"/>
    </row>
    <row r="91">
      <c r="A91" s="283" t="n"/>
      <c r="B91" s="283" t="n"/>
      <c r="C91" s="283" t="n"/>
      <c r="D91" s="283" t="n"/>
      <c r="E91" s="283" t="n"/>
      <c r="F91" s="283" t="n"/>
      <c r="G91" s="283" t="n"/>
      <c r="H91" s="283" t="n"/>
      <c r="I91" s="283" t="n"/>
      <c r="J91" s="283" t="n"/>
      <c r="K91" s="283" t="n"/>
      <c r="L91" s="283" t="n"/>
      <c r="M91" s="283" t="n"/>
      <c r="N91" s="380" t="n"/>
      <c r="O91" s="380" t="n"/>
      <c r="P91" s="283" t="n"/>
      <c r="Q91" s="283" t="n"/>
      <c r="R91" s="283" t="n"/>
      <c r="S91" s="283" t="n"/>
      <c r="T91" s="283" t="n"/>
      <c r="U91" s="283" t="n"/>
      <c r="V91" s="283" t="n"/>
      <c r="W91" s="283" t="n"/>
      <c r="X91" s="283" t="n"/>
      <c r="Y91" s="283" t="n"/>
      <c r="Z91" s="283" t="n"/>
    </row>
    <row r="92">
      <c r="A92" s="283" t="n"/>
      <c r="B92" s="283" t="n"/>
      <c r="C92" s="283" t="n"/>
      <c r="D92" s="283" t="n"/>
      <c r="E92" s="283" t="n"/>
      <c r="F92" s="283" t="n"/>
      <c r="G92" s="283" t="n"/>
      <c r="H92" s="283" t="n"/>
      <c r="I92" s="283" t="n"/>
      <c r="J92" s="283" t="n"/>
      <c r="K92" s="283" t="n"/>
      <c r="L92" s="283" t="n"/>
      <c r="M92" s="283" t="n"/>
      <c r="N92" s="380" t="n"/>
      <c r="O92" s="380" t="n"/>
      <c r="P92" s="283" t="n"/>
      <c r="Q92" s="283" t="n"/>
      <c r="R92" s="283" t="n"/>
      <c r="S92" s="283" t="n"/>
      <c r="T92" s="283" t="n"/>
      <c r="U92" s="283" t="n"/>
      <c r="V92" s="283" t="n"/>
      <c r="W92" s="283" t="n"/>
      <c r="X92" s="283" t="n"/>
      <c r="Y92" s="283" t="n"/>
      <c r="Z92" s="283" t="n"/>
    </row>
    <row r="93">
      <c r="A93" s="283" t="n"/>
      <c r="B93" s="283" t="n"/>
      <c r="C93" s="283" t="n"/>
      <c r="D93" s="283" t="n"/>
      <c r="E93" s="283" t="n"/>
      <c r="F93" s="283" t="n"/>
      <c r="G93" s="283" t="n"/>
      <c r="H93" s="283" t="n"/>
      <c r="I93" s="283" t="n"/>
      <c r="J93" s="283" t="n"/>
      <c r="K93" s="283" t="n"/>
      <c r="L93" s="283" t="n"/>
      <c r="M93" s="283" t="n"/>
      <c r="N93" s="380" t="n"/>
      <c r="O93" s="380" t="n"/>
      <c r="P93" s="283" t="n"/>
      <c r="Q93" s="283" t="n"/>
      <c r="R93" s="283" t="n"/>
      <c r="S93" s="283" t="n"/>
      <c r="T93" s="283" t="n"/>
      <c r="U93" s="283" t="n"/>
      <c r="V93" s="283" t="n"/>
      <c r="W93" s="283" t="n"/>
      <c r="X93" s="283" t="n"/>
      <c r="Y93" s="283" t="n"/>
      <c r="Z93" s="283" t="n"/>
    </row>
    <row r="94">
      <c r="A94" s="283" t="n"/>
      <c r="B94" s="283" t="n"/>
      <c r="C94" s="283" t="n"/>
      <c r="D94" s="283" t="n"/>
      <c r="E94" s="283" t="n"/>
      <c r="F94" s="283" t="n"/>
      <c r="G94" s="283" t="n"/>
      <c r="H94" s="283" t="n"/>
      <c r="I94" s="283" t="n"/>
      <c r="J94" s="283" t="n"/>
      <c r="K94" s="283" t="n"/>
      <c r="L94" s="283" t="n"/>
      <c r="M94" s="283" t="n"/>
      <c r="N94" s="380" t="n"/>
      <c r="O94" s="380" t="n"/>
      <c r="P94" s="283" t="n"/>
      <c r="Q94" s="283" t="n"/>
      <c r="R94" s="283" t="n"/>
      <c r="S94" s="283" t="n"/>
      <c r="T94" s="283" t="n"/>
      <c r="U94" s="283" t="n"/>
      <c r="V94" s="283" t="n"/>
      <c r="W94" s="283" t="n"/>
      <c r="X94" s="283" t="n"/>
      <c r="Y94" s="283" t="n"/>
      <c r="Z94" s="283" t="n"/>
    </row>
    <row r="95">
      <c r="A95" s="283" t="n"/>
      <c r="B95" s="283" t="n"/>
      <c r="C95" s="283" t="n"/>
      <c r="D95" s="283" t="n"/>
      <c r="E95" s="283" t="n"/>
      <c r="F95" s="283" t="n"/>
      <c r="G95" s="283" t="n"/>
      <c r="H95" s="283" t="n"/>
      <c r="I95" s="283" t="n"/>
      <c r="J95" s="283" t="n"/>
      <c r="K95" s="283" t="n"/>
      <c r="L95" s="283" t="n"/>
      <c r="M95" s="283" t="n"/>
      <c r="N95" s="380" t="n"/>
      <c r="O95" s="380" t="n"/>
      <c r="P95" s="283" t="n"/>
      <c r="Q95" s="283" t="n"/>
      <c r="R95" s="283" t="n"/>
      <c r="S95" s="283" t="n"/>
      <c r="T95" s="283" t="n"/>
      <c r="U95" s="283" t="n"/>
      <c r="V95" s="283" t="n"/>
      <c r="W95" s="283" t="n"/>
      <c r="X95" s="283" t="n"/>
      <c r="Y95" s="283" t="n"/>
      <c r="Z95" s="283" t="n"/>
    </row>
    <row r="96">
      <c r="A96" s="283" t="n"/>
      <c r="B96" s="283" t="n"/>
      <c r="C96" s="283" t="n"/>
      <c r="D96" s="283" t="n"/>
      <c r="E96" s="283" t="n"/>
      <c r="F96" s="283" t="n"/>
      <c r="G96" s="283" t="n"/>
      <c r="H96" s="283" t="n"/>
      <c r="I96" s="283" t="n"/>
      <c r="J96" s="283" t="n"/>
      <c r="K96" s="283" t="n"/>
      <c r="L96" s="283" t="n"/>
      <c r="M96" s="283" t="n"/>
      <c r="N96" s="380" t="n"/>
      <c r="O96" s="380" t="n"/>
      <c r="P96" s="283" t="n"/>
      <c r="Q96" s="283" t="n"/>
      <c r="R96" s="283" t="n"/>
      <c r="S96" s="283" t="n"/>
      <c r="T96" s="283" t="n"/>
      <c r="U96" s="283" t="n"/>
      <c r="V96" s="283" t="n"/>
      <c r="W96" s="283" t="n"/>
      <c r="X96" s="283" t="n"/>
      <c r="Y96" s="283" t="n"/>
      <c r="Z96" s="283" t="n"/>
    </row>
    <row r="97">
      <c r="A97" s="283" t="n"/>
      <c r="B97" s="283" t="n"/>
      <c r="C97" s="283" t="n"/>
      <c r="D97" s="283" t="n"/>
      <c r="E97" s="283" t="n"/>
      <c r="F97" s="283" t="n"/>
      <c r="G97" s="283" t="n"/>
      <c r="H97" s="283" t="n"/>
      <c r="I97" s="283" t="n"/>
      <c r="J97" s="283" t="n"/>
      <c r="K97" s="283" t="n"/>
      <c r="L97" s="283" t="n"/>
      <c r="M97" s="283" t="n"/>
      <c r="N97" s="380" t="n"/>
      <c r="O97" s="380" t="n"/>
      <c r="P97" s="283" t="n"/>
      <c r="Q97" s="283" t="n"/>
      <c r="R97" s="283" t="n"/>
      <c r="S97" s="283" t="n"/>
      <c r="T97" s="283" t="n"/>
      <c r="U97" s="283" t="n"/>
      <c r="V97" s="283" t="n"/>
      <c r="W97" s="283" t="n"/>
      <c r="X97" s="283" t="n"/>
      <c r="Y97" s="283" t="n"/>
      <c r="Z97" s="283" t="n"/>
    </row>
    <row r="98">
      <c r="A98" s="283" t="n"/>
      <c r="B98" s="283" t="n"/>
      <c r="C98" s="283" t="n"/>
      <c r="D98" s="283" t="n"/>
      <c r="E98" s="283" t="n"/>
      <c r="F98" s="283" t="n"/>
      <c r="G98" s="283" t="n"/>
      <c r="H98" s="283" t="n"/>
      <c r="I98" s="283" t="n"/>
      <c r="J98" s="283" t="n"/>
      <c r="K98" s="283" t="n"/>
      <c r="L98" s="283" t="n"/>
      <c r="M98" s="283" t="n"/>
      <c r="N98" s="380" t="n"/>
      <c r="O98" s="380" t="n"/>
      <c r="P98" s="283" t="n"/>
      <c r="Q98" s="283" t="n"/>
      <c r="R98" s="283" t="n"/>
      <c r="S98" s="283" t="n"/>
      <c r="T98" s="283" t="n"/>
      <c r="U98" s="283" t="n"/>
      <c r="V98" s="283" t="n"/>
      <c r="W98" s="283" t="n"/>
      <c r="X98" s="283" t="n"/>
      <c r="Y98" s="283" t="n"/>
      <c r="Z98" s="283" t="n"/>
    </row>
    <row r="99">
      <c r="A99" s="283" t="n"/>
      <c r="B99" s="283" t="n"/>
      <c r="C99" s="283" t="n"/>
      <c r="D99" s="283" t="n"/>
      <c r="E99" s="283" t="n"/>
      <c r="F99" s="283" t="n"/>
      <c r="G99" s="283" t="n"/>
      <c r="H99" s="283" t="n"/>
      <c r="I99" s="283" t="n"/>
      <c r="J99" s="283" t="n"/>
      <c r="K99" s="283" t="n"/>
      <c r="L99" s="283" t="n"/>
      <c r="M99" s="283" t="n"/>
      <c r="N99" s="380" t="n"/>
      <c r="O99" s="380" t="n"/>
      <c r="P99" s="283" t="n"/>
      <c r="Q99" s="283" t="n"/>
      <c r="R99" s="283" t="n"/>
      <c r="S99" s="283" t="n"/>
      <c r="T99" s="283" t="n"/>
      <c r="U99" s="283" t="n"/>
      <c r="V99" s="283" t="n"/>
      <c r="W99" s="283" t="n"/>
      <c r="X99" s="283" t="n"/>
      <c r="Y99" s="283" t="n"/>
      <c r="Z99" s="283" t="n"/>
    </row>
    <row r="100">
      <c r="A100" s="283" t="n"/>
      <c r="B100" s="283" t="n"/>
      <c r="C100" s="283" t="n"/>
      <c r="D100" s="283" t="n"/>
      <c r="E100" s="283" t="n"/>
      <c r="F100" s="283" t="n"/>
      <c r="G100" s="283" t="n"/>
      <c r="H100" s="283" t="n"/>
      <c r="I100" s="283" t="n"/>
      <c r="J100" s="283" t="n"/>
      <c r="K100" s="283" t="n"/>
      <c r="L100" s="283" t="n"/>
      <c r="M100" s="283" t="n"/>
      <c r="N100" s="380" t="n"/>
      <c r="O100" s="380" t="n"/>
      <c r="P100" s="283" t="n"/>
      <c r="Q100" s="283" t="n"/>
      <c r="R100" s="283" t="n"/>
      <c r="S100" s="283" t="n"/>
      <c r="T100" s="283" t="n"/>
      <c r="U100" s="283" t="n"/>
      <c r="V100" s="283" t="n"/>
      <c r="W100" s="283" t="n"/>
      <c r="X100" s="283" t="n"/>
      <c r="Y100" s="283" t="n"/>
      <c r="Z100" s="283" t="n"/>
    </row>
    <row r="101">
      <c r="A101" s="283" t="n"/>
      <c r="B101" s="283" t="n"/>
      <c r="C101" s="283" t="n"/>
      <c r="D101" s="283" t="n"/>
      <c r="E101" s="283" t="n"/>
      <c r="F101" s="283" t="n"/>
      <c r="G101" s="283" t="n"/>
      <c r="H101" s="283" t="n"/>
      <c r="I101" s="283" t="n"/>
      <c r="J101" s="283" t="n"/>
      <c r="K101" s="283" t="n"/>
      <c r="L101" s="283" t="n"/>
      <c r="M101" s="283" t="n"/>
      <c r="N101" s="380" t="n"/>
      <c r="O101" s="380" t="n"/>
      <c r="P101" s="283" t="n"/>
      <c r="Q101" s="283" t="n"/>
      <c r="R101" s="283" t="n"/>
      <c r="S101" s="283" t="n"/>
      <c r="T101" s="283" t="n"/>
      <c r="U101" s="283" t="n"/>
      <c r="V101" s="283" t="n"/>
      <c r="W101" s="283" t="n"/>
      <c r="X101" s="283" t="n"/>
      <c r="Y101" s="283" t="n"/>
      <c r="Z101" s="283" t="n"/>
    </row>
    <row r="102">
      <c r="A102" s="283" t="n"/>
      <c r="B102" s="283" t="n"/>
      <c r="C102" s="283" t="n"/>
      <c r="D102" s="283" t="n"/>
      <c r="E102" s="283" t="n"/>
      <c r="F102" s="283" t="n"/>
      <c r="G102" s="283" t="n"/>
      <c r="H102" s="283" t="n"/>
      <c r="I102" s="283" t="n"/>
      <c r="J102" s="283" t="n"/>
      <c r="K102" s="283" t="n"/>
      <c r="L102" s="283" t="n"/>
      <c r="M102" s="283" t="n"/>
      <c r="N102" s="380" t="n"/>
      <c r="O102" s="380" t="n"/>
      <c r="P102" s="283" t="n"/>
      <c r="Q102" s="283" t="n"/>
      <c r="R102" s="283" t="n"/>
      <c r="S102" s="283" t="n"/>
      <c r="T102" s="283" t="n"/>
      <c r="U102" s="283" t="n"/>
      <c r="V102" s="283" t="n"/>
      <c r="W102" s="283" t="n"/>
      <c r="X102" s="283" t="n"/>
      <c r="Y102" s="283" t="n"/>
      <c r="Z102" s="283" t="n"/>
    </row>
    <row r="103">
      <c r="A103" s="283" t="n"/>
      <c r="B103" s="283" t="n"/>
      <c r="C103" s="283" t="n"/>
      <c r="D103" s="283" t="n"/>
      <c r="E103" s="283" t="n"/>
      <c r="F103" s="283" t="n"/>
      <c r="G103" s="283" t="n"/>
      <c r="H103" s="283" t="n"/>
      <c r="I103" s="283" t="n"/>
      <c r="J103" s="283" t="n"/>
      <c r="K103" s="283" t="n"/>
      <c r="L103" s="283" t="n"/>
      <c r="M103" s="283" t="n"/>
      <c r="N103" s="380" t="n"/>
      <c r="O103" s="380" t="n"/>
      <c r="P103" s="283" t="n"/>
      <c r="Q103" s="283" t="n"/>
      <c r="R103" s="283" t="n"/>
      <c r="S103" s="283" t="n"/>
      <c r="T103" s="283" t="n"/>
      <c r="U103" s="283" t="n"/>
      <c r="V103" s="283" t="n"/>
      <c r="W103" s="283" t="n"/>
      <c r="X103" s="283" t="n"/>
      <c r="Y103" s="283" t="n"/>
      <c r="Z103" s="283" t="n"/>
    </row>
    <row r="104">
      <c r="A104" s="283" t="n"/>
      <c r="B104" s="283" t="n"/>
      <c r="C104" s="283" t="n"/>
      <c r="D104" s="283" t="n"/>
      <c r="E104" s="283" t="n"/>
      <c r="F104" s="283" t="n"/>
      <c r="G104" s="283" t="n"/>
      <c r="H104" s="283" t="n"/>
      <c r="I104" s="283" t="n"/>
      <c r="J104" s="283" t="n"/>
      <c r="K104" s="283" t="n"/>
      <c r="L104" s="283" t="n"/>
      <c r="M104" s="283" t="n"/>
      <c r="N104" s="380" t="n"/>
      <c r="O104" s="380" t="n"/>
      <c r="P104" s="283" t="n"/>
      <c r="Q104" s="283" t="n"/>
      <c r="R104" s="283" t="n"/>
      <c r="S104" s="283" t="n"/>
      <c r="T104" s="283" t="n"/>
      <c r="U104" s="283" t="n"/>
      <c r="V104" s="283" t="n"/>
      <c r="W104" s="283" t="n"/>
      <c r="X104" s="283" t="n"/>
      <c r="Y104" s="283" t="n"/>
      <c r="Z104" s="283" t="n"/>
    </row>
    <row r="105">
      <c r="A105" s="283" t="n"/>
      <c r="B105" s="283" t="n"/>
      <c r="C105" s="283" t="n"/>
      <c r="D105" s="283" t="n"/>
      <c r="E105" s="283" t="n"/>
      <c r="F105" s="283" t="n"/>
      <c r="G105" s="283" t="n"/>
      <c r="H105" s="283" t="n"/>
      <c r="I105" s="283" t="n"/>
      <c r="J105" s="283" t="n"/>
      <c r="K105" s="283" t="n"/>
      <c r="L105" s="283" t="n"/>
      <c r="M105" s="283" t="n"/>
      <c r="N105" s="380" t="n"/>
      <c r="O105" s="380" t="n"/>
      <c r="P105" s="283" t="n"/>
      <c r="Q105" s="283" t="n"/>
      <c r="R105" s="283" t="n"/>
      <c r="S105" s="283" t="n"/>
      <c r="T105" s="283" t="n"/>
      <c r="U105" s="283" t="n"/>
      <c r="V105" s="283" t="n"/>
      <c r="W105" s="283" t="n"/>
      <c r="X105" s="283" t="n"/>
      <c r="Y105" s="283" t="n"/>
      <c r="Z105" s="283" t="n"/>
    </row>
    <row r="106">
      <c r="A106" s="283" t="n"/>
      <c r="B106" s="283" t="n"/>
      <c r="C106" s="283" t="n"/>
      <c r="D106" s="283" t="n"/>
      <c r="E106" s="283" t="n"/>
      <c r="F106" s="283" t="n"/>
      <c r="G106" s="283" t="n"/>
      <c r="H106" s="283" t="n"/>
      <c r="I106" s="283" t="n"/>
      <c r="J106" s="283" t="n"/>
      <c r="K106" s="283" t="n"/>
      <c r="L106" s="283" t="n"/>
      <c r="M106" s="283" t="n"/>
      <c r="N106" s="380" t="n"/>
      <c r="O106" s="380" t="n"/>
      <c r="P106" s="283" t="n"/>
      <c r="Q106" s="283" t="n"/>
      <c r="R106" s="283" t="n"/>
      <c r="S106" s="283" t="n"/>
      <c r="T106" s="283" t="n"/>
      <c r="U106" s="283" t="n"/>
      <c r="V106" s="283" t="n"/>
      <c r="W106" s="283" t="n"/>
      <c r="X106" s="283" t="n"/>
      <c r="Y106" s="283" t="n"/>
      <c r="Z106" s="283" t="n"/>
    </row>
    <row r="107">
      <c r="A107" s="283" t="n"/>
      <c r="B107" s="283" t="n"/>
      <c r="C107" s="283" t="n"/>
      <c r="D107" s="283" t="n"/>
      <c r="E107" s="283" t="n"/>
      <c r="F107" s="283" t="n"/>
      <c r="G107" s="283" t="n"/>
      <c r="H107" s="283" t="n"/>
      <c r="I107" s="283" t="n"/>
      <c r="J107" s="283" t="n"/>
      <c r="K107" s="283" t="n"/>
      <c r="L107" s="283" t="n"/>
      <c r="M107" s="283" t="n"/>
      <c r="N107" s="380" t="n"/>
      <c r="O107" s="380" t="n"/>
      <c r="P107" s="283" t="n"/>
      <c r="Q107" s="283" t="n"/>
      <c r="R107" s="283" t="n"/>
      <c r="S107" s="283" t="n"/>
      <c r="T107" s="283" t="n"/>
      <c r="U107" s="283" t="n"/>
      <c r="V107" s="283" t="n"/>
      <c r="W107" s="283" t="n"/>
      <c r="X107" s="283" t="n"/>
      <c r="Y107" s="283" t="n"/>
      <c r="Z107" s="283" t="n"/>
    </row>
    <row r="108">
      <c r="A108" s="283" t="n"/>
      <c r="B108" s="283" t="n"/>
      <c r="C108" s="283" t="n"/>
      <c r="D108" s="283" t="n"/>
      <c r="E108" s="283" t="n"/>
      <c r="F108" s="283" t="n"/>
      <c r="G108" s="283" t="n"/>
      <c r="H108" s="283" t="n"/>
      <c r="I108" s="283" t="n"/>
      <c r="J108" s="283" t="n"/>
      <c r="K108" s="283" t="n"/>
      <c r="L108" s="283" t="n"/>
      <c r="M108" s="283" t="n"/>
      <c r="N108" s="380" t="n"/>
      <c r="O108" s="380" t="n"/>
      <c r="P108" s="283" t="n"/>
      <c r="Q108" s="283" t="n"/>
      <c r="R108" s="283" t="n"/>
      <c r="S108" s="283" t="n"/>
      <c r="T108" s="283" t="n"/>
      <c r="U108" s="283" t="n"/>
      <c r="V108" s="283" t="n"/>
      <c r="W108" s="283" t="n"/>
      <c r="X108" s="283" t="n"/>
      <c r="Y108" s="283" t="n"/>
      <c r="Z108" s="283" t="n"/>
    </row>
    <row r="109">
      <c r="A109" s="283" t="n"/>
      <c r="B109" s="283" t="n"/>
      <c r="C109" s="283" t="n"/>
      <c r="D109" s="283" t="n"/>
      <c r="E109" s="283" t="n"/>
      <c r="F109" s="283" t="n"/>
      <c r="G109" s="283" t="n"/>
      <c r="H109" s="283" t="n"/>
      <c r="I109" s="283" t="n"/>
      <c r="J109" s="283" t="n"/>
      <c r="K109" s="283" t="n"/>
      <c r="L109" s="283" t="n"/>
      <c r="M109" s="283" t="n"/>
      <c r="N109" s="380" t="n"/>
      <c r="O109" s="380" t="n"/>
      <c r="P109" s="283" t="n"/>
      <c r="Q109" s="283" t="n"/>
      <c r="R109" s="283" t="n"/>
      <c r="S109" s="283" t="n"/>
      <c r="T109" s="283" t="n"/>
      <c r="U109" s="283" t="n"/>
      <c r="V109" s="283" t="n"/>
      <c r="W109" s="283" t="n"/>
      <c r="X109" s="283" t="n"/>
      <c r="Y109" s="283" t="n"/>
      <c r="Z109" s="283" t="n"/>
    </row>
    <row r="110">
      <c r="A110" s="283" t="n"/>
      <c r="B110" s="283" t="n"/>
      <c r="C110" s="283" t="n"/>
      <c r="D110" s="283" t="n"/>
      <c r="E110" s="283" t="n"/>
      <c r="F110" s="283" t="n"/>
      <c r="G110" s="283" t="n"/>
      <c r="H110" s="283" t="n"/>
      <c r="I110" s="283" t="n"/>
      <c r="J110" s="283" t="n"/>
      <c r="K110" s="283" t="n"/>
      <c r="L110" s="283" t="n"/>
      <c r="M110" s="283" t="n"/>
      <c r="N110" s="380" t="n"/>
      <c r="O110" s="380" t="n"/>
      <c r="P110" s="283" t="n"/>
      <c r="Q110" s="283" t="n"/>
      <c r="R110" s="283" t="n"/>
      <c r="S110" s="283" t="n"/>
      <c r="T110" s="283" t="n"/>
      <c r="U110" s="283" t="n"/>
      <c r="V110" s="283" t="n"/>
      <c r="W110" s="283" t="n"/>
      <c r="X110" s="283" t="n"/>
      <c r="Y110" s="283" t="n"/>
      <c r="Z110" s="283" t="n"/>
    </row>
    <row r="111">
      <c r="A111" s="283" t="n"/>
      <c r="B111" s="283" t="n"/>
      <c r="C111" s="283" t="n"/>
      <c r="D111" s="283" t="n"/>
      <c r="E111" s="283" t="n"/>
      <c r="F111" s="283" t="n"/>
      <c r="G111" s="283" t="n"/>
      <c r="H111" s="283" t="n"/>
      <c r="I111" s="283" t="n"/>
      <c r="J111" s="283" t="n"/>
      <c r="K111" s="283" t="n"/>
      <c r="L111" s="283" t="n"/>
      <c r="M111" s="283" t="n"/>
      <c r="N111" s="380" t="n"/>
      <c r="O111" s="380" t="n"/>
      <c r="P111" s="283" t="n"/>
      <c r="Q111" s="283" t="n"/>
      <c r="R111" s="283" t="n"/>
      <c r="S111" s="283" t="n"/>
      <c r="T111" s="283" t="n"/>
      <c r="U111" s="283" t="n"/>
      <c r="V111" s="283" t="n"/>
      <c r="W111" s="283" t="n"/>
      <c r="X111" s="283" t="n"/>
      <c r="Y111" s="283" t="n"/>
      <c r="Z111" s="283" t="n"/>
    </row>
    <row r="112">
      <c r="A112" s="283" t="n"/>
      <c r="B112" s="283" t="n"/>
      <c r="C112" s="283" t="n"/>
      <c r="D112" s="283" t="n"/>
      <c r="E112" s="283" t="n"/>
      <c r="F112" s="283" t="n"/>
      <c r="G112" s="283" t="n"/>
      <c r="H112" s="283" t="n"/>
      <c r="I112" s="283" t="n"/>
      <c r="J112" s="283" t="n"/>
      <c r="K112" s="283" t="n"/>
      <c r="L112" s="283" t="n"/>
      <c r="M112" s="283" t="n"/>
      <c r="N112" s="380" t="n"/>
      <c r="O112" s="380" t="n"/>
      <c r="P112" s="283" t="n"/>
      <c r="Q112" s="283" t="n"/>
      <c r="R112" s="283" t="n"/>
      <c r="S112" s="283" t="n"/>
      <c r="T112" s="283" t="n"/>
      <c r="U112" s="283" t="n"/>
      <c r="V112" s="283" t="n"/>
      <c r="W112" s="283" t="n"/>
      <c r="X112" s="283" t="n"/>
      <c r="Y112" s="283" t="n"/>
      <c r="Z112" s="283" t="n"/>
    </row>
    <row r="113">
      <c r="A113" s="283" t="n"/>
      <c r="B113" s="283" t="n"/>
      <c r="C113" s="283" t="n"/>
      <c r="D113" s="283" t="n"/>
      <c r="E113" s="283" t="n"/>
      <c r="F113" s="283" t="n"/>
      <c r="G113" s="283" t="n"/>
      <c r="H113" s="283" t="n"/>
      <c r="I113" s="283" t="n"/>
      <c r="J113" s="283" t="n"/>
      <c r="K113" s="283" t="n"/>
      <c r="L113" s="283" t="n"/>
      <c r="M113" s="283" t="n"/>
      <c r="N113" s="380" t="n"/>
      <c r="O113" s="380" t="n"/>
      <c r="P113" s="283" t="n"/>
      <c r="Q113" s="283" t="n"/>
      <c r="R113" s="283" t="n"/>
      <c r="S113" s="283" t="n"/>
      <c r="T113" s="283" t="n"/>
      <c r="U113" s="283" t="n"/>
      <c r="V113" s="283" t="n"/>
      <c r="W113" s="283" t="n"/>
      <c r="X113" s="283" t="n"/>
      <c r="Y113" s="283" t="n"/>
      <c r="Z113" s="283" t="n"/>
    </row>
    <row r="114">
      <c r="A114" s="283" t="n"/>
      <c r="B114" s="283" t="n"/>
      <c r="C114" s="283" t="n"/>
      <c r="D114" s="283" t="n"/>
      <c r="E114" s="283" t="n"/>
      <c r="F114" s="283" t="n"/>
      <c r="G114" s="283" t="n"/>
      <c r="H114" s="283" t="n"/>
      <c r="I114" s="283" t="n"/>
      <c r="J114" s="283" t="n"/>
      <c r="K114" s="283" t="n"/>
      <c r="L114" s="283" t="n"/>
      <c r="M114" s="283" t="n"/>
      <c r="N114" s="380" t="n"/>
      <c r="O114" s="380" t="n"/>
      <c r="P114" s="283" t="n"/>
      <c r="Q114" s="283" t="n"/>
      <c r="R114" s="283" t="n"/>
      <c r="S114" s="283" t="n"/>
      <c r="T114" s="283" t="n"/>
      <c r="U114" s="283" t="n"/>
      <c r="V114" s="283" t="n"/>
      <c r="W114" s="283" t="n"/>
      <c r="X114" s="283" t="n"/>
      <c r="Y114" s="283" t="n"/>
      <c r="Z114" s="283" t="n"/>
    </row>
    <row r="115">
      <c r="A115" s="283" t="n"/>
      <c r="B115" s="283" t="n"/>
      <c r="C115" s="283" t="n"/>
      <c r="D115" s="283" t="n"/>
      <c r="E115" s="283" t="n"/>
      <c r="F115" s="283" t="n"/>
      <c r="G115" s="283" t="n"/>
      <c r="H115" s="283" t="n"/>
      <c r="I115" s="283" t="n"/>
      <c r="J115" s="283" t="n"/>
      <c r="K115" s="283" t="n"/>
      <c r="L115" s="283" t="n"/>
      <c r="M115" s="283" t="n"/>
      <c r="N115" s="380" t="n"/>
      <c r="O115" s="380" t="n"/>
      <c r="P115" s="283" t="n"/>
      <c r="Q115" s="283" t="n"/>
      <c r="R115" s="283" t="n"/>
      <c r="S115" s="283" t="n"/>
      <c r="T115" s="283" t="n"/>
      <c r="U115" s="283" t="n"/>
      <c r="V115" s="283" t="n"/>
      <c r="W115" s="283" t="n"/>
      <c r="X115" s="283" t="n"/>
      <c r="Y115" s="283" t="n"/>
      <c r="Z115" s="283" t="n"/>
    </row>
    <row r="116">
      <c r="A116" s="283" t="n"/>
      <c r="B116" s="283" t="n"/>
      <c r="C116" s="283" t="n"/>
      <c r="D116" s="283" t="n"/>
      <c r="E116" s="283" t="n"/>
      <c r="F116" s="283" t="n"/>
      <c r="G116" s="283" t="n"/>
      <c r="H116" s="283" t="n"/>
      <c r="I116" s="283" t="n"/>
      <c r="J116" s="283" t="n"/>
      <c r="K116" s="283" t="n"/>
      <c r="L116" s="283" t="n"/>
      <c r="M116" s="283" t="n"/>
      <c r="N116" s="380" t="n"/>
      <c r="O116" s="380" t="n"/>
      <c r="P116" s="283" t="n"/>
      <c r="Q116" s="283" t="n"/>
      <c r="R116" s="283" t="n"/>
      <c r="S116" s="283" t="n"/>
      <c r="T116" s="283" t="n"/>
      <c r="U116" s="283" t="n"/>
      <c r="V116" s="283" t="n"/>
      <c r="W116" s="283" t="n"/>
      <c r="X116" s="283" t="n"/>
      <c r="Y116" s="283" t="n"/>
      <c r="Z116" s="283" t="n"/>
    </row>
    <row r="117">
      <c r="A117" s="283" t="n"/>
      <c r="B117" s="283" t="n"/>
      <c r="C117" s="283" t="n"/>
      <c r="D117" s="283" t="n"/>
      <c r="E117" s="283" t="n"/>
      <c r="F117" s="283" t="n"/>
      <c r="G117" s="283" t="n"/>
      <c r="H117" s="283" t="n"/>
      <c r="I117" s="283" t="n"/>
      <c r="J117" s="283" t="n"/>
      <c r="K117" s="283" t="n"/>
      <c r="L117" s="283" t="n"/>
      <c r="M117" s="283" t="n"/>
      <c r="N117" s="380" t="n"/>
      <c r="O117" s="380" t="n"/>
      <c r="P117" s="283" t="n"/>
      <c r="Q117" s="283" t="n"/>
      <c r="R117" s="283" t="n"/>
      <c r="S117" s="283" t="n"/>
      <c r="T117" s="283" t="n"/>
      <c r="U117" s="283" t="n"/>
      <c r="V117" s="283" t="n"/>
      <c r="W117" s="283" t="n"/>
      <c r="X117" s="283" t="n"/>
      <c r="Y117" s="283" t="n"/>
      <c r="Z117" s="283" t="n"/>
    </row>
    <row r="118">
      <c r="A118" s="283" t="n"/>
      <c r="B118" s="283" t="n"/>
      <c r="C118" s="283" t="n"/>
      <c r="D118" s="283" t="n"/>
      <c r="E118" s="283" t="n"/>
      <c r="F118" s="283" t="n"/>
      <c r="G118" s="283" t="n"/>
      <c r="H118" s="283" t="n"/>
      <c r="I118" s="283" t="n"/>
      <c r="J118" s="283" t="n"/>
      <c r="K118" s="283" t="n"/>
      <c r="L118" s="283" t="n"/>
      <c r="M118" s="283" t="n"/>
      <c r="N118" s="380" t="n"/>
      <c r="O118" s="380" t="n"/>
      <c r="P118" s="283" t="n"/>
      <c r="Q118" s="283" t="n"/>
      <c r="R118" s="283" t="n"/>
      <c r="S118" s="283" t="n"/>
      <c r="T118" s="283" t="n"/>
      <c r="U118" s="283" t="n"/>
      <c r="V118" s="283" t="n"/>
      <c r="W118" s="283" t="n"/>
      <c r="X118" s="283" t="n"/>
      <c r="Y118" s="283" t="n"/>
      <c r="Z118" s="283" t="n"/>
    </row>
    <row r="119">
      <c r="A119" s="283" t="n"/>
      <c r="B119" s="283" t="n"/>
      <c r="C119" s="283" t="n"/>
      <c r="D119" s="283" t="n"/>
      <c r="E119" s="283" t="n"/>
      <c r="F119" s="283" t="n"/>
      <c r="G119" s="283" t="n"/>
      <c r="H119" s="283" t="n"/>
      <c r="I119" s="283" t="n"/>
      <c r="J119" s="283" t="n"/>
      <c r="K119" s="283" t="n"/>
      <c r="L119" s="283" t="n"/>
      <c r="M119" s="283" t="n"/>
      <c r="N119" s="380" t="n"/>
      <c r="O119" s="380" t="n"/>
      <c r="P119" s="283" t="n"/>
      <c r="Q119" s="283" t="n"/>
      <c r="R119" s="283" t="n"/>
      <c r="S119" s="283" t="n"/>
      <c r="T119" s="283" t="n"/>
      <c r="U119" s="283" t="n"/>
      <c r="V119" s="283" t="n"/>
      <c r="W119" s="283" t="n"/>
      <c r="X119" s="283" t="n"/>
      <c r="Y119" s="283" t="n"/>
      <c r="Z119" s="283" t="n"/>
    </row>
    <row r="120">
      <c r="A120" s="283" t="n"/>
      <c r="B120" s="283" t="n"/>
      <c r="C120" s="283" t="n"/>
      <c r="D120" s="283" t="n"/>
      <c r="E120" s="283" t="n"/>
      <c r="F120" s="283" t="n"/>
      <c r="G120" s="283" t="n"/>
      <c r="H120" s="283" t="n"/>
      <c r="I120" s="283" t="n"/>
      <c r="J120" s="283" t="n"/>
      <c r="K120" s="283" t="n"/>
      <c r="L120" s="283" t="n"/>
      <c r="M120" s="283" t="n"/>
      <c r="N120" s="380" t="n"/>
      <c r="O120" s="380" t="n"/>
      <c r="P120" s="283" t="n"/>
      <c r="Q120" s="283" t="n"/>
      <c r="R120" s="283" t="n"/>
      <c r="S120" s="283" t="n"/>
      <c r="T120" s="283" t="n"/>
      <c r="U120" s="283" t="n"/>
      <c r="V120" s="283" t="n"/>
      <c r="W120" s="283" t="n"/>
      <c r="X120" s="283" t="n"/>
      <c r="Y120" s="283" t="n"/>
      <c r="Z120" s="283" t="n"/>
    </row>
    <row r="121">
      <c r="A121" s="283" t="n"/>
      <c r="B121" s="283" t="n"/>
      <c r="C121" s="283" t="n"/>
      <c r="D121" s="283" t="n"/>
      <c r="E121" s="283" t="n"/>
      <c r="F121" s="283" t="n"/>
      <c r="G121" s="283" t="n"/>
      <c r="H121" s="283" t="n"/>
      <c r="I121" s="283" t="n"/>
      <c r="J121" s="283" t="n"/>
      <c r="K121" s="283" t="n"/>
      <c r="L121" s="283" t="n"/>
      <c r="M121" s="283" t="n"/>
      <c r="N121" s="380" t="n"/>
      <c r="O121" s="380" t="n"/>
      <c r="P121" s="283" t="n"/>
      <c r="Q121" s="283" t="n"/>
      <c r="R121" s="283" t="n"/>
      <c r="S121" s="283" t="n"/>
      <c r="T121" s="283" t="n"/>
      <c r="U121" s="283" t="n"/>
      <c r="V121" s="283" t="n"/>
      <c r="W121" s="283" t="n"/>
      <c r="X121" s="283" t="n"/>
      <c r="Y121" s="283" t="n"/>
      <c r="Z121" s="283" t="n"/>
    </row>
    <row r="122">
      <c r="A122" s="283" t="n"/>
      <c r="B122" s="283" t="n"/>
      <c r="C122" s="283" t="n"/>
      <c r="D122" s="283" t="n"/>
      <c r="E122" s="283" t="n"/>
      <c r="F122" s="283" t="n"/>
      <c r="G122" s="283" t="n"/>
      <c r="H122" s="283" t="n"/>
      <c r="I122" s="283" t="n"/>
      <c r="J122" s="283" t="n"/>
      <c r="K122" s="283" t="n"/>
      <c r="L122" s="283" t="n"/>
      <c r="M122" s="283" t="n"/>
      <c r="N122" s="380" t="n"/>
      <c r="O122" s="380" t="n"/>
      <c r="P122" s="283" t="n"/>
      <c r="Q122" s="283" t="n"/>
      <c r="R122" s="283" t="n"/>
      <c r="S122" s="283" t="n"/>
      <c r="T122" s="283" t="n"/>
      <c r="U122" s="283" t="n"/>
      <c r="V122" s="283" t="n"/>
      <c r="W122" s="283" t="n"/>
      <c r="X122" s="283" t="n"/>
      <c r="Y122" s="283" t="n"/>
      <c r="Z122" s="283" t="n"/>
    </row>
    <row r="123">
      <c r="A123" s="283" t="n"/>
      <c r="B123" s="283" t="n"/>
      <c r="C123" s="283" t="n"/>
      <c r="D123" s="283" t="n"/>
      <c r="E123" s="283" t="n"/>
      <c r="F123" s="283" t="n"/>
      <c r="G123" s="283" t="n"/>
      <c r="H123" s="283" t="n"/>
      <c r="I123" s="283" t="n"/>
      <c r="J123" s="283" t="n"/>
      <c r="K123" s="283" t="n"/>
      <c r="L123" s="283" t="n"/>
      <c r="M123" s="283" t="n"/>
      <c r="N123" s="380" t="n"/>
      <c r="O123" s="380" t="n"/>
      <c r="P123" s="283" t="n"/>
      <c r="Q123" s="283" t="n"/>
      <c r="R123" s="283" t="n"/>
      <c r="S123" s="283" t="n"/>
      <c r="T123" s="283" t="n"/>
      <c r="U123" s="283" t="n"/>
      <c r="V123" s="283" t="n"/>
      <c r="W123" s="283" t="n"/>
      <c r="X123" s="283" t="n"/>
      <c r="Y123" s="283" t="n"/>
      <c r="Z123" s="283" t="n"/>
    </row>
    <row r="124">
      <c r="A124" s="283" t="n"/>
      <c r="B124" s="283" t="n"/>
      <c r="C124" s="283" t="n"/>
      <c r="D124" s="283" t="n"/>
      <c r="E124" s="283" t="n"/>
      <c r="F124" s="283" t="n"/>
      <c r="G124" s="283" t="n"/>
      <c r="H124" s="283" t="n"/>
      <c r="I124" s="283" t="n"/>
      <c r="J124" s="283" t="n"/>
      <c r="K124" s="283" t="n"/>
      <c r="L124" s="283" t="n"/>
      <c r="M124" s="283" t="n"/>
      <c r="N124" s="380" t="n"/>
      <c r="O124" s="380" t="n"/>
      <c r="P124" s="283" t="n"/>
      <c r="Q124" s="283" t="n"/>
      <c r="R124" s="283" t="n"/>
      <c r="S124" s="283" t="n"/>
      <c r="T124" s="283" t="n"/>
      <c r="U124" s="283" t="n"/>
      <c r="V124" s="283" t="n"/>
      <c r="W124" s="283" t="n"/>
      <c r="X124" s="283" t="n"/>
      <c r="Y124" s="283" t="n"/>
      <c r="Z124" s="283" t="n"/>
    </row>
    <row r="125">
      <c r="A125" s="283" t="n"/>
      <c r="B125" s="283" t="n"/>
      <c r="C125" s="283" t="n"/>
      <c r="D125" s="283" t="n"/>
      <c r="E125" s="283" t="n"/>
      <c r="F125" s="283" t="n"/>
      <c r="G125" s="283" t="n"/>
      <c r="H125" s="283" t="n"/>
      <c r="I125" s="283" t="n"/>
      <c r="J125" s="283" t="n"/>
      <c r="K125" s="283" t="n"/>
      <c r="L125" s="283" t="n"/>
      <c r="M125" s="283" t="n"/>
      <c r="N125" s="380" t="n"/>
      <c r="O125" s="380" t="n"/>
      <c r="P125" s="283" t="n"/>
      <c r="Q125" s="283" t="n"/>
      <c r="R125" s="283" t="n"/>
      <c r="S125" s="283" t="n"/>
      <c r="T125" s="283" t="n"/>
      <c r="U125" s="283" t="n"/>
      <c r="V125" s="283" t="n"/>
      <c r="W125" s="283" t="n"/>
      <c r="X125" s="283" t="n"/>
      <c r="Y125" s="283" t="n"/>
      <c r="Z125" s="283" t="n"/>
    </row>
    <row r="126">
      <c r="A126" s="283" t="n"/>
      <c r="B126" s="283" t="n"/>
      <c r="C126" s="283" t="n"/>
      <c r="D126" s="283" t="n"/>
      <c r="E126" s="283" t="n"/>
      <c r="F126" s="283" t="n"/>
      <c r="G126" s="283" t="n"/>
      <c r="H126" s="283" t="n"/>
      <c r="I126" s="283" t="n"/>
      <c r="J126" s="283" t="n"/>
      <c r="K126" s="283" t="n"/>
      <c r="L126" s="283" t="n"/>
      <c r="M126" s="283" t="n"/>
      <c r="N126" s="380" t="n"/>
      <c r="O126" s="380" t="n"/>
      <c r="P126" s="283" t="n"/>
      <c r="Q126" s="283" t="n"/>
      <c r="R126" s="283" t="n"/>
      <c r="S126" s="283" t="n"/>
      <c r="T126" s="283" t="n"/>
      <c r="U126" s="283" t="n"/>
      <c r="V126" s="283" t="n"/>
      <c r="W126" s="283" t="n"/>
      <c r="X126" s="283" t="n"/>
      <c r="Y126" s="283" t="n"/>
      <c r="Z126" s="283" t="n"/>
    </row>
    <row r="127">
      <c r="A127" s="283" t="n"/>
      <c r="B127" s="283" t="n"/>
      <c r="C127" s="283" t="n"/>
      <c r="D127" s="283" t="n"/>
      <c r="E127" s="283" t="n"/>
      <c r="F127" s="283" t="n"/>
      <c r="G127" s="283" t="n"/>
      <c r="H127" s="283" t="n"/>
      <c r="I127" s="283" t="n"/>
      <c r="J127" s="283" t="n"/>
      <c r="K127" s="283" t="n"/>
      <c r="L127" s="283" t="n"/>
      <c r="M127" s="283" t="n"/>
      <c r="N127" s="380" t="n"/>
      <c r="O127" s="380" t="n"/>
      <c r="P127" s="283" t="n"/>
      <c r="Q127" s="283" t="n"/>
      <c r="R127" s="283" t="n"/>
      <c r="S127" s="283" t="n"/>
      <c r="T127" s="283" t="n"/>
      <c r="U127" s="283" t="n"/>
      <c r="V127" s="283" t="n"/>
      <c r="W127" s="283" t="n"/>
      <c r="X127" s="283" t="n"/>
      <c r="Y127" s="283" t="n"/>
      <c r="Z127" s="283" t="n"/>
    </row>
    <row r="128">
      <c r="A128" s="283" t="n"/>
      <c r="B128" s="283" t="n"/>
      <c r="C128" s="283" t="n"/>
      <c r="D128" s="283" t="n"/>
      <c r="E128" s="283" t="n"/>
      <c r="F128" s="283" t="n"/>
      <c r="G128" s="283" t="n"/>
      <c r="H128" s="283" t="n"/>
      <c r="I128" s="283" t="n"/>
      <c r="J128" s="283" t="n"/>
      <c r="K128" s="283" t="n"/>
      <c r="L128" s="283" t="n"/>
      <c r="M128" s="283" t="n"/>
      <c r="N128" s="380" t="n"/>
      <c r="O128" s="380" t="n"/>
      <c r="P128" s="283" t="n"/>
      <c r="Q128" s="283" t="n"/>
      <c r="R128" s="283" t="n"/>
      <c r="S128" s="283" t="n"/>
      <c r="T128" s="283" t="n"/>
      <c r="U128" s="283" t="n"/>
      <c r="V128" s="283" t="n"/>
      <c r="W128" s="283" t="n"/>
      <c r="X128" s="283" t="n"/>
      <c r="Y128" s="283" t="n"/>
      <c r="Z128" s="283" t="n"/>
    </row>
    <row r="129">
      <c r="A129" s="283" t="n"/>
      <c r="B129" s="283" t="n"/>
      <c r="C129" s="283" t="n"/>
      <c r="D129" s="283" t="n"/>
      <c r="E129" s="283" t="n"/>
      <c r="F129" s="283" t="n"/>
      <c r="G129" s="283" t="n"/>
      <c r="H129" s="283" t="n"/>
      <c r="I129" s="283" t="n"/>
      <c r="J129" s="283" t="n"/>
      <c r="K129" s="283" t="n"/>
      <c r="L129" s="283" t="n"/>
      <c r="M129" s="283" t="n"/>
      <c r="N129" s="380" t="n"/>
      <c r="O129" s="380" t="n"/>
      <c r="P129" s="283" t="n"/>
      <c r="Q129" s="283" t="n"/>
      <c r="R129" s="283" t="n"/>
      <c r="S129" s="283" t="n"/>
      <c r="T129" s="283" t="n"/>
      <c r="U129" s="283" t="n"/>
      <c r="V129" s="283" t="n"/>
      <c r="W129" s="283" t="n"/>
      <c r="X129" s="283" t="n"/>
      <c r="Y129" s="283" t="n"/>
      <c r="Z129" s="283" t="n"/>
    </row>
    <row r="130">
      <c r="A130" s="283" t="n"/>
      <c r="B130" s="283" t="n"/>
      <c r="C130" s="283" t="n"/>
      <c r="D130" s="283" t="n"/>
      <c r="E130" s="283" t="n"/>
      <c r="F130" s="283" t="n"/>
      <c r="G130" s="283" t="n"/>
      <c r="H130" s="283" t="n"/>
      <c r="I130" s="283" t="n"/>
      <c r="J130" s="283" t="n"/>
      <c r="K130" s="283" t="n"/>
      <c r="L130" s="283" t="n"/>
      <c r="M130" s="283" t="n"/>
      <c r="N130" s="380" t="n"/>
      <c r="O130" s="380" t="n"/>
      <c r="P130" s="283" t="n"/>
      <c r="Q130" s="283" t="n"/>
      <c r="R130" s="283" t="n"/>
      <c r="S130" s="283" t="n"/>
      <c r="T130" s="283" t="n"/>
      <c r="U130" s="283" t="n"/>
      <c r="V130" s="283" t="n"/>
      <c r="W130" s="283" t="n"/>
      <c r="X130" s="283" t="n"/>
      <c r="Y130" s="283" t="n"/>
      <c r="Z130" s="283" t="n"/>
    </row>
    <row r="131">
      <c r="A131" s="283" t="n"/>
      <c r="B131" s="283" t="n"/>
      <c r="C131" s="283" t="n"/>
      <c r="D131" s="283" t="n"/>
      <c r="E131" s="283" t="n"/>
      <c r="F131" s="283" t="n"/>
      <c r="G131" s="283" t="n"/>
      <c r="H131" s="283" t="n"/>
      <c r="I131" s="283" t="n"/>
      <c r="J131" s="283" t="n"/>
      <c r="K131" s="283" t="n"/>
      <c r="L131" s="283" t="n"/>
      <c r="M131" s="283" t="n"/>
      <c r="N131" s="380" t="n"/>
      <c r="O131" s="380" t="n"/>
      <c r="P131" s="283" t="n"/>
      <c r="Q131" s="283" t="n"/>
      <c r="R131" s="283" t="n"/>
      <c r="S131" s="283" t="n"/>
      <c r="T131" s="283" t="n"/>
      <c r="U131" s="283" t="n"/>
      <c r="V131" s="283" t="n"/>
      <c r="W131" s="283" t="n"/>
      <c r="X131" s="283" t="n"/>
      <c r="Y131" s="283" t="n"/>
      <c r="Z131" s="283" t="n"/>
    </row>
    <row r="132">
      <c r="A132" s="283" t="n"/>
      <c r="B132" s="283" t="n"/>
      <c r="C132" s="283" t="n"/>
      <c r="D132" s="283" t="n"/>
      <c r="E132" s="283" t="n"/>
      <c r="F132" s="283" t="n"/>
      <c r="G132" s="283" t="n"/>
      <c r="H132" s="283" t="n"/>
      <c r="I132" s="283" t="n"/>
      <c r="J132" s="283" t="n"/>
      <c r="K132" s="283" t="n"/>
      <c r="L132" s="283" t="n"/>
      <c r="M132" s="283" t="n"/>
      <c r="N132" s="380" t="n"/>
      <c r="O132" s="380" t="n"/>
      <c r="P132" s="283" t="n"/>
      <c r="Q132" s="283" t="n"/>
      <c r="R132" s="283" t="n"/>
      <c r="S132" s="283" t="n"/>
      <c r="T132" s="283" t="n"/>
      <c r="U132" s="283" t="n"/>
      <c r="V132" s="283" t="n"/>
      <c r="W132" s="283" t="n"/>
      <c r="X132" s="283" t="n"/>
      <c r="Y132" s="283" t="n"/>
      <c r="Z132" s="283" t="n"/>
    </row>
    <row r="133">
      <c r="A133" s="283" t="n"/>
      <c r="B133" s="283" t="n"/>
      <c r="C133" s="283" t="n"/>
      <c r="D133" s="283" t="n"/>
      <c r="E133" s="283" t="n"/>
      <c r="F133" s="283" t="n"/>
      <c r="G133" s="283" t="n"/>
      <c r="H133" s="283" t="n"/>
      <c r="I133" s="283" t="n"/>
      <c r="J133" s="283" t="n"/>
      <c r="K133" s="283" t="n"/>
      <c r="L133" s="283" t="n"/>
      <c r="M133" s="283" t="n"/>
      <c r="N133" s="380" t="n"/>
      <c r="O133" s="380" t="n"/>
      <c r="P133" s="283" t="n"/>
      <c r="Q133" s="283" t="n"/>
      <c r="R133" s="283" t="n"/>
      <c r="S133" s="283" t="n"/>
      <c r="T133" s="283" t="n"/>
      <c r="U133" s="283" t="n"/>
      <c r="V133" s="283" t="n"/>
      <c r="W133" s="283" t="n"/>
      <c r="X133" s="283" t="n"/>
      <c r="Y133" s="283" t="n"/>
      <c r="Z133" s="283" t="n"/>
    </row>
    <row r="134">
      <c r="A134" s="283" t="n"/>
      <c r="B134" s="283" t="n"/>
      <c r="C134" s="283" t="n"/>
      <c r="D134" s="283" t="n"/>
      <c r="E134" s="283" t="n"/>
      <c r="F134" s="283" t="n"/>
      <c r="G134" s="283" t="n"/>
      <c r="H134" s="283" t="n"/>
      <c r="I134" s="283" t="n"/>
      <c r="J134" s="283" t="n"/>
      <c r="K134" s="283" t="n"/>
      <c r="L134" s="283" t="n"/>
      <c r="M134" s="283" t="n"/>
      <c r="N134" s="380" t="n"/>
      <c r="O134" s="380" t="n"/>
      <c r="P134" s="283" t="n"/>
      <c r="Q134" s="283" t="n"/>
      <c r="R134" s="283" t="n"/>
      <c r="S134" s="283" t="n"/>
      <c r="T134" s="283" t="n"/>
      <c r="U134" s="283" t="n"/>
      <c r="V134" s="283" t="n"/>
      <c r="W134" s="283" t="n"/>
      <c r="X134" s="283" t="n"/>
      <c r="Y134" s="283" t="n"/>
      <c r="Z134" s="283" t="n"/>
    </row>
    <row r="135">
      <c r="A135" s="283" t="n"/>
      <c r="B135" s="283" t="n"/>
      <c r="C135" s="283" t="n"/>
      <c r="D135" s="283" t="n"/>
      <c r="E135" s="283" t="n"/>
      <c r="F135" s="283" t="n"/>
      <c r="G135" s="283" t="n"/>
      <c r="H135" s="283" t="n"/>
      <c r="I135" s="283" t="n"/>
      <c r="J135" s="283" t="n"/>
      <c r="K135" s="283" t="n"/>
      <c r="L135" s="283" t="n"/>
      <c r="M135" s="283" t="n"/>
      <c r="N135" s="380" t="n"/>
      <c r="O135" s="380" t="n"/>
      <c r="P135" s="283" t="n"/>
      <c r="Q135" s="283" t="n"/>
      <c r="R135" s="283" t="n"/>
      <c r="S135" s="283" t="n"/>
      <c r="T135" s="283" t="n"/>
      <c r="U135" s="283" t="n"/>
      <c r="V135" s="283" t="n"/>
      <c r="W135" s="283" t="n"/>
      <c r="X135" s="283" t="n"/>
      <c r="Y135" s="283" t="n"/>
      <c r="Z135" s="283" t="n"/>
    </row>
    <row r="136">
      <c r="A136" s="283" t="n"/>
      <c r="B136" s="283" t="n"/>
      <c r="C136" s="283" t="n"/>
      <c r="D136" s="283" t="n"/>
      <c r="E136" s="283" t="n"/>
      <c r="F136" s="283" t="n"/>
      <c r="G136" s="283" t="n"/>
      <c r="H136" s="283" t="n"/>
      <c r="I136" s="283" t="n"/>
      <c r="J136" s="283" t="n"/>
      <c r="K136" s="283" t="n"/>
      <c r="L136" s="283" t="n"/>
      <c r="M136" s="283" t="n"/>
      <c r="N136" s="380" t="n"/>
      <c r="O136" s="380" t="n"/>
      <c r="P136" s="283" t="n"/>
      <c r="Q136" s="283" t="n"/>
      <c r="R136" s="283" t="n"/>
      <c r="S136" s="283" t="n"/>
      <c r="T136" s="283" t="n"/>
      <c r="U136" s="283" t="n"/>
      <c r="V136" s="283" t="n"/>
      <c r="W136" s="283" t="n"/>
      <c r="X136" s="283" t="n"/>
      <c r="Y136" s="283" t="n"/>
      <c r="Z136" s="283" t="n"/>
    </row>
    <row r="137">
      <c r="A137" s="283" t="n"/>
      <c r="B137" s="283" t="n"/>
      <c r="C137" s="283" t="n"/>
      <c r="D137" s="283" t="n"/>
      <c r="E137" s="283" t="n"/>
      <c r="F137" s="283" t="n"/>
      <c r="G137" s="283" t="n"/>
      <c r="H137" s="283" t="n"/>
      <c r="I137" s="283" t="n"/>
      <c r="J137" s="283" t="n"/>
      <c r="K137" s="283" t="n"/>
      <c r="L137" s="283" t="n"/>
      <c r="M137" s="283" t="n"/>
      <c r="N137" s="380" t="n"/>
      <c r="O137" s="380" t="n"/>
      <c r="P137" s="283" t="n"/>
      <c r="Q137" s="283" t="n"/>
      <c r="R137" s="283" t="n"/>
      <c r="S137" s="283" t="n"/>
      <c r="T137" s="283" t="n"/>
      <c r="U137" s="283" t="n"/>
      <c r="V137" s="283" t="n"/>
      <c r="W137" s="283" t="n"/>
      <c r="X137" s="283" t="n"/>
      <c r="Y137" s="283" t="n"/>
      <c r="Z137" s="283" t="n"/>
    </row>
    <row r="138">
      <c r="A138" s="283" t="n"/>
      <c r="B138" s="283" t="n"/>
      <c r="C138" s="283" t="n"/>
      <c r="D138" s="283" t="n"/>
      <c r="E138" s="283" t="n"/>
      <c r="F138" s="283" t="n"/>
      <c r="G138" s="283" t="n"/>
      <c r="H138" s="283" t="n"/>
      <c r="I138" s="283" t="n"/>
      <c r="J138" s="283" t="n"/>
      <c r="K138" s="283" t="n"/>
      <c r="L138" s="283" t="n"/>
      <c r="M138" s="283" t="n"/>
      <c r="N138" s="380" t="n"/>
      <c r="O138" s="380" t="n"/>
      <c r="P138" s="283" t="n"/>
      <c r="Q138" s="283" t="n"/>
      <c r="R138" s="283" t="n"/>
      <c r="S138" s="283" t="n"/>
      <c r="T138" s="283" t="n"/>
      <c r="U138" s="283" t="n"/>
      <c r="V138" s="283" t="n"/>
      <c r="W138" s="283" t="n"/>
      <c r="X138" s="283" t="n"/>
      <c r="Y138" s="283" t="n"/>
      <c r="Z138" s="283" t="n"/>
    </row>
    <row r="139">
      <c r="A139" s="283" t="n"/>
      <c r="B139" s="283" t="n"/>
      <c r="C139" s="283" t="n"/>
      <c r="D139" s="283" t="n"/>
      <c r="E139" s="283" t="n"/>
      <c r="F139" s="283" t="n"/>
      <c r="G139" s="283" t="n"/>
      <c r="H139" s="283" t="n"/>
      <c r="I139" s="283" t="n"/>
      <c r="J139" s="283" t="n"/>
      <c r="K139" s="283" t="n"/>
      <c r="L139" s="283" t="n"/>
      <c r="M139" s="283" t="n"/>
      <c r="N139" s="380" t="n"/>
      <c r="O139" s="380" t="n"/>
      <c r="P139" s="283" t="n"/>
      <c r="Q139" s="283" t="n"/>
      <c r="R139" s="283" t="n"/>
      <c r="S139" s="283" t="n"/>
      <c r="T139" s="283" t="n"/>
      <c r="U139" s="283" t="n"/>
      <c r="V139" s="283" t="n"/>
      <c r="W139" s="283" t="n"/>
      <c r="X139" s="283" t="n"/>
      <c r="Y139" s="283" t="n"/>
      <c r="Z139" s="283" t="n"/>
    </row>
    <row r="140">
      <c r="A140" s="283" t="n"/>
      <c r="B140" s="283" t="n"/>
      <c r="C140" s="283" t="n"/>
      <c r="D140" s="283" t="n"/>
      <c r="E140" s="283" t="n"/>
      <c r="F140" s="283" t="n"/>
      <c r="G140" s="283" t="n"/>
      <c r="H140" s="283" t="n"/>
      <c r="I140" s="283" t="n"/>
      <c r="J140" s="283" t="n"/>
      <c r="K140" s="283" t="n"/>
      <c r="L140" s="283" t="n"/>
      <c r="M140" s="283" t="n"/>
      <c r="N140" s="380" t="n"/>
      <c r="O140" s="380" t="n"/>
      <c r="P140" s="283" t="n"/>
      <c r="Q140" s="283" t="n"/>
      <c r="R140" s="283" t="n"/>
      <c r="S140" s="283" t="n"/>
      <c r="T140" s="283" t="n"/>
      <c r="U140" s="283" t="n"/>
      <c r="V140" s="283" t="n"/>
      <c r="W140" s="283" t="n"/>
      <c r="X140" s="283" t="n"/>
      <c r="Y140" s="283" t="n"/>
      <c r="Z140" s="283" t="n"/>
    </row>
    <row r="141">
      <c r="A141" s="283" t="n"/>
      <c r="B141" s="283" t="n"/>
      <c r="C141" s="283" t="n"/>
      <c r="D141" s="283" t="n"/>
      <c r="E141" s="283" t="n"/>
      <c r="F141" s="283" t="n"/>
      <c r="G141" s="283" t="n"/>
      <c r="H141" s="283" t="n"/>
      <c r="I141" s="283" t="n"/>
      <c r="J141" s="283" t="n"/>
      <c r="K141" s="283" t="n"/>
      <c r="L141" s="283" t="n"/>
      <c r="M141" s="283" t="n"/>
      <c r="N141" s="380" t="n"/>
      <c r="O141" s="380" t="n"/>
      <c r="P141" s="283" t="n"/>
      <c r="Q141" s="283" t="n"/>
      <c r="R141" s="283" t="n"/>
      <c r="S141" s="283" t="n"/>
      <c r="T141" s="283" t="n"/>
      <c r="U141" s="283" t="n"/>
      <c r="V141" s="283" t="n"/>
      <c r="W141" s="283" t="n"/>
      <c r="X141" s="283" t="n"/>
      <c r="Y141" s="283" t="n"/>
      <c r="Z141" s="283" t="n"/>
    </row>
    <row r="142">
      <c r="A142" s="283" t="n"/>
      <c r="B142" s="283" t="n"/>
      <c r="C142" s="283" t="n"/>
      <c r="D142" s="283" t="n"/>
      <c r="E142" s="283" t="n"/>
      <c r="F142" s="283" t="n"/>
      <c r="G142" s="283" t="n"/>
      <c r="H142" s="283" t="n"/>
      <c r="I142" s="283" t="n"/>
      <c r="J142" s="283" t="n"/>
      <c r="K142" s="283" t="n"/>
      <c r="L142" s="283" t="n"/>
      <c r="M142" s="283" t="n"/>
      <c r="N142" s="380" t="n"/>
      <c r="O142" s="380" t="n"/>
      <c r="P142" s="283" t="n"/>
      <c r="Q142" s="283" t="n"/>
      <c r="R142" s="283" t="n"/>
      <c r="S142" s="283" t="n"/>
      <c r="T142" s="283" t="n"/>
      <c r="U142" s="283" t="n"/>
      <c r="V142" s="283" t="n"/>
      <c r="W142" s="283" t="n"/>
      <c r="X142" s="283" t="n"/>
      <c r="Y142" s="283" t="n"/>
      <c r="Z142" s="283" t="n"/>
    </row>
    <row r="143">
      <c r="A143" s="283" t="n"/>
      <c r="B143" s="283" t="n"/>
      <c r="C143" s="283" t="n"/>
      <c r="D143" s="283" t="n"/>
      <c r="E143" s="283" t="n"/>
      <c r="F143" s="283" t="n"/>
      <c r="G143" s="283" t="n"/>
      <c r="H143" s="283" t="n"/>
      <c r="I143" s="283" t="n"/>
      <c r="J143" s="283" t="n"/>
      <c r="K143" s="283" t="n"/>
      <c r="L143" s="283" t="n"/>
      <c r="M143" s="283" t="n"/>
      <c r="N143" s="380" t="n"/>
      <c r="O143" s="380" t="n"/>
      <c r="P143" s="283" t="n"/>
      <c r="Q143" s="283" t="n"/>
      <c r="R143" s="283" t="n"/>
      <c r="S143" s="283" t="n"/>
      <c r="T143" s="283" t="n"/>
      <c r="U143" s="283" t="n"/>
      <c r="V143" s="283" t="n"/>
      <c r="W143" s="283" t="n"/>
      <c r="X143" s="283" t="n"/>
      <c r="Y143" s="283" t="n"/>
      <c r="Z143" s="283" t="n"/>
    </row>
    <row r="144">
      <c r="A144" s="283" t="n"/>
      <c r="B144" s="283" t="n"/>
      <c r="C144" s="283" t="n"/>
      <c r="D144" s="283" t="n"/>
      <c r="E144" s="283" t="n"/>
      <c r="F144" s="283" t="n"/>
      <c r="G144" s="283" t="n"/>
      <c r="H144" s="283" t="n"/>
      <c r="I144" s="283" t="n"/>
      <c r="J144" s="283" t="n"/>
      <c r="K144" s="283" t="n"/>
      <c r="L144" s="283" t="n"/>
      <c r="M144" s="283" t="n"/>
      <c r="N144" s="380" t="n"/>
      <c r="O144" s="380" t="n"/>
      <c r="P144" s="283" t="n"/>
      <c r="Q144" s="283" t="n"/>
      <c r="R144" s="283" t="n"/>
      <c r="S144" s="283" t="n"/>
      <c r="T144" s="283" t="n"/>
      <c r="U144" s="283" t="n"/>
      <c r="V144" s="283" t="n"/>
      <c r="W144" s="283" t="n"/>
      <c r="X144" s="283" t="n"/>
      <c r="Y144" s="283" t="n"/>
      <c r="Z144" s="283" t="n"/>
    </row>
    <row r="145">
      <c r="A145" s="283" t="n"/>
      <c r="B145" s="283" t="n"/>
      <c r="C145" s="283" t="n"/>
      <c r="D145" s="283" t="n"/>
      <c r="E145" s="283" t="n"/>
      <c r="F145" s="283" t="n"/>
      <c r="G145" s="283" t="n"/>
      <c r="H145" s="283" t="n"/>
      <c r="I145" s="283" t="n"/>
      <c r="J145" s="283" t="n"/>
      <c r="K145" s="283" t="n"/>
      <c r="L145" s="283" t="n"/>
      <c r="M145" s="283" t="n"/>
      <c r="N145" s="380" t="n"/>
      <c r="O145" s="380" t="n"/>
      <c r="P145" s="283" t="n"/>
      <c r="Q145" s="283" t="n"/>
      <c r="R145" s="283" t="n"/>
      <c r="S145" s="283" t="n"/>
      <c r="T145" s="283" t="n"/>
      <c r="U145" s="283" t="n"/>
      <c r="V145" s="283" t="n"/>
      <c r="W145" s="283" t="n"/>
      <c r="X145" s="283" t="n"/>
      <c r="Y145" s="283" t="n"/>
      <c r="Z145" s="283" t="n"/>
    </row>
    <row r="146">
      <c r="A146" s="283" t="n"/>
      <c r="B146" s="283" t="n"/>
      <c r="C146" s="283" t="n"/>
      <c r="D146" s="283" t="n"/>
      <c r="E146" s="283" t="n"/>
      <c r="F146" s="283" t="n"/>
      <c r="G146" s="283" t="n"/>
      <c r="H146" s="283" t="n"/>
      <c r="I146" s="283" t="n"/>
      <c r="J146" s="283" t="n"/>
      <c r="K146" s="283" t="n"/>
      <c r="L146" s="283" t="n"/>
      <c r="M146" s="283" t="n"/>
      <c r="N146" s="380" t="n"/>
      <c r="O146" s="380" t="n"/>
      <c r="P146" s="283" t="n"/>
      <c r="Q146" s="283" t="n"/>
      <c r="R146" s="283" t="n"/>
      <c r="S146" s="283" t="n"/>
      <c r="T146" s="283" t="n"/>
      <c r="U146" s="283" t="n"/>
      <c r="V146" s="283" t="n"/>
      <c r="W146" s="283" t="n"/>
      <c r="X146" s="283" t="n"/>
      <c r="Y146" s="283" t="n"/>
      <c r="Z146" s="283" t="n"/>
    </row>
    <row r="147">
      <c r="A147" s="283" t="n"/>
      <c r="B147" s="283" t="n"/>
      <c r="C147" s="283" t="n"/>
      <c r="D147" s="283" t="n"/>
      <c r="E147" s="283" t="n"/>
      <c r="F147" s="283" t="n"/>
      <c r="G147" s="283" t="n"/>
      <c r="H147" s="283" t="n"/>
      <c r="I147" s="283" t="n"/>
      <c r="J147" s="283" t="n"/>
      <c r="K147" s="283" t="n"/>
      <c r="L147" s="283" t="n"/>
      <c r="M147" s="283" t="n"/>
      <c r="N147" s="380" t="n"/>
      <c r="O147" s="380" t="n"/>
      <c r="P147" s="283" t="n"/>
      <c r="Q147" s="283" t="n"/>
      <c r="R147" s="283" t="n"/>
      <c r="S147" s="283" t="n"/>
      <c r="T147" s="283" t="n"/>
      <c r="U147" s="283" t="n"/>
      <c r="V147" s="283" t="n"/>
      <c r="W147" s="283" t="n"/>
      <c r="X147" s="283" t="n"/>
      <c r="Y147" s="283" t="n"/>
      <c r="Z147" s="283" t="n"/>
    </row>
    <row r="148">
      <c r="A148" s="283" t="n"/>
      <c r="B148" s="283" t="n"/>
      <c r="C148" s="283" t="n"/>
      <c r="D148" s="283" t="n"/>
      <c r="E148" s="283" t="n"/>
      <c r="F148" s="283" t="n"/>
      <c r="G148" s="283" t="n"/>
      <c r="H148" s="283" t="n"/>
      <c r="I148" s="283" t="n"/>
      <c r="J148" s="283" t="n"/>
      <c r="K148" s="283" t="n"/>
      <c r="L148" s="283" t="n"/>
      <c r="M148" s="283" t="n"/>
      <c r="N148" s="380" t="n"/>
      <c r="O148" s="380" t="n"/>
      <c r="P148" s="283" t="n"/>
      <c r="Q148" s="283" t="n"/>
      <c r="R148" s="283" t="n"/>
      <c r="S148" s="283" t="n"/>
      <c r="T148" s="283" t="n"/>
      <c r="U148" s="283" t="n"/>
      <c r="V148" s="283" t="n"/>
      <c r="W148" s="283" t="n"/>
      <c r="X148" s="283" t="n"/>
      <c r="Y148" s="283" t="n"/>
      <c r="Z148" s="283" t="n"/>
    </row>
    <row r="149">
      <c r="A149" s="283" t="n"/>
      <c r="B149" s="283" t="n"/>
      <c r="C149" s="283" t="n"/>
      <c r="D149" s="283" t="n"/>
      <c r="E149" s="283" t="n"/>
      <c r="F149" s="283" t="n"/>
      <c r="G149" s="283" t="n"/>
      <c r="H149" s="283" t="n"/>
      <c r="I149" s="283" t="n"/>
      <c r="J149" s="283" t="n"/>
      <c r="K149" s="283" t="n"/>
      <c r="L149" s="283" t="n"/>
      <c r="M149" s="283" t="n"/>
      <c r="N149" s="380" t="n"/>
      <c r="O149" s="380" t="n"/>
      <c r="P149" s="283" t="n"/>
      <c r="Q149" s="283" t="n"/>
      <c r="R149" s="283" t="n"/>
      <c r="S149" s="283" t="n"/>
      <c r="T149" s="283" t="n"/>
      <c r="U149" s="283" t="n"/>
      <c r="V149" s="283" t="n"/>
      <c r="W149" s="283" t="n"/>
      <c r="X149" s="283" t="n"/>
      <c r="Y149" s="283" t="n"/>
      <c r="Z149" s="283" t="n"/>
    </row>
    <row r="150">
      <c r="A150" s="283" t="n"/>
      <c r="B150" s="283" t="n"/>
      <c r="C150" s="283" t="n"/>
      <c r="D150" s="283" t="n"/>
      <c r="E150" s="283" t="n"/>
      <c r="F150" s="283" t="n"/>
      <c r="G150" s="283" t="n"/>
      <c r="H150" s="283" t="n"/>
      <c r="I150" s="283" t="n"/>
      <c r="J150" s="283" t="n"/>
      <c r="K150" s="283" t="n"/>
      <c r="L150" s="283" t="n"/>
      <c r="M150" s="283" t="n"/>
      <c r="N150" s="380" t="n"/>
      <c r="O150" s="380" t="n"/>
      <c r="P150" s="283" t="n"/>
      <c r="Q150" s="283" t="n"/>
      <c r="R150" s="283" t="n"/>
      <c r="S150" s="283" t="n"/>
      <c r="T150" s="283" t="n"/>
      <c r="U150" s="283" t="n"/>
      <c r="V150" s="283" t="n"/>
      <c r="W150" s="283" t="n"/>
      <c r="X150" s="283" t="n"/>
      <c r="Y150" s="283" t="n"/>
      <c r="Z150" s="283" t="n"/>
    </row>
    <row r="151">
      <c r="A151" s="283" t="n"/>
      <c r="B151" s="283" t="n"/>
      <c r="C151" s="283" t="n"/>
      <c r="D151" s="283" t="n"/>
      <c r="E151" s="283" t="n"/>
      <c r="F151" s="283" t="n"/>
      <c r="G151" s="283" t="n"/>
      <c r="H151" s="283" t="n"/>
      <c r="I151" s="283" t="n"/>
      <c r="J151" s="283" t="n"/>
      <c r="K151" s="283" t="n"/>
      <c r="L151" s="283" t="n"/>
      <c r="M151" s="283" t="n"/>
      <c r="N151" s="380" t="n"/>
      <c r="O151" s="380" t="n"/>
      <c r="P151" s="283" t="n"/>
      <c r="Q151" s="283" t="n"/>
      <c r="R151" s="283" t="n"/>
      <c r="S151" s="283" t="n"/>
      <c r="T151" s="283" t="n"/>
      <c r="U151" s="283" t="n"/>
      <c r="V151" s="283" t="n"/>
      <c r="W151" s="283" t="n"/>
      <c r="X151" s="283" t="n"/>
      <c r="Y151" s="283" t="n"/>
      <c r="Z151" s="283" t="n"/>
    </row>
    <row r="152">
      <c r="A152" s="283" t="n"/>
      <c r="B152" s="283" t="n"/>
      <c r="C152" s="283" t="n"/>
      <c r="D152" s="283" t="n"/>
      <c r="E152" s="283" t="n"/>
      <c r="F152" s="283" t="n"/>
      <c r="G152" s="283" t="n"/>
      <c r="H152" s="283" t="n"/>
      <c r="I152" s="283" t="n"/>
      <c r="J152" s="283" t="n"/>
      <c r="K152" s="283" t="n"/>
      <c r="L152" s="283" t="n"/>
      <c r="M152" s="283" t="n"/>
      <c r="N152" s="380" t="n"/>
      <c r="O152" s="380" t="n"/>
      <c r="P152" s="283" t="n"/>
      <c r="Q152" s="283" t="n"/>
      <c r="R152" s="283" t="n"/>
      <c r="S152" s="283" t="n"/>
      <c r="T152" s="283" t="n"/>
      <c r="U152" s="283" t="n"/>
      <c r="V152" s="283" t="n"/>
      <c r="W152" s="283" t="n"/>
      <c r="X152" s="283" t="n"/>
      <c r="Y152" s="283" t="n"/>
      <c r="Z152" s="283" t="n"/>
    </row>
    <row r="153">
      <c r="A153" s="283" t="n"/>
      <c r="B153" s="283" t="n"/>
      <c r="C153" s="283" t="n"/>
      <c r="D153" s="283" t="n"/>
      <c r="E153" s="283" t="n"/>
      <c r="F153" s="283" t="n"/>
      <c r="G153" s="283" t="n"/>
      <c r="H153" s="283" t="n"/>
      <c r="I153" s="283" t="n"/>
      <c r="J153" s="283" t="n"/>
      <c r="K153" s="283" t="n"/>
      <c r="L153" s="283" t="n"/>
      <c r="M153" s="283" t="n"/>
      <c r="N153" s="380" t="n"/>
      <c r="O153" s="380" t="n"/>
      <c r="P153" s="283" t="n"/>
      <c r="Q153" s="283" t="n"/>
      <c r="R153" s="283" t="n"/>
      <c r="S153" s="283" t="n"/>
      <c r="T153" s="283" t="n"/>
      <c r="U153" s="283" t="n"/>
      <c r="V153" s="283" t="n"/>
      <c r="W153" s="283" t="n"/>
      <c r="X153" s="283" t="n"/>
      <c r="Y153" s="283" t="n"/>
      <c r="Z153" s="283" t="n"/>
    </row>
    <row r="154">
      <c r="A154" s="283" t="n"/>
      <c r="B154" s="283" t="n"/>
      <c r="C154" s="283" t="n"/>
      <c r="D154" s="283" t="n"/>
      <c r="E154" s="283" t="n"/>
      <c r="F154" s="283" t="n"/>
      <c r="G154" s="283" t="n"/>
      <c r="H154" s="283" t="n"/>
      <c r="I154" s="283" t="n"/>
      <c r="J154" s="283" t="n"/>
      <c r="K154" s="283" t="n"/>
      <c r="L154" s="283" t="n"/>
      <c r="M154" s="283" t="n"/>
      <c r="N154" s="380" t="n"/>
      <c r="O154" s="380" t="n"/>
      <c r="P154" s="283" t="n"/>
      <c r="Q154" s="283" t="n"/>
      <c r="R154" s="283" t="n"/>
      <c r="S154" s="283" t="n"/>
      <c r="T154" s="283" t="n"/>
      <c r="U154" s="283" t="n"/>
      <c r="V154" s="283" t="n"/>
      <c r="W154" s="283" t="n"/>
      <c r="X154" s="283" t="n"/>
      <c r="Y154" s="283" t="n"/>
      <c r="Z154" s="283" t="n"/>
    </row>
    <row r="155">
      <c r="A155" s="283" t="n"/>
      <c r="B155" s="283" t="n"/>
      <c r="C155" s="283" t="n"/>
      <c r="D155" s="283" t="n"/>
      <c r="E155" s="283" t="n"/>
      <c r="F155" s="283" t="n"/>
      <c r="G155" s="283" t="n"/>
      <c r="H155" s="283" t="n"/>
      <c r="I155" s="283" t="n"/>
      <c r="J155" s="283" t="n"/>
      <c r="K155" s="283" t="n"/>
      <c r="L155" s="283" t="n"/>
      <c r="M155" s="283" t="n"/>
      <c r="N155" s="380" t="n"/>
      <c r="O155" s="380" t="n"/>
      <c r="P155" s="283" t="n"/>
      <c r="Q155" s="283" t="n"/>
      <c r="R155" s="283" t="n"/>
      <c r="S155" s="283" t="n"/>
      <c r="T155" s="283" t="n"/>
      <c r="U155" s="283" t="n"/>
      <c r="V155" s="283" t="n"/>
      <c r="W155" s="283" t="n"/>
      <c r="X155" s="283" t="n"/>
      <c r="Y155" s="283" t="n"/>
      <c r="Z155" s="283" t="n"/>
    </row>
    <row r="156">
      <c r="A156" s="283" t="n"/>
      <c r="B156" s="283" t="n"/>
      <c r="C156" s="283" t="n"/>
      <c r="D156" s="283" t="n"/>
      <c r="E156" s="283" t="n"/>
      <c r="F156" s="283" t="n"/>
      <c r="G156" s="283" t="n"/>
      <c r="H156" s="283" t="n"/>
      <c r="I156" s="283" t="n"/>
      <c r="J156" s="283" t="n"/>
      <c r="K156" s="283" t="n"/>
      <c r="L156" s="283" t="n"/>
      <c r="M156" s="283" t="n"/>
      <c r="N156" s="380" t="n"/>
      <c r="O156" s="380" t="n"/>
      <c r="P156" s="283" t="n"/>
      <c r="Q156" s="283" t="n"/>
      <c r="R156" s="283" t="n"/>
      <c r="S156" s="283" t="n"/>
      <c r="T156" s="283" t="n"/>
      <c r="U156" s="283" t="n"/>
      <c r="V156" s="283" t="n"/>
      <c r="W156" s="283" t="n"/>
      <c r="X156" s="283" t="n"/>
      <c r="Y156" s="283" t="n"/>
      <c r="Z156" s="283" t="n"/>
    </row>
    <row r="157">
      <c r="A157" s="283" t="n"/>
      <c r="B157" s="283" t="n"/>
      <c r="C157" s="283" t="n"/>
      <c r="D157" s="283" t="n"/>
      <c r="E157" s="283" t="n"/>
      <c r="F157" s="283" t="n"/>
      <c r="G157" s="283" t="n"/>
      <c r="H157" s="283" t="n"/>
      <c r="I157" s="283" t="n"/>
      <c r="J157" s="283" t="n"/>
      <c r="K157" s="283" t="n"/>
      <c r="L157" s="283" t="n"/>
      <c r="M157" s="283" t="n"/>
      <c r="N157" s="380" t="n"/>
      <c r="O157" s="380" t="n"/>
      <c r="P157" s="283" t="n"/>
      <c r="Q157" s="283" t="n"/>
      <c r="R157" s="283" t="n"/>
      <c r="S157" s="283" t="n"/>
      <c r="T157" s="283" t="n"/>
      <c r="U157" s="283" t="n"/>
      <c r="V157" s="283" t="n"/>
      <c r="W157" s="283" t="n"/>
      <c r="X157" s="283" t="n"/>
      <c r="Y157" s="283" t="n"/>
      <c r="Z157" s="283" t="n"/>
    </row>
    <row r="158">
      <c r="A158" s="283" t="n"/>
      <c r="B158" s="283" t="n"/>
      <c r="C158" s="283" t="n"/>
      <c r="D158" s="283" t="n"/>
      <c r="E158" s="283" t="n"/>
      <c r="F158" s="283" t="n"/>
      <c r="G158" s="283" t="n"/>
      <c r="H158" s="283" t="n"/>
      <c r="I158" s="283" t="n"/>
      <c r="J158" s="283" t="n"/>
      <c r="K158" s="283" t="n"/>
      <c r="L158" s="283" t="n"/>
      <c r="M158" s="283" t="n"/>
      <c r="N158" s="380" t="n"/>
      <c r="O158" s="380" t="n"/>
      <c r="P158" s="283" t="n"/>
      <c r="Q158" s="283" t="n"/>
      <c r="R158" s="283" t="n"/>
      <c r="S158" s="283" t="n"/>
      <c r="T158" s="283" t="n"/>
      <c r="U158" s="283" t="n"/>
      <c r="V158" s="283" t="n"/>
      <c r="W158" s="283" t="n"/>
      <c r="X158" s="283" t="n"/>
      <c r="Y158" s="283" t="n"/>
      <c r="Z158" s="283" t="n"/>
    </row>
    <row r="159">
      <c r="A159" s="283" t="n"/>
      <c r="B159" s="283" t="n"/>
      <c r="C159" s="283" t="n"/>
      <c r="D159" s="283" t="n"/>
      <c r="E159" s="283" t="n"/>
      <c r="F159" s="283" t="n"/>
      <c r="G159" s="283" t="n"/>
      <c r="H159" s="283" t="n"/>
      <c r="I159" s="283" t="n"/>
      <c r="J159" s="283" t="n"/>
      <c r="K159" s="283" t="n"/>
      <c r="L159" s="283" t="n"/>
      <c r="M159" s="283" t="n"/>
      <c r="N159" s="380" t="n"/>
      <c r="O159" s="380" t="n"/>
      <c r="P159" s="283" t="n"/>
      <c r="Q159" s="283" t="n"/>
      <c r="R159" s="283" t="n"/>
      <c r="S159" s="283" t="n"/>
      <c r="T159" s="283" t="n"/>
      <c r="U159" s="283" t="n"/>
      <c r="V159" s="283" t="n"/>
      <c r="W159" s="283" t="n"/>
      <c r="X159" s="283" t="n"/>
      <c r="Y159" s="283" t="n"/>
      <c r="Z159" s="283" t="n"/>
    </row>
    <row r="160">
      <c r="A160" s="283" t="n"/>
      <c r="B160" s="283" t="n"/>
      <c r="C160" s="283" t="n"/>
      <c r="D160" s="283" t="n"/>
      <c r="E160" s="283" t="n"/>
      <c r="F160" s="283" t="n"/>
      <c r="G160" s="283" t="n"/>
      <c r="H160" s="283" t="n"/>
      <c r="I160" s="283" t="n"/>
      <c r="J160" s="283" t="n"/>
      <c r="K160" s="283" t="n"/>
      <c r="L160" s="283" t="n"/>
      <c r="M160" s="283" t="n"/>
      <c r="N160" s="380" t="n"/>
      <c r="O160" s="380" t="n"/>
      <c r="P160" s="283" t="n"/>
      <c r="Q160" s="283" t="n"/>
      <c r="R160" s="283" t="n"/>
      <c r="S160" s="283" t="n"/>
      <c r="T160" s="283" t="n"/>
      <c r="U160" s="283" t="n"/>
      <c r="V160" s="283" t="n"/>
      <c r="W160" s="283" t="n"/>
      <c r="X160" s="283" t="n"/>
      <c r="Y160" s="283" t="n"/>
      <c r="Z160" s="283" t="n"/>
    </row>
    <row r="161">
      <c r="A161" s="283" t="n"/>
      <c r="B161" s="283" t="n"/>
      <c r="C161" s="283" t="n"/>
      <c r="D161" s="283" t="n"/>
      <c r="E161" s="283" t="n"/>
      <c r="F161" s="283" t="n"/>
      <c r="G161" s="283" t="n"/>
      <c r="H161" s="283" t="n"/>
      <c r="I161" s="283" t="n"/>
      <c r="J161" s="283" t="n"/>
      <c r="K161" s="283" t="n"/>
      <c r="L161" s="283" t="n"/>
      <c r="M161" s="283" t="n"/>
      <c r="N161" s="380" t="n"/>
      <c r="O161" s="380" t="n"/>
      <c r="P161" s="283" t="n"/>
      <c r="Q161" s="283" t="n"/>
      <c r="R161" s="283" t="n"/>
      <c r="S161" s="283" t="n"/>
      <c r="T161" s="283" t="n"/>
      <c r="U161" s="283" t="n"/>
      <c r="V161" s="283" t="n"/>
      <c r="W161" s="283" t="n"/>
      <c r="X161" s="283" t="n"/>
      <c r="Y161" s="283" t="n"/>
      <c r="Z161" s="283" t="n"/>
    </row>
    <row r="162">
      <c r="A162" s="283" t="n"/>
      <c r="B162" s="283" t="n"/>
      <c r="C162" s="283" t="n"/>
      <c r="D162" s="283" t="n"/>
      <c r="E162" s="283" t="n"/>
      <c r="F162" s="283" t="n"/>
      <c r="G162" s="283" t="n"/>
      <c r="H162" s="283" t="n"/>
      <c r="I162" s="283" t="n"/>
      <c r="J162" s="283" t="n"/>
      <c r="K162" s="283" t="n"/>
      <c r="L162" s="283" t="n"/>
      <c r="M162" s="283" t="n"/>
      <c r="N162" s="380" t="n"/>
      <c r="O162" s="380" t="n"/>
      <c r="P162" s="283" t="n"/>
      <c r="Q162" s="283" t="n"/>
      <c r="R162" s="283" t="n"/>
      <c r="S162" s="283" t="n"/>
      <c r="T162" s="283" t="n"/>
      <c r="U162" s="283" t="n"/>
      <c r="V162" s="283" t="n"/>
      <c r="W162" s="283" t="n"/>
      <c r="X162" s="283" t="n"/>
      <c r="Y162" s="283" t="n"/>
      <c r="Z162" s="283" t="n"/>
    </row>
    <row r="163">
      <c r="A163" s="283" t="n"/>
      <c r="B163" s="283" t="n"/>
      <c r="C163" s="283" t="n"/>
      <c r="D163" s="283" t="n"/>
      <c r="E163" s="283" t="n"/>
      <c r="F163" s="283" t="n"/>
      <c r="G163" s="283" t="n"/>
      <c r="H163" s="283" t="n"/>
      <c r="I163" s="283" t="n"/>
      <c r="J163" s="283" t="n"/>
      <c r="K163" s="283" t="n"/>
      <c r="L163" s="283" t="n"/>
      <c r="M163" s="283" t="n"/>
      <c r="N163" s="380" t="n"/>
      <c r="O163" s="380" t="n"/>
      <c r="P163" s="283" t="n"/>
      <c r="Q163" s="283" t="n"/>
      <c r="R163" s="283" t="n"/>
      <c r="S163" s="283" t="n"/>
      <c r="T163" s="283" t="n"/>
      <c r="U163" s="283" t="n"/>
      <c r="V163" s="283" t="n"/>
      <c r="W163" s="283" t="n"/>
      <c r="X163" s="283" t="n"/>
      <c r="Y163" s="283" t="n"/>
      <c r="Z163" s="283" t="n"/>
    </row>
    <row r="164">
      <c r="A164" s="283" t="n"/>
      <c r="B164" s="283" t="n"/>
      <c r="C164" s="283" t="n"/>
      <c r="D164" s="283" t="n"/>
      <c r="E164" s="283" t="n"/>
      <c r="F164" s="283" t="n"/>
      <c r="G164" s="283" t="n"/>
      <c r="H164" s="283" t="n"/>
      <c r="I164" s="283" t="n"/>
      <c r="J164" s="283" t="n"/>
      <c r="K164" s="283" t="n"/>
      <c r="L164" s="283" t="n"/>
      <c r="M164" s="283" t="n"/>
      <c r="N164" s="380" t="n"/>
      <c r="O164" s="380" t="n"/>
      <c r="P164" s="283" t="n"/>
      <c r="Q164" s="283" t="n"/>
      <c r="R164" s="283" t="n"/>
      <c r="S164" s="283" t="n"/>
      <c r="T164" s="283" t="n"/>
      <c r="U164" s="283" t="n"/>
      <c r="V164" s="283" t="n"/>
      <c r="W164" s="283" t="n"/>
      <c r="X164" s="283" t="n"/>
      <c r="Y164" s="283" t="n"/>
      <c r="Z164" s="283" t="n"/>
    </row>
    <row r="165">
      <c r="A165" s="283" t="n"/>
      <c r="B165" s="283" t="n"/>
      <c r="C165" s="283" t="n"/>
      <c r="D165" s="283" t="n"/>
      <c r="E165" s="283" t="n"/>
      <c r="F165" s="283" t="n"/>
      <c r="G165" s="283" t="n"/>
      <c r="H165" s="283" t="n"/>
      <c r="I165" s="283" t="n"/>
      <c r="J165" s="283" t="n"/>
      <c r="K165" s="283" t="n"/>
      <c r="L165" s="283" t="n"/>
      <c r="M165" s="283" t="n"/>
      <c r="N165" s="380" t="n"/>
      <c r="O165" s="380" t="n"/>
      <c r="P165" s="283" t="n"/>
      <c r="Q165" s="283" t="n"/>
      <c r="R165" s="283" t="n"/>
      <c r="S165" s="283" t="n"/>
      <c r="T165" s="283" t="n"/>
      <c r="U165" s="283" t="n"/>
      <c r="V165" s="283" t="n"/>
      <c r="W165" s="283" t="n"/>
      <c r="X165" s="283" t="n"/>
      <c r="Y165" s="283" t="n"/>
      <c r="Z165" s="283" t="n"/>
    </row>
    <row r="166">
      <c r="A166" s="283" t="n"/>
      <c r="B166" s="283" t="n"/>
      <c r="C166" s="283" t="n"/>
      <c r="D166" s="283" t="n"/>
      <c r="E166" s="283" t="n"/>
      <c r="F166" s="283" t="n"/>
      <c r="G166" s="283" t="n"/>
      <c r="H166" s="283" t="n"/>
      <c r="I166" s="283" t="n"/>
      <c r="J166" s="283" t="n"/>
      <c r="K166" s="283" t="n"/>
      <c r="L166" s="283" t="n"/>
      <c r="M166" s="283" t="n"/>
      <c r="N166" s="380" t="n"/>
      <c r="O166" s="380" t="n"/>
      <c r="P166" s="283" t="n"/>
      <c r="Q166" s="283" t="n"/>
      <c r="R166" s="283" t="n"/>
      <c r="S166" s="283" t="n"/>
      <c r="T166" s="283" t="n"/>
      <c r="U166" s="283" t="n"/>
      <c r="V166" s="283" t="n"/>
      <c r="W166" s="283" t="n"/>
      <c r="X166" s="283" t="n"/>
      <c r="Y166" s="283" t="n"/>
      <c r="Z166" s="283" t="n"/>
    </row>
    <row r="167">
      <c r="A167" s="283" t="n"/>
      <c r="B167" s="283" t="n"/>
      <c r="C167" s="283" t="n"/>
      <c r="D167" s="283" t="n"/>
      <c r="E167" s="283" t="n"/>
      <c r="F167" s="283" t="n"/>
      <c r="G167" s="283" t="n"/>
      <c r="H167" s="283" t="n"/>
      <c r="I167" s="283" t="n"/>
      <c r="J167" s="283" t="n"/>
      <c r="K167" s="283" t="n"/>
      <c r="L167" s="283" t="n"/>
      <c r="M167" s="283" t="n"/>
      <c r="N167" s="380" t="n"/>
      <c r="O167" s="380" t="n"/>
      <c r="P167" s="283" t="n"/>
      <c r="Q167" s="283" t="n"/>
      <c r="R167" s="283" t="n"/>
      <c r="S167" s="283" t="n"/>
      <c r="T167" s="283" t="n"/>
      <c r="U167" s="283" t="n"/>
      <c r="V167" s="283" t="n"/>
      <c r="W167" s="283" t="n"/>
      <c r="X167" s="283" t="n"/>
      <c r="Y167" s="283" t="n"/>
      <c r="Z167" s="283" t="n"/>
    </row>
    <row r="168">
      <c r="A168" s="283" t="n"/>
      <c r="B168" s="283" t="n"/>
      <c r="C168" s="283" t="n"/>
      <c r="D168" s="283" t="n"/>
      <c r="E168" s="283" t="n"/>
      <c r="F168" s="283" t="n"/>
      <c r="G168" s="283" t="n"/>
      <c r="H168" s="283" t="n"/>
      <c r="I168" s="283" t="n"/>
      <c r="J168" s="283" t="n"/>
      <c r="K168" s="283" t="n"/>
      <c r="L168" s="283" t="n"/>
      <c r="M168" s="283" t="n"/>
      <c r="N168" s="380" t="n"/>
      <c r="O168" s="380" t="n"/>
      <c r="P168" s="283" t="n"/>
      <c r="Q168" s="283" t="n"/>
      <c r="R168" s="283" t="n"/>
      <c r="S168" s="283" t="n"/>
      <c r="T168" s="283" t="n"/>
      <c r="U168" s="283" t="n"/>
      <c r="V168" s="283" t="n"/>
      <c r="W168" s="283" t="n"/>
      <c r="X168" s="283" t="n"/>
      <c r="Y168" s="283" t="n"/>
      <c r="Z168" s="283" t="n"/>
    </row>
    <row r="169">
      <c r="A169" s="283" t="n"/>
      <c r="B169" s="283" t="n"/>
      <c r="C169" s="283" t="n"/>
      <c r="D169" s="283" t="n"/>
      <c r="E169" s="283" t="n"/>
      <c r="F169" s="283" t="n"/>
      <c r="G169" s="283" t="n"/>
      <c r="H169" s="283" t="n"/>
      <c r="I169" s="283" t="n"/>
      <c r="J169" s="283" t="n"/>
      <c r="K169" s="283" t="n"/>
      <c r="L169" s="283" t="n"/>
      <c r="M169" s="283" t="n"/>
      <c r="N169" s="380" t="n"/>
      <c r="O169" s="380" t="n"/>
      <c r="P169" s="283" t="n"/>
      <c r="Q169" s="283" t="n"/>
      <c r="R169" s="283" t="n"/>
      <c r="S169" s="283" t="n"/>
      <c r="T169" s="283" t="n"/>
      <c r="U169" s="283" t="n"/>
      <c r="V169" s="283" t="n"/>
      <c r="W169" s="283" t="n"/>
      <c r="X169" s="283" t="n"/>
      <c r="Y169" s="283" t="n"/>
      <c r="Z169" s="283" t="n"/>
    </row>
    <row r="170">
      <c r="A170" s="283" t="n"/>
      <c r="B170" s="283" t="n"/>
      <c r="C170" s="283" t="n"/>
      <c r="D170" s="283" t="n"/>
      <c r="E170" s="283" t="n"/>
      <c r="F170" s="283" t="n"/>
      <c r="G170" s="283" t="n"/>
      <c r="H170" s="283" t="n"/>
      <c r="I170" s="283" t="n"/>
      <c r="J170" s="283" t="n"/>
      <c r="K170" s="283" t="n"/>
      <c r="L170" s="283" t="n"/>
      <c r="M170" s="283" t="n"/>
      <c r="N170" s="380" t="n"/>
      <c r="O170" s="380" t="n"/>
      <c r="P170" s="283" t="n"/>
      <c r="Q170" s="283" t="n"/>
      <c r="R170" s="283" t="n"/>
      <c r="S170" s="283" t="n"/>
      <c r="T170" s="283" t="n"/>
      <c r="U170" s="283" t="n"/>
      <c r="V170" s="283" t="n"/>
      <c r="W170" s="283" t="n"/>
      <c r="X170" s="283" t="n"/>
      <c r="Y170" s="283" t="n"/>
      <c r="Z170" s="283" t="n"/>
    </row>
    <row r="171">
      <c r="A171" s="283" t="n"/>
      <c r="B171" s="283" t="n"/>
      <c r="C171" s="283" t="n"/>
      <c r="D171" s="283" t="n"/>
      <c r="E171" s="283" t="n"/>
      <c r="F171" s="283" t="n"/>
      <c r="G171" s="283" t="n"/>
      <c r="H171" s="283" t="n"/>
      <c r="I171" s="283" t="n"/>
      <c r="J171" s="283" t="n"/>
      <c r="K171" s="283" t="n"/>
      <c r="L171" s="283" t="n"/>
      <c r="M171" s="283" t="n"/>
      <c r="N171" s="380" t="n"/>
      <c r="O171" s="380" t="n"/>
      <c r="P171" s="283" t="n"/>
      <c r="Q171" s="283" t="n"/>
      <c r="R171" s="283" t="n"/>
      <c r="S171" s="283" t="n"/>
      <c r="T171" s="283" t="n"/>
      <c r="U171" s="283" t="n"/>
      <c r="V171" s="283" t="n"/>
      <c r="W171" s="283" t="n"/>
      <c r="X171" s="283" t="n"/>
      <c r="Y171" s="283" t="n"/>
      <c r="Z171" s="283" t="n"/>
    </row>
    <row r="172">
      <c r="A172" s="283" t="n"/>
      <c r="B172" s="283" t="n"/>
      <c r="C172" s="283" t="n"/>
      <c r="D172" s="283" t="n"/>
      <c r="E172" s="283" t="n"/>
      <c r="F172" s="283" t="n"/>
      <c r="G172" s="283" t="n"/>
      <c r="H172" s="283" t="n"/>
      <c r="I172" s="283" t="n"/>
      <c r="J172" s="283" t="n"/>
      <c r="K172" s="283" t="n"/>
      <c r="L172" s="283" t="n"/>
      <c r="M172" s="283" t="n"/>
      <c r="N172" s="380" t="n"/>
      <c r="O172" s="380" t="n"/>
      <c r="P172" s="283" t="n"/>
      <c r="Q172" s="283" t="n"/>
      <c r="R172" s="283" t="n"/>
      <c r="S172" s="283" t="n"/>
      <c r="T172" s="283" t="n"/>
      <c r="U172" s="283" t="n"/>
      <c r="V172" s="283" t="n"/>
      <c r="W172" s="283" t="n"/>
      <c r="X172" s="283" t="n"/>
      <c r="Y172" s="283" t="n"/>
      <c r="Z172" s="283" t="n"/>
    </row>
    <row r="173">
      <c r="A173" s="283" t="n"/>
      <c r="B173" s="283" t="n"/>
      <c r="C173" s="283" t="n"/>
      <c r="D173" s="283" t="n"/>
      <c r="E173" s="283" t="n"/>
      <c r="F173" s="283" t="n"/>
      <c r="G173" s="283" t="n"/>
      <c r="H173" s="283" t="n"/>
      <c r="I173" s="283" t="n"/>
      <c r="J173" s="283" t="n"/>
      <c r="K173" s="283" t="n"/>
      <c r="L173" s="283" t="n"/>
      <c r="M173" s="283" t="n"/>
      <c r="N173" s="380" t="n"/>
      <c r="O173" s="380" t="n"/>
      <c r="P173" s="283" t="n"/>
      <c r="Q173" s="283" t="n"/>
      <c r="R173" s="283" t="n"/>
      <c r="S173" s="283" t="n"/>
      <c r="T173" s="283" t="n"/>
      <c r="U173" s="283" t="n"/>
      <c r="V173" s="283" t="n"/>
      <c r="W173" s="283" t="n"/>
      <c r="X173" s="283" t="n"/>
      <c r="Y173" s="283" t="n"/>
      <c r="Z173" s="283" t="n"/>
    </row>
    <row r="174">
      <c r="A174" s="283" t="n"/>
      <c r="B174" s="283" t="n"/>
      <c r="C174" s="283" t="n"/>
      <c r="D174" s="283" t="n"/>
      <c r="E174" s="283" t="n"/>
      <c r="F174" s="283" t="n"/>
      <c r="G174" s="283" t="n"/>
      <c r="H174" s="283" t="n"/>
      <c r="I174" s="283" t="n"/>
      <c r="J174" s="283" t="n"/>
      <c r="K174" s="283" t="n"/>
      <c r="L174" s="283" t="n"/>
      <c r="M174" s="283" t="n"/>
      <c r="N174" s="380" t="n"/>
      <c r="O174" s="380" t="n"/>
      <c r="P174" s="283" t="n"/>
      <c r="Q174" s="283" t="n"/>
      <c r="R174" s="283" t="n"/>
      <c r="S174" s="283" t="n"/>
      <c r="T174" s="283" t="n"/>
      <c r="U174" s="283" t="n"/>
      <c r="V174" s="283" t="n"/>
      <c r="W174" s="283" t="n"/>
      <c r="X174" s="283" t="n"/>
      <c r="Y174" s="283" t="n"/>
      <c r="Z174" s="283" t="n"/>
    </row>
    <row r="175">
      <c r="A175" s="283" t="n"/>
      <c r="B175" s="283" t="n"/>
      <c r="C175" s="283" t="n"/>
      <c r="D175" s="283" t="n"/>
      <c r="E175" s="283" t="n"/>
      <c r="F175" s="283" t="n"/>
      <c r="G175" s="283" t="n"/>
      <c r="H175" s="283" t="n"/>
      <c r="I175" s="283" t="n"/>
      <c r="J175" s="283" t="n"/>
      <c r="K175" s="283" t="n"/>
      <c r="L175" s="283" t="n"/>
      <c r="M175" s="283" t="n"/>
      <c r="N175" s="380" t="n"/>
      <c r="O175" s="380" t="n"/>
      <c r="P175" s="283" t="n"/>
      <c r="Q175" s="283" t="n"/>
      <c r="R175" s="283" t="n"/>
      <c r="S175" s="283" t="n"/>
      <c r="T175" s="283" t="n"/>
      <c r="U175" s="283" t="n"/>
      <c r="V175" s="283" t="n"/>
      <c r="W175" s="283" t="n"/>
      <c r="X175" s="283" t="n"/>
      <c r="Y175" s="283" t="n"/>
      <c r="Z175" s="283" t="n"/>
    </row>
    <row r="176">
      <c r="A176" s="283" t="n"/>
      <c r="B176" s="283" t="n"/>
      <c r="C176" s="283" t="n"/>
      <c r="D176" s="283" t="n"/>
      <c r="E176" s="283" t="n"/>
      <c r="F176" s="283" t="n"/>
      <c r="G176" s="283" t="n"/>
      <c r="H176" s="283" t="n"/>
      <c r="I176" s="283" t="n"/>
      <c r="J176" s="283" t="n"/>
      <c r="K176" s="283" t="n"/>
      <c r="L176" s="283" t="n"/>
      <c r="M176" s="283" t="n"/>
      <c r="N176" s="380" t="n"/>
      <c r="O176" s="380" t="n"/>
      <c r="P176" s="283" t="n"/>
      <c r="Q176" s="283" t="n"/>
      <c r="R176" s="283" t="n"/>
      <c r="S176" s="283" t="n"/>
      <c r="T176" s="283" t="n"/>
      <c r="U176" s="283" t="n"/>
      <c r="V176" s="283" t="n"/>
      <c r="W176" s="283" t="n"/>
      <c r="X176" s="283" t="n"/>
      <c r="Y176" s="283" t="n"/>
      <c r="Z176" s="283" t="n"/>
    </row>
    <row r="177">
      <c r="A177" s="283" t="n"/>
      <c r="B177" s="283" t="n"/>
      <c r="C177" s="283" t="n"/>
      <c r="D177" s="283" t="n"/>
      <c r="E177" s="283" t="n"/>
      <c r="F177" s="283" t="n"/>
      <c r="G177" s="283" t="n"/>
      <c r="H177" s="283" t="n"/>
      <c r="I177" s="283" t="n"/>
      <c r="J177" s="283" t="n"/>
      <c r="K177" s="283" t="n"/>
      <c r="L177" s="283" t="n"/>
      <c r="M177" s="283" t="n"/>
      <c r="N177" s="380" t="n"/>
      <c r="O177" s="380" t="n"/>
      <c r="P177" s="283" t="n"/>
      <c r="Q177" s="283" t="n"/>
      <c r="R177" s="283" t="n"/>
      <c r="S177" s="283" t="n"/>
      <c r="T177" s="283" t="n"/>
      <c r="U177" s="283" t="n"/>
      <c r="V177" s="283" t="n"/>
      <c r="W177" s="283" t="n"/>
      <c r="X177" s="283" t="n"/>
      <c r="Y177" s="283" t="n"/>
      <c r="Z177" s="283" t="n"/>
    </row>
    <row r="178">
      <c r="A178" s="283" t="n"/>
      <c r="B178" s="283" t="n"/>
      <c r="C178" s="283" t="n"/>
      <c r="D178" s="283" t="n"/>
      <c r="E178" s="283" t="n"/>
      <c r="F178" s="283" t="n"/>
      <c r="G178" s="283" t="n"/>
      <c r="H178" s="283" t="n"/>
      <c r="I178" s="283" t="n"/>
      <c r="J178" s="283" t="n"/>
      <c r="K178" s="283" t="n"/>
      <c r="L178" s="283" t="n"/>
      <c r="M178" s="283" t="n"/>
      <c r="N178" s="380" t="n"/>
      <c r="O178" s="380" t="n"/>
      <c r="P178" s="283" t="n"/>
      <c r="Q178" s="283" t="n"/>
      <c r="R178" s="283" t="n"/>
      <c r="S178" s="283" t="n"/>
      <c r="T178" s="283" t="n"/>
      <c r="U178" s="283" t="n"/>
      <c r="V178" s="283" t="n"/>
      <c r="W178" s="283" t="n"/>
      <c r="X178" s="283" t="n"/>
      <c r="Y178" s="283" t="n"/>
      <c r="Z178" s="283" t="n"/>
    </row>
    <row r="179">
      <c r="A179" s="283" t="n"/>
      <c r="B179" s="283" t="n"/>
      <c r="C179" s="283" t="n"/>
      <c r="D179" s="283" t="n"/>
      <c r="E179" s="283" t="n"/>
      <c r="F179" s="283" t="n"/>
      <c r="G179" s="283" t="n"/>
      <c r="H179" s="283" t="n"/>
      <c r="I179" s="283" t="n"/>
      <c r="J179" s="283" t="n"/>
      <c r="K179" s="283" t="n"/>
      <c r="L179" s="283" t="n"/>
      <c r="M179" s="283" t="n"/>
      <c r="N179" s="380" t="n"/>
      <c r="O179" s="380" t="n"/>
      <c r="P179" s="283" t="n"/>
      <c r="Q179" s="283" t="n"/>
      <c r="R179" s="283" t="n"/>
      <c r="S179" s="283" t="n"/>
      <c r="T179" s="283" t="n"/>
      <c r="U179" s="283" t="n"/>
      <c r="V179" s="283" t="n"/>
      <c r="W179" s="283" t="n"/>
      <c r="X179" s="283" t="n"/>
      <c r="Y179" s="283" t="n"/>
      <c r="Z179" s="283" t="n"/>
    </row>
    <row r="180">
      <c r="A180" s="283" t="n"/>
      <c r="B180" s="283" t="n"/>
      <c r="C180" s="283" t="n"/>
      <c r="D180" s="283" t="n"/>
      <c r="E180" s="283" t="n"/>
      <c r="F180" s="283" t="n"/>
      <c r="G180" s="283" t="n"/>
      <c r="H180" s="283" t="n"/>
      <c r="I180" s="283" t="n"/>
      <c r="J180" s="283" t="n"/>
      <c r="K180" s="283" t="n"/>
      <c r="L180" s="283" t="n"/>
      <c r="M180" s="283" t="n"/>
      <c r="N180" s="380" t="n"/>
      <c r="O180" s="380" t="n"/>
      <c r="P180" s="283" t="n"/>
      <c r="Q180" s="283" t="n"/>
      <c r="R180" s="283" t="n"/>
      <c r="S180" s="283" t="n"/>
      <c r="T180" s="283" t="n"/>
      <c r="U180" s="283" t="n"/>
      <c r="V180" s="283" t="n"/>
      <c r="W180" s="283" t="n"/>
      <c r="X180" s="283" t="n"/>
      <c r="Y180" s="283" t="n"/>
      <c r="Z180" s="283" t="n"/>
    </row>
    <row r="181">
      <c r="A181" s="283" t="n"/>
      <c r="B181" s="283" t="n"/>
      <c r="C181" s="283" t="n"/>
      <c r="D181" s="283" t="n"/>
      <c r="E181" s="283" t="n"/>
      <c r="F181" s="283" t="n"/>
      <c r="G181" s="283" t="n"/>
      <c r="H181" s="283" t="n"/>
      <c r="I181" s="283" t="n"/>
      <c r="J181" s="283" t="n"/>
      <c r="K181" s="283" t="n"/>
      <c r="L181" s="283" t="n"/>
      <c r="M181" s="283" t="n"/>
      <c r="N181" s="380" t="n"/>
      <c r="O181" s="380" t="n"/>
      <c r="P181" s="283" t="n"/>
      <c r="Q181" s="283" t="n"/>
      <c r="R181" s="283" t="n"/>
      <c r="S181" s="283" t="n"/>
      <c r="T181" s="283" t="n"/>
      <c r="U181" s="283" t="n"/>
      <c r="V181" s="283" t="n"/>
      <c r="W181" s="283" t="n"/>
      <c r="X181" s="283" t="n"/>
      <c r="Y181" s="283" t="n"/>
      <c r="Z181" s="283" t="n"/>
    </row>
    <row r="182">
      <c r="A182" s="283" t="n"/>
      <c r="B182" s="283" t="n"/>
      <c r="C182" s="283" t="n"/>
      <c r="D182" s="283" t="n"/>
      <c r="E182" s="283" t="n"/>
      <c r="F182" s="283" t="n"/>
      <c r="G182" s="283" t="n"/>
      <c r="H182" s="283" t="n"/>
      <c r="I182" s="283" t="n"/>
      <c r="J182" s="283" t="n"/>
      <c r="K182" s="283" t="n"/>
      <c r="L182" s="283" t="n"/>
      <c r="M182" s="283" t="n"/>
      <c r="N182" s="380" t="n"/>
      <c r="O182" s="380" t="n"/>
      <c r="P182" s="283" t="n"/>
      <c r="Q182" s="283" t="n"/>
      <c r="R182" s="283" t="n"/>
      <c r="S182" s="283" t="n"/>
      <c r="T182" s="283" t="n"/>
      <c r="U182" s="283" t="n"/>
      <c r="V182" s="283" t="n"/>
      <c r="W182" s="283" t="n"/>
      <c r="X182" s="283" t="n"/>
      <c r="Y182" s="283" t="n"/>
      <c r="Z182" s="283" t="n"/>
    </row>
    <row r="183">
      <c r="A183" s="283" t="n"/>
      <c r="B183" s="283" t="n"/>
      <c r="C183" s="283" t="n"/>
      <c r="D183" s="283" t="n"/>
      <c r="E183" s="283" t="n"/>
      <c r="F183" s="283" t="n"/>
      <c r="G183" s="283" t="n"/>
      <c r="H183" s="283" t="n"/>
      <c r="I183" s="283" t="n"/>
      <c r="J183" s="283" t="n"/>
      <c r="K183" s="283" t="n"/>
      <c r="L183" s="283" t="n"/>
      <c r="M183" s="283" t="n"/>
      <c r="N183" s="380" t="n"/>
      <c r="O183" s="380" t="n"/>
      <c r="P183" s="283" t="n"/>
      <c r="Q183" s="283" t="n"/>
      <c r="R183" s="283" t="n"/>
      <c r="S183" s="283" t="n"/>
      <c r="T183" s="283" t="n"/>
      <c r="U183" s="283" t="n"/>
      <c r="V183" s="283" t="n"/>
      <c r="W183" s="283" t="n"/>
      <c r="X183" s="283" t="n"/>
      <c r="Y183" s="283" t="n"/>
      <c r="Z183" s="283" t="n"/>
    </row>
    <row r="184">
      <c r="A184" s="283" t="n"/>
      <c r="B184" s="283" t="n"/>
      <c r="C184" s="283" t="n"/>
      <c r="D184" s="283" t="n"/>
      <c r="E184" s="283" t="n"/>
      <c r="F184" s="283" t="n"/>
      <c r="G184" s="283" t="n"/>
      <c r="H184" s="283" t="n"/>
      <c r="I184" s="283" t="n"/>
      <c r="J184" s="283" t="n"/>
      <c r="K184" s="283" t="n"/>
      <c r="L184" s="283" t="n"/>
      <c r="M184" s="283" t="n"/>
      <c r="N184" s="380" t="n"/>
      <c r="O184" s="380" t="n"/>
      <c r="P184" s="283" t="n"/>
      <c r="Q184" s="283" t="n"/>
      <c r="R184" s="283" t="n"/>
      <c r="S184" s="283" t="n"/>
      <c r="T184" s="283" t="n"/>
      <c r="U184" s="283" t="n"/>
      <c r="V184" s="283" t="n"/>
      <c r="W184" s="283" t="n"/>
      <c r="X184" s="283" t="n"/>
      <c r="Y184" s="283" t="n"/>
      <c r="Z184" s="283" t="n"/>
    </row>
    <row r="185">
      <c r="A185" s="283" t="n"/>
      <c r="B185" s="283" t="n"/>
      <c r="C185" s="283" t="n"/>
      <c r="D185" s="283" t="n"/>
      <c r="E185" s="283" t="n"/>
      <c r="F185" s="283" t="n"/>
      <c r="G185" s="283" t="n"/>
      <c r="H185" s="283" t="n"/>
      <c r="I185" s="283" t="n"/>
      <c r="J185" s="283" t="n"/>
      <c r="K185" s="283" t="n"/>
      <c r="L185" s="283" t="n"/>
      <c r="M185" s="283" t="n"/>
      <c r="N185" s="380" t="n"/>
      <c r="O185" s="380" t="n"/>
      <c r="P185" s="283" t="n"/>
      <c r="Q185" s="283" t="n"/>
      <c r="R185" s="283" t="n"/>
      <c r="S185" s="283" t="n"/>
      <c r="T185" s="283" t="n"/>
      <c r="U185" s="283" t="n"/>
      <c r="V185" s="283" t="n"/>
      <c r="W185" s="283" t="n"/>
      <c r="X185" s="283" t="n"/>
      <c r="Y185" s="283" t="n"/>
      <c r="Z185" s="283" t="n"/>
    </row>
    <row r="186">
      <c r="A186" s="283" t="n"/>
      <c r="B186" s="283" t="n"/>
      <c r="C186" s="283" t="n"/>
      <c r="D186" s="283" t="n"/>
      <c r="E186" s="283" t="n"/>
      <c r="F186" s="283" t="n"/>
      <c r="G186" s="283" t="n"/>
      <c r="H186" s="283" t="n"/>
      <c r="I186" s="283" t="n"/>
      <c r="J186" s="283" t="n"/>
      <c r="K186" s="283" t="n"/>
      <c r="L186" s="283" t="n"/>
      <c r="M186" s="283" t="n"/>
      <c r="N186" s="380" t="n"/>
      <c r="O186" s="380" t="n"/>
      <c r="P186" s="283" t="n"/>
      <c r="Q186" s="283" t="n"/>
      <c r="R186" s="283" t="n"/>
      <c r="S186" s="283" t="n"/>
      <c r="T186" s="283" t="n"/>
      <c r="U186" s="283" t="n"/>
      <c r="V186" s="283" t="n"/>
      <c r="W186" s="283" t="n"/>
      <c r="X186" s="283" t="n"/>
      <c r="Y186" s="283" t="n"/>
      <c r="Z186" s="283" t="n"/>
    </row>
    <row r="187">
      <c r="A187" s="283" t="n"/>
      <c r="B187" s="283" t="n"/>
      <c r="C187" s="283" t="n"/>
      <c r="D187" s="283" t="n"/>
      <c r="E187" s="283" t="n"/>
      <c r="F187" s="283" t="n"/>
      <c r="G187" s="283" t="n"/>
      <c r="H187" s="283" t="n"/>
      <c r="I187" s="283" t="n"/>
      <c r="J187" s="283" t="n"/>
      <c r="K187" s="283" t="n"/>
      <c r="L187" s="283" t="n"/>
      <c r="M187" s="283" t="n"/>
      <c r="N187" s="380" t="n"/>
      <c r="O187" s="380" t="n"/>
      <c r="P187" s="283" t="n"/>
      <c r="Q187" s="283" t="n"/>
      <c r="R187" s="283" t="n"/>
      <c r="S187" s="283" t="n"/>
      <c r="T187" s="283" t="n"/>
      <c r="U187" s="283" t="n"/>
      <c r="V187" s="283" t="n"/>
      <c r="W187" s="283" t="n"/>
      <c r="X187" s="283" t="n"/>
      <c r="Y187" s="283" t="n"/>
      <c r="Z187" s="283" t="n"/>
    </row>
    <row r="188">
      <c r="A188" s="283" t="n"/>
      <c r="B188" s="283" t="n"/>
      <c r="C188" s="283" t="n"/>
      <c r="D188" s="283" t="n"/>
      <c r="E188" s="283" t="n"/>
      <c r="F188" s="283" t="n"/>
      <c r="G188" s="283" t="n"/>
      <c r="H188" s="283" t="n"/>
      <c r="I188" s="283" t="n"/>
      <c r="J188" s="283" t="n"/>
      <c r="K188" s="283" t="n"/>
      <c r="L188" s="283" t="n"/>
      <c r="M188" s="283" t="n"/>
      <c r="N188" s="380" t="n"/>
      <c r="O188" s="380" t="n"/>
      <c r="P188" s="283" t="n"/>
      <c r="Q188" s="283" t="n"/>
      <c r="R188" s="283" t="n"/>
      <c r="S188" s="283" t="n"/>
      <c r="T188" s="283" t="n"/>
      <c r="U188" s="283" t="n"/>
      <c r="V188" s="283" t="n"/>
      <c r="W188" s="283" t="n"/>
      <c r="X188" s="283" t="n"/>
      <c r="Y188" s="283" t="n"/>
      <c r="Z188" s="283" t="n"/>
    </row>
    <row r="189">
      <c r="A189" s="283" t="n"/>
      <c r="B189" s="283" t="n"/>
      <c r="C189" s="283" t="n"/>
      <c r="D189" s="283" t="n"/>
      <c r="E189" s="283" t="n"/>
      <c r="F189" s="283" t="n"/>
      <c r="G189" s="283" t="n"/>
      <c r="H189" s="283" t="n"/>
      <c r="I189" s="283" t="n"/>
      <c r="J189" s="283" t="n"/>
      <c r="K189" s="283" t="n"/>
      <c r="L189" s="283" t="n"/>
      <c r="M189" s="283" t="n"/>
      <c r="N189" s="380" t="n"/>
      <c r="O189" s="380" t="n"/>
      <c r="P189" s="283" t="n"/>
      <c r="Q189" s="283" t="n"/>
      <c r="R189" s="283" t="n"/>
      <c r="S189" s="283" t="n"/>
      <c r="T189" s="283" t="n"/>
      <c r="U189" s="283" t="n"/>
      <c r="V189" s="283" t="n"/>
      <c r="W189" s="283" t="n"/>
      <c r="X189" s="283" t="n"/>
      <c r="Y189" s="283" t="n"/>
      <c r="Z189" s="283" t="n"/>
    </row>
    <row r="190">
      <c r="A190" s="283" t="n"/>
      <c r="B190" s="283" t="n"/>
      <c r="C190" s="283" t="n"/>
      <c r="D190" s="283" t="n"/>
      <c r="E190" s="283" t="n"/>
      <c r="F190" s="283" t="n"/>
      <c r="G190" s="283" t="n"/>
      <c r="H190" s="283" t="n"/>
      <c r="I190" s="283" t="n"/>
      <c r="J190" s="283" t="n"/>
      <c r="K190" s="283" t="n"/>
      <c r="L190" s="283" t="n"/>
      <c r="M190" s="283" t="n"/>
      <c r="N190" s="380" t="n"/>
      <c r="O190" s="380" t="n"/>
      <c r="P190" s="283" t="n"/>
      <c r="Q190" s="283" t="n"/>
      <c r="R190" s="283" t="n"/>
      <c r="S190" s="283" t="n"/>
      <c r="T190" s="283" t="n"/>
      <c r="U190" s="283" t="n"/>
      <c r="V190" s="283" t="n"/>
      <c r="W190" s="283" t="n"/>
      <c r="X190" s="283" t="n"/>
      <c r="Y190" s="283" t="n"/>
      <c r="Z190" s="283" t="n"/>
    </row>
    <row r="191">
      <c r="A191" s="283" t="n"/>
      <c r="B191" s="283" t="n"/>
      <c r="C191" s="283" t="n"/>
      <c r="D191" s="283" t="n"/>
      <c r="E191" s="283" t="n"/>
      <c r="F191" s="283" t="n"/>
      <c r="G191" s="283" t="n"/>
      <c r="H191" s="283" t="n"/>
      <c r="I191" s="283" t="n"/>
      <c r="J191" s="283" t="n"/>
      <c r="K191" s="283" t="n"/>
      <c r="L191" s="283" t="n"/>
      <c r="M191" s="283" t="n"/>
      <c r="N191" s="380" t="n"/>
      <c r="O191" s="380" t="n"/>
      <c r="P191" s="283" t="n"/>
      <c r="Q191" s="283" t="n"/>
      <c r="R191" s="283" t="n"/>
      <c r="S191" s="283" t="n"/>
      <c r="T191" s="283" t="n"/>
      <c r="U191" s="283" t="n"/>
      <c r="V191" s="283" t="n"/>
      <c r="W191" s="283" t="n"/>
      <c r="X191" s="283" t="n"/>
      <c r="Y191" s="283" t="n"/>
      <c r="Z191" s="283" t="n"/>
    </row>
    <row r="192">
      <c r="A192" s="283" t="n"/>
      <c r="B192" s="283" t="n"/>
      <c r="C192" s="283" t="n"/>
      <c r="D192" s="283" t="n"/>
      <c r="E192" s="283" t="n"/>
      <c r="F192" s="283" t="n"/>
      <c r="G192" s="283" t="n"/>
      <c r="H192" s="283" t="n"/>
      <c r="I192" s="283" t="n"/>
      <c r="J192" s="283" t="n"/>
      <c r="K192" s="283" t="n"/>
      <c r="L192" s="283" t="n"/>
      <c r="M192" s="283" t="n"/>
      <c r="N192" s="380" t="n"/>
      <c r="O192" s="380" t="n"/>
      <c r="P192" s="283" t="n"/>
      <c r="Q192" s="283" t="n"/>
      <c r="R192" s="283" t="n"/>
      <c r="S192" s="283" t="n"/>
      <c r="T192" s="283" t="n"/>
      <c r="U192" s="283" t="n"/>
      <c r="V192" s="283" t="n"/>
      <c r="W192" s="283" t="n"/>
      <c r="X192" s="283" t="n"/>
      <c r="Y192" s="283" t="n"/>
      <c r="Z192" s="283" t="n"/>
    </row>
    <row r="193">
      <c r="A193" s="283" t="n"/>
      <c r="B193" s="283" t="n"/>
      <c r="C193" s="283" t="n"/>
      <c r="D193" s="283" t="n"/>
      <c r="E193" s="283" t="n"/>
      <c r="F193" s="283" t="n"/>
      <c r="G193" s="283" t="n"/>
      <c r="H193" s="283" t="n"/>
      <c r="I193" s="283" t="n"/>
      <c r="J193" s="283" t="n"/>
      <c r="K193" s="283" t="n"/>
      <c r="L193" s="283" t="n"/>
      <c r="M193" s="283" t="n"/>
      <c r="N193" s="380" t="n"/>
      <c r="O193" s="380" t="n"/>
      <c r="P193" s="283" t="n"/>
      <c r="Q193" s="283" t="n"/>
      <c r="R193" s="283" t="n"/>
      <c r="S193" s="283" t="n"/>
      <c r="T193" s="283" t="n"/>
      <c r="U193" s="283" t="n"/>
      <c r="V193" s="283" t="n"/>
      <c r="W193" s="283" t="n"/>
      <c r="X193" s="283" t="n"/>
      <c r="Y193" s="283" t="n"/>
      <c r="Z193" s="283" t="n"/>
    </row>
    <row r="194">
      <c r="A194" s="283" t="n"/>
      <c r="B194" s="283" t="n"/>
      <c r="C194" s="283" t="n"/>
      <c r="D194" s="283" t="n"/>
      <c r="E194" s="283" t="n"/>
      <c r="F194" s="283" t="n"/>
      <c r="G194" s="283" t="n"/>
      <c r="H194" s="283" t="n"/>
      <c r="I194" s="283" t="n"/>
      <c r="J194" s="283" t="n"/>
      <c r="K194" s="283" t="n"/>
      <c r="L194" s="283" t="n"/>
      <c r="M194" s="283" t="n"/>
      <c r="N194" s="380" t="n"/>
      <c r="O194" s="380" t="n"/>
      <c r="P194" s="283" t="n"/>
      <c r="Q194" s="283" t="n"/>
      <c r="R194" s="283" t="n"/>
      <c r="S194" s="283" t="n"/>
      <c r="T194" s="283" t="n"/>
      <c r="U194" s="283" t="n"/>
      <c r="V194" s="283" t="n"/>
      <c r="W194" s="283" t="n"/>
      <c r="X194" s="283" t="n"/>
      <c r="Y194" s="283" t="n"/>
      <c r="Z194" s="283" t="n"/>
    </row>
    <row r="195">
      <c r="A195" s="283" t="n"/>
      <c r="B195" s="283" t="n"/>
      <c r="C195" s="283" t="n"/>
      <c r="D195" s="283" t="n"/>
      <c r="E195" s="283" t="n"/>
      <c r="F195" s="283" t="n"/>
      <c r="G195" s="283" t="n"/>
      <c r="H195" s="283" t="n"/>
      <c r="I195" s="283" t="n"/>
      <c r="J195" s="283" t="n"/>
      <c r="K195" s="283" t="n"/>
      <c r="L195" s="283" t="n"/>
      <c r="M195" s="283" t="n"/>
      <c r="N195" s="380" t="n"/>
      <c r="O195" s="380" t="n"/>
      <c r="P195" s="283" t="n"/>
      <c r="Q195" s="283" t="n"/>
      <c r="R195" s="283" t="n"/>
      <c r="S195" s="283" t="n"/>
      <c r="T195" s="283" t="n"/>
      <c r="U195" s="283" t="n"/>
      <c r="V195" s="283" t="n"/>
      <c r="W195" s="283" t="n"/>
      <c r="X195" s="283" t="n"/>
      <c r="Y195" s="283" t="n"/>
      <c r="Z195" s="283" t="n"/>
    </row>
    <row r="196">
      <c r="A196" s="283" t="n"/>
      <c r="B196" s="283" t="n"/>
      <c r="C196" s="283" t="n"/>
      <c r="D196" s="283" t="n"/>
      <c r="E196" s="283" t="n"/>
      <c r="F196" s="283" t="n"/>
      <c r="G196" s="283" t="n"/>
      <c r="H196" s="283" t="n"/>
      <c r="I196" s="283" t="n"/>
      <c r="J196" s="283" t="n"/>
      <c r="K196" s="283" t="n"/>
      <c r="L196" s="283" t="n"/>
      <c r="M196" s="283" t="n"/>
      <c r="N196" s="380" t="n"/>
      <c r="O196" s="380" t="n"/>
      <c r="P196" s="283" t="n"/>
      <c r="Q196" s="283" t="n"/>
      <c r="R196" s="283" t="n"/>
      <c r="S196" s="283" t="n"/>
      <c r="T196" s="283" t="n"/>
      <c r="U196" s="283" t="n"/>
      <c r="V196" s="283" t="n"/>
      <c r="W196" s="283" t="n"/>
      <c r="X196" s="283" t="n"/>
      <c r="Y196" s="283" t="n"/>
      <c r="Z196" s="283" t="n"/>
    </row>
    <row r="197">
      <c r="A197" s="283" t="n"/>
      <c r="B197" s="283" t="n"/>
      <c r="C197" s="283" t="n"/>
      <c r="D197" s="283" t="n"/>
      <c r="E197" s="283" t="n"/>
      <c r="F197" s="283" t="n"/>
      <c r="G197" s="283" t="n"/>
      <c r="H197" s="283" t="n"/>
      <c r="I197" s="283" t="n"/>
      <c r="J197" s="283" t="n"/>
      <c r="K197" s="283" t="n"/>
      <c r="L197" s="283" t="n"/>
      <c r="M197" s="283" t="n"/>
      <c r="N197" s="380" t="n"/>
      <c r="O197" s="380" t="n"/>
      <c r="P197" s="283" t="n"/>
      <c r="Q197" s="283" t="n"/>
      <c r="R197" s="283" t="n"/>
      <c r="S197" s="283" t="n"/>
      <c r="T197" s="283" t="n"/>
      <c r="U197" s="283" t="n"/>
      <c r="V197" s="283" t="n"/>
      <c r="W197" s="283" t="n"/>
      <c r="X197" s="283" t="n"/>
      <c r="Y197" s="283" t="n"/>
      <c r="Z197" s="283" t="n"/>
    </row>
    <row r="198">
      <c r="A198" s="283" t="n"/>
      <c r="B198" s="283" t="n"/>
      <c r="C198" s="283" t="n"/>
      <c r="D198" s="283" t="n"/>
      <c r="E198" s="283" t="n"/>
      <c r="F198" s="283" t="n"/>
      <c r="G198" s="283" t="n"/>
      <c r="H198" s="283" t="n"/>
      <c r="I198" s="283" t="n"/>
      <c r="J198" s="283" t="n"/>
      <c r="K198" s="283" t="n"/>
      <c r="L198" s="283" t="n"/>
      <c r="M198" s="283" t="n"/>
      <c r="N198" s="380" t="n"/>
      <c r="O198" s="380" t="n"/>
      <c r="P198" s="283" t="n"/>
      <c r="Q198" s="283" t="n"/>
      <c r="R198" s="283" t="n"/>
      <c r="S198" s="283" t="n"/>
      <c r="T198" s="283" t="n"/>
      <c r="U198" s="283" t="n"/>
      <c r="V198" s="283" t="n"/>
      <c r="W198" s="283" t="n"/>
      <c r="X198" s="283" t="n"/>
      <c r="Y198" s="283" t="n"/>
      <c r="Z198" s="283" t="n"/>
    </row>
    <row r="199">
      <c r="A199" s="283" t="n"/>
      <c r="B199" s="283" t="n"/>
      <c r="C199" s="283" t="n"/>
      <c r="D199" s="283" t="n"/>
      <c r="E199" s="283" t="n"/>
      <c r="F199" s="283" t="n"/>
      <c r="G199" s="283" t="n"/>
      <c r="H199" s="283" t="n"/>
      <c r="I199" s="283" t="n"/>
      <c r="J199" s="283" t="n"/>
      <c r="K199" s="283" t="n"/>
      <c r="L199" s="283" t="n"/>
      <c r="M199" s="283" t="n"/>
      <c r="N199" s="380" t="n"/>
      <c r="O199" s="380" t="n"/>
      <c r="P199" s="283" t="n"/>
      <c r="Q199" s="283" t="n"/>
      <c r="R199" s="283" t="n"/>
      <c r="S199" s="283" t="n"/>
      <c r="T199" s="283" t="n"/>
      <c r="U199" s="283" t="n"/>
      <c r="V199" s="283" t="n"/>
      <c r="W199" s="283" t="n"/>
      <c r="X199" s="283" t="n"/>
      <c r="Y199" s="283" t="n"/>
      <c r="Z199" s="283" t="n"/>
    </row>
    <row r="200">
      <c r="A200" s="283" t="n"/>
      <c r="B200" s="283" t="n"/>
      <c r="C200" s="283" t="n"/>
      <c r="D200" s="283" t="n"/>
      <c r="E200" s="283" t="n"/>
      <c r="F200" s="283" t="n"/>
      <c r="G200" s="283" t="n"/>
      <c r="H200" s="283" t="n"/>
      <c r="I200" s="283" t="n"/>
      <c r="J200" s="283" t="n"/>
      <c r="K200" s="283" t="n"/>
      <c r="L200" s="283" t="n"/>
      <c r="M200" s="283" t="n"/>
      <c r="N200" s="380" t="n"/>
      <c r="O200" s="380" t="n"/>
      <c r="P200" s="283" t="n"/>
      <c r="Q200" s="283" t="n"/>
      <c r="R200" s="283" t="n"/>
      <c r="S200" s="283" t="n"/>
      <c r="T200" s="283" t="n"/>
      <c r="U200" s="283" t="n"/>
      <c r="V200" s="283" t="n"/>
      <c r="W200" s="283" t="n"/>
      <c r="X200" s="283" t="n"/>
      <c r="Y200" s="283" t="n"/>
      <c r="Z200" s="283" t="n"/>
    </row>
    <row r="201">
      <c r="A201" s="283" t="n"/>
      <c r="B201" s="283" t="n"/>
      <c r="C201" s="283" t="n"/>
      <c r="D201" s="283" t="n"/>
      <c r="E201" s="283" t="n"/>
      <c r="F201" s="283" t="n"/>
      <c r="G201" s="283" t="n"/>
      <c r="H201" s="283" t="n"/>
      <c r="I201" s="283" t="n"/>
      <c r="J201" s="283" t="n"/>
      <c r="K201" s="283" t="n"/>
      <c r="L201" s="283" t="n"/>
      <c r="M201" s="283" t="n"/>
      <c r="N201" s="380" t="n"/>
      <c r="O201" s="380" t="n"/>
      <c r="P201" s="283" t="n"/>
      <c r="Q201" s="283" t="n"/>
      <c r="R201" s="283" t="n"/>
      <c r="S201" s="283" t="n"/>
      <c r="T201" s="283" t="n"/>
      <c r="U201" s="283" t="n"/>
      <c r="V201" s="283" t="n"/>
      <c r="W201" s="283" t="n"/>
      <c r="X201" s="283" t="n"/>
      <c r="Y201" s="283" t="n"/>
      <c r="Z201" s="283" t="n"/>
    </row>
    <row r="202">
      <c r="A202" s="283" t="n"/>
      <c r="B202" s="283" t="n"/>
      <c r="C202" s="283" t="n"/>
      <c r="D202" s="283" t="n"/>
      <c r="E202" s="283" t="n"/>
      <c r="F202" s="283" t="n"/>
      <c r="G202" s="283" t="n"/>
      <c r="H202" s="283" t="n"/>
      <c r="I202" s="283" t="n"/>
      <c r="J202" s="283" t="n"/>
      <c r="K202" s="283" t="n"/>
      <c r="L202" s="283" t="n"/>
      <c r="M202" s="283" t="n"/>
      <c r="N202" s="380" t="n"/>
      <c r="O202" s="380" t="n"/>
      <c r="P202" s="283" t="n"/>
      <c r="Q202" s="283" t="n"/>
      <c r="R202" s="283" t="n"/>
      <c r="S202" s="283" t="n"/>
      <c r="T202" s="283" t="n"/>
      <c r="U202" s="283" t="n"/>
      <c r="V202" s="283" t="n"/>
      <c r="W202" s="283" t="n"/>
      <c r="X202" s="283" t="n"/>
      <c r="Y202" s="283" t="n"/>
      <c r="Z202" s="283" t="n"/>
    </row>
    <row r="203">
      <c r="A203" s="283" t="n"/>
      <c r="B203" s="283" t="n"/>
      <c r="C203" s="283" t="n"/>
      <c r="D203" s="283" t="n"/>
      <c r="E203" s="283" t="n"/>
      <c r="F203" s="283" t="n"/>
      <c r="G203" s="283" t="n"/>
      <c r="H203" s="283" t="n"/>
      <c r="I203" s="283" t="n"/>
      <c r="J203" s="283" t="n"/>
      <c r="K203" s="283" t="n"/>
      <c r="L203" s="283" t="n"/>
      <c r="M203" s="283" t="n"/>
      <c r="N203" s="380" t="n"/>
      <c r="O203" s="380" t="n"/>
      <c r="P203" s="283" t="n"/>
      <c r="Q203" s="283" t="n"/>
      <c r="R203" s="283" t="n"/>
      <c r="S203" s="283" t="n"/>
      <c r="T203" s="283" t="n"/>
      <c r="U203" s="283" t="n"/>
      <c r="V203" s="283" t="n"/>
      <c r="W203" s="283" t="n"/>
      <c r="X203" s="283" t="n"/>
      <c r="Y203" s="283" t="n"/>
      <c r="Z203" s="283" t="n"/>
    </row>
    <row r="204">
      <c r="A204" s="283" t="n"/>
      <c r="B204" s="283" t="n"/>
      <c r="C204" s="283" t="n"/>
      <c r="D204" s="283" t="n"/>
      <c r="E204" s="283" t="n"/>
      <c r="F204" s="283" t="n"/>
      <c r="G204" s="283" t="n"/>
      <c r="H204" s="283" t="n"/>
      <c r="I204" s="283" t="n"/>
      <c r="J204" s="283" t="n"/>
      <c r="K204" s="283" t="n"/>
      <c r="L204" s="283" t="n"/>
      <c r="M204" s="283" t="n"/>
      <c r="N204" s="380" t="n"/>
      <c r="O204" s="380" t="n"/>
      <c r="P204" s="283" t="n"/>
      <c r="Q204" s="283" t="n"/>
      <c r="R204" s="283" t="n"/>
      <c r="S204" s="283" t="n"/>
      <c r="T204" s="283" t="n"/>
      <c r="U204" s="283" t="n"/>
      <c r="V204" s="283" t="n"/>
      <c r="W204" s="283" t="n"/>
      <c r="X204" s="283" t="n"/>
      <c r="Y204" s="283" t="n"/>
      <c r="Z204" s="283" t="n"/>
    </row>
    <row r="205">
      <c r="A205" s="283" t="n"/>
      <c r="B205" s="283" t="n"/>
      <c r="C205" s="283" t="n"/>
      <c r="D205" s="283" t="n"/>
      <c r="E205" s="283" t="n"/>
      <c r="F205" s="283" t="n"/>
      <c r="G205" s="283" t="n"/>
      <c r="H205" s="283" t="n"/>
      <c r="I205" s="283" t="n"/>
      <c r="J205" s="283" t="n"/>
      <c r="K205" s="283" t="n"/>
      <c r="L205" s="283" t="n"/>
      <c r="M205" s="283" t="n"/>
      <c r="N205" s="380" t="n"/>
      <c r="O205" s="380" t="n"/>
      <c r="P205" s="283" t="n"/>
      <c r="Q205" s="283" t="n"/>
      <c r="R205" s="283" t="n"/>
      <c r="S205" s="283" t="n"/>
      <c r="T205" s="283" t="n"/>
      <c r="U205" s="283" t="n"/>
      <c r="V205" s="283" t="n"/>
      <c r="W205" s="283" t="n"/>
      <c r="X205" s="283" t="n"/>
      <c r="Y205" s="283" t="n"/>
      <c r="Z205" s="283" t="n"/>
    </row>
    <row r="206">
      <c r="A206" s="283" t="n"/>
      <c r="B206" s="283" t="n"/>
      <c r="C206" s="283" t="n"/>
      <c r="D206" s="283" t="n"/>
      <c r="E206" s="283" t="n"/>
      <c r="F206" s="283" t="n"/>
      <c r="G206" s="283" t="n"/>
      <c r="H206" s="283" t="n"/>
      <c r="I206" s="283" t="n"/>
      <c r="J206" s="283" t="n"/>
      <c r="K206" s="283" t="n"/>
      <c r="L206" s="283" t="n"/>
      <c r="M206" s="283" t="n"/>
      <c r="N206" s="380" t="n"/>
      <c r="O206" s="380" t="n"/>
      <c r="P206" s="283" t="n"/>
      <c r="Q206" s="283" t="n"/>
      <c r="R206" s="283" t="n"/>
      <c r="S206" s="283" t="n"/>
      <c r="T206" s="283" t="n"/>
      <c r="U206" s="283" t="n"/>
      <c r="V206" s="283" t="n"/>
      <c r="W206" s="283" t="n"/>
      <c r="X206" s="283" t="n"/>
      <c r="Y206" s="283" t="n"/>
      <c r="Z206" s="283" t="n"/>
    </row>
    <row r="207">
      <c r="A207" s="283" t="n"/>
      <c r="B207" s="283" t="n"/>
      <c r="C207" s="283" t="n"/>
      <c r="D207" s="283" t="n"/>
      <c r="E207" s="283" t="n"/>
      <c r="F207" s="283" t="n"/>
      <c r="G207" s="283" t="n"/>
      <c r="H207" s="283" t="n"/>
      <c r="I207" s="283" t="n"/>
      <c r="J207" s="283" t="n"/>
      <c r="K207" s="283" t="n"/>
      <c r="L207" s="283" t="n"/>
      <c r="M207" s="283" t="n"/>
      <c r="N207" s="380" t="n"/>
      <c r="O207" s="380" t="n"/>
      <c r="P207" s="283" t="n"/>
      <c r="Q207" s="283" t="n"/>
      <c r="R207" s="283" t="n"/>
      <c r="S207" s="283" t="n"/>
      <c r="T207" s="283" t="n"/>
      <c r="U207" s="283" t="n"/>
      <c r="V207" s="283" t="n"/>
      <c r="W207" s="283" t="n"/>
      <c r="X207" s="283" t="n"/>
      <c r="Y207" s="283" t="n"/>
      <c r="Z207" s="283" t="n"/>
    </row>
    <row r="208">
      <c r="A208" s="283" t="n"/>
      <c r="B208" s="283" t="n"/>
      <c r="C208" s="283" t="n"/>
      <c r="D208" s="283" t="n"/>
      <c r="E208" s="283" t="n"/>
      <c r="F208" s="283" t="n"/>
      <c r="G208" s="283" t="n"/>
      <c r="H208" s="283" t="n"/>
      <c r="I208" s="283" t="n"/>
      <c r="J208" s="283" t="n"/>
      <c r="K208" s="283" t="n"/>
      <c r="L208" s="283" t="n"/>
      <c r="M208" s="283" t="n"/>
      <c r="N208" s="380" t="n"/>
      <c r="O208" s="380" t="n"/>
      <c r="P208" s="283" t="n"/>
      <c r="Q208" s="283" t="n"/>
      <c r="R208" s="283" t="n"/>
      <c r="S208" s="283" t="n"/>
      <c r="T208" s="283" t="n"/>
      <c r="U208" s="283" t="n"/>
      <c r="V208" s="283" t="n"/>
      <c r="W208" s="283" t="n"/>
      <c r="X208" s="283" t="n"/>
      <c r="Y208" s="283" t="n"/>
      <c r="Z208" s="283" t="n"/>
    </row>
    <row r="209">
      <c r="A209" s="283" t="n"/>
      <c r="B209" s="283" t="n"/>
      <c r="C209" s="283" t="n"/>
      <c r="D209" s="283" t="n"/>
      <c r="E209" s="283" t="n"/>
      <c r="F209" s="283" t="n"/>
      <c r="G209" s="283" t="n"/>
      <c r="H209" s="283" t="n"/>
      <c r="I209" s="283" t="n"/>
      <c r="J209" s="283" t="n"/>
      <c r="K209" s="283" t="n"/>
      <c r="L209" s="283" t="n"/>
      <c r="M209" s="283" t="n"/>
      <c r="N209" s="380" t="n"/>
      <c r="O209" s="380" t="n"/>
      <c r="P209" s="283" t="n"/>
      <c r="Q209" s="283" t="n"/>
      <c r="R209" s="283" t="n"/>
      <c r="S209" s="283" t="n"/>
      <c r="T209" s="283" t="n"/>
      <c r="U209" s="283" t="n"/>
      <c r="V209" s="283" t="n"/>
      <c r="W209" s="283" t="n"/>
      <c r="X209" s="283" t="n"/>
      <c r="Y209" s="283" t="n"/>
      <c r="Z209" s="283" t="n"/>
    </row>
    <row r="210">
      <c r="A210" s="283" t="n"/>
      <c r="B210" s="283" t="n"/>
      <c r="C210" s="283" t="n"/>
      <c r="D210" s="283" t="n"/>
      <c r="E210" s="283" t="n"/>
      <c r="F210" s="283" t="n"/>
      <c r="G210" s="283" t="n"/>
      <c r="H210" s="283" t="n"/>
      <c r="I210" s="283" t="n"/>
      <c r="J210" s="283" t="n"/>
      <c r="K210" s="283" t="n"/>
      <c r="L210" s="283" t="n"/>
      <c r="M210" s="283" t="n"/>
      <c r="N210" s="380" t="n"/>
      <c r="O210" s="380" t="n"/>
      <c r="P210" s="283" t="n"/>
      <c r="Q210" s="283" t="n"/>
      <c r="R210" s="283" t="n"/>
      <c r="S210" s="283" t="n"/>
      <c r="T210" s="283" t="n"/>
      <c r="U210" s="283" t="n"/>
      <c r="V210" s="283" t="n"/>
      <c r="W210" s="283" t="n"/>
      <c r="X210" s="283" t="n"/>
      <c r="Y210" s="283" t="n"/>
      <c r="Z210" s="283" t="n"/>
    </row>
    <row r="211">
      <c r="A211" s="283" t="n"/>
      <c r="B211" s="283" t="n"/>
      <c r="C211" s="283" t="n"/>
      <c r="D211" s="283" t="n"/>
      <c r="E211" s="283" t="n"/>
      <c r="F211" s="283" t="n"/>
      <c r="G211" s="283" t="n"/>
      <c r="H211" s="283" t="n"/>
      <c r="I211" s="283" t="n"/>
      <c r="J211" s="283" t="n"/>
      <c r="K211" s="283" t="n"/>
      <c r="L211" s="283" t="n"/>
      <c r="M211" s="283" t="n"/>
      <c r="N211" s="380" t="n"/>
      <c r="O211" s="380" t="n"/>
      <c r="P211" s="283" t="n"/>
      <c r="Q211" s="283" t="n"/>
      <c r="R211" s="283" t="n"/>
      <c r="S211" s="283" t="n"/>
      <c r="T211" s="283" t="n"/>
      <c r="U211" s="283" t="n"/>
      <c r="V211" s="283" t="n"/>
      <c r="W211" s="283" t="n"/>
      <c r="X211" s="283" t="n"/>
      <c r="Y211" s="283" t="n"/>
      <c r="Z211" s="283" t="n"/>
    </row>
  </sheetData>
  <sheetProtection selectLockedCells="0" selectUnlockedCells="0" sheet="1" objects="1" insertRows="1" insertHyperlinks="1" autoFilter="1" scenarios="1" formatColumns="1" deleteColumns="1" insertColumns="1" pivotTables="1" deleteRows="1" formatCells="1" formatRows="1" sort="1"/>
  <mergeCells count="13">
    <mergeCell ref="A4:B4"/>
    <mergeCell ref="A2:F2"/>
    <mergeCell ref="G1:H1"/>
    <mergeCell ref="G2:H3"/>
    <mergeCell ref="J2:J3"/>
    <mergeCell ref="A1:F1"/>
    <mergeCell ref="G4:M4"/>
    <mergeCell ref="M2:M3"/>
    <mergeCell ref="D4:E4"/>
    <mergeCell ref="I10:K12"/>
    <mergeCell ref="K2:K3"/>
    <mergeCell ref="I2:I3"/>
    <mergeCell ref="L2:L3"/>
  </mergeCells>
  <conditionalFormatting sqref="D15:D19">
    <cfRule type="cellIs" priority="1" operator="equal" dxfId="9" stopIfTrue="1">
      <formula>0</formula>
    </cfRule>
    <cfRule type="dataBar" priority="2">
      <dataBar>
        <cfvo type="num" val="0"/>
        <cfvo type="formula" val="$B29"/>
        <color rgb="FFC8D8C4"/>
      </dataBar>
    </cfRule>
    <cfRule type="cellIs" priority="3" operator="lessThan" dxfId="8">
      <formula>0</formula>
    </cfRule>
  </conditionalFormatting>
  <conditionalFormatting sqref="D24:D31">
    <cfRule type="cellIs" priority="4" operator="equal" dxfId="9" stopIfTrue="1">
      <formula>0</formula>
    </cfRule>
    <cfRule type="dataBar" priority="5">
      <dataBar>
        <cfvo type="num" val="0"/>
        <cfvo type="formula" val="$B47"/>
        <color rgb="FFC8D8C4"/>
      </dataBar>
    </cfRule>
    <cfRule type="cellIs" priority="6" operator="lessThan" dxfId="8">
      <formula>0</formula>
    </cfRule>
  </conditionalFormatting>
  <conditionalFormatting sqref="D36:D43">
    <cfRule type="cellIs" priority="7" operator="equal" dxfId="9" stopIfTrue="1">
      <formula>0</formula>
    </cfRule>
    <cfRule type="dataBar" priority="8">
      <dataBar>
        <cfvo type="num" val="0"/>
        <cfvo type="formula" val="$B71"/>
        <color rgb="FFC8D8C4"/>
      </dataBar>
    </cfRule>
    <cfRule type="cellIs" priority="9" operator="lessThan" dxfId="8">
      <formula>0</formula>
    </cfRule>
  </conditionalFormatting>
  <conditionalFormatting sqref="D48:D52">
    <cfRule type="cellIs" priority="10" operator="equal" dxfId="9" stopIfTrue="1">
      <formula>0</formula>
    </cfRule>
    <cfRule type="dataBar" priority="11">
      <dataBar>
        <cfvo type="num" val="0"/>
        <cfvo type="formula" val="$B95"/>
        <color rgb="FFC8D8C4"/>
      </dataBar>
    </cfRule>
    <cfRule type="cellIs" priority="12" operator="lessThan" dxfId="8">
      <formula>0</formula>
    </cfRule>
  </conditionalFormatting>
  <conditionalFormatting sqref="D57:D60">
    <cfRule type="cellIs" priority="13" operator="equal" dxfId="9" stopIfTrue="1">
      <formula>0</formula>
    </cfRule>
    <cfRule type="dataBar" priority="14">
      <dataBar>
        <cfvo type="num" val="0"/>
        <cfvo type="formula" val="$B113"/>
        <color rgb="FFC8D8C4"/>
      </dataBar>
    </cfRule>
    <cfRule type="cellIs" priority="15" operator="lessThan" dxfId="8">
      <formula>0</formula>
    </cfRule>
  </conditionalFormatting>
  <dataValidations count="4">
    <dataValidation sqref="B6" showDropDown="0" showInputMessage="1" showErrorMessage="1" allowBlank="1" type="list">
      <formula1>PayFrequencyList</formula1>
    </dataValidation>
    <dataValidation sqref="B8" showDropDown="0" showInputMessage="1" showErrorMessage="1" allowBlank="1" type="list">
      <formula1>CurrencyList</formula1>
    </dataValidation>
    <dataValidation sqref="E15:E19 E24:E31 E36:E43 E48:E52 E57:E60" showDropDown="0" showInputMessage="1" showErrorMessage="1" allowBlank="1" type="list">
      <formula1>"✓,​"</formula1>
    </dataValidation>
    <dataValidation sqref="B5 B7" showDropDown="0" showInputMessage="1" showErrorMessage="1" allowBlank="1" errorTitle="That's not a valid date" error="Please type a real date using your Excel's normal date format (any date through 2030)." promptTitle="Type a date" prompt="Use your Excel's normal date format. Any date through 2030 works."/>
  </dataValidations>
  <pageMargins left="0.7" right="0.7" top="0.75" bottom="0.75" header="0.3" footer="0.3"/>
  <pageSetup orientation="landscape" scale="45"/>
  <drawing xmlns:r="http://schemas.openxmlformats.org/officeDocument/2006/relationships" r:id="rId1"/>
  <legacyDrawing xmlns:r="http://schemas.openxmlformats.org/officeDocument/2006/relationships" r:id="anysvml"/>
</worksheet>
</file>

<file path=xl/worksheets/sheet15.xml><?xml version="1.0" encoding="utf-8"?>
<worksheet xmlns="http://schemas.openxmlformats.org/spreadsheetml/2006/main">
  <sheetPr>
    <tabColor rgb="00FBF6EF"/>
    <outlinePr summaryBelow="1" summaryRight="1"/>
    <pageSetUpPr fitToPage="1"/>
  </sheetPr>
  <dimension ref="A1:Z211"/>
  <sheetViews>
    <sheetView showGridLines="0" zoomScale="70" zoomScaleNormal="70" workbookViewId="0">
      <selection activeCell="A2" sqref="A2:F2"/>
    </sheetView>
  </sheetViews>
  <sheetFormatPr baseColWidth="8" defaultRowHeight="15"/>
  <cols>
    <col width="27" customWidth="1" style="232" min="1" max="1"/>
    <col width="12" bestFit="1" customWidth="1" style="232" min="2" max="3"/>
    <col width="12" customWidth="1" style="232" min="3" max="3"/>
    <col width="18" bestFit="1" customWidth="1" style="232" min="4" max="4"/>
    <col width="11" customWidth="1" style="232" min="5" max="5"/>
    <col width="3" customWidth="1" style="232" min="6" max="6"/>
    <col width="12" customWidth="1" style="232" min="7" max="8"/>
    <col width="12" customWidth="1" style="232" min="8" max="8"/>
    <col width="12" customWidth="1" style="232" min="9" max="13"/>
    <col width="12" customWidth="1" style="232" min="10" max="10"/>
    <col width="12" customWidth="1" style="232" min="11" max="11"/>
    <col width="12" customWidth="1" style="232" min="12" max="12"/>
    <col width="12" customWidth="1" style="232" min="13" max="13"/>
    <col hidden="1" outlineLevel="4" style="12" min="14" max="15"/>
    <col hidden="1" outlineLevel="3" style="232" min="16" max="16"/>
    <col collapsed="1" width="9.140625" customWidth="1" style="232" min="17" max="17"/>
  </cols>
  <sheetData>
    <row r="1" ht="46" customHeight="1" s="232">
      <c r="A1" s="274" t="inlineStr">
        <is>
          <t>Example: A Filled-Out Month</t>
        </is>
      </c>
      <c r="B1" s="250" t="n"/>
      <c r="C1" s="250" t="n"/>
      <c r="D1" s="250" t="n"/>
      <c r="E1" s="250" t="n"/>
      <c r="F1" s="250" t="n"/>
      <c r="G1" s="275" t="inlineStr">
        <is>
          <t>LEFT TO SPEND</t>
        </is>
      </c>
      <c r="H1" s="276" t="n"/>
      <c r="I1" s="277" t="inlineStr">
        <is>
          <t>INCOME</t>
        </is>
      </c>
      <c r="J1" s="278" t="inlineStr">
        <is>
          <t>BILLS</t>
        </is>
      </c>
      <c r="K1" s="279" t="inlineStr">
        <is>
          <t>EXPENSES</t>
        </is>
      </c>
      <c r="L1" s="280" t="inlineStr">
        <is>
          <t>SAVINGS</t>
        </is>
      </c>
      <c r="M1" s="281" t="inlineStr">
        <is>
          <t>DEBT</t>
        </is>
      </c>
      <c r="N1" s="282" t="n"/>
      <c r="O1" s="282" t="n"/>
      <c r="P1" s="282" t="n"/>
      <c r="Q1" s="283" t="n"/>
      <c r="R1" s="283" t="n"/>
      <c r="S1" s="283" t="n"/>
      <c r="T1" s="283" t="n"/>
      <c r="U1" s="283" t="n"/>
      <c r="V1" s="283" t="n"/>
      <c r="W1" s="283" t="n"/>
      <c r="X1" s="283" t="n"/>
      <c r="Y1" s="283" t="n"/>
      <c r="Z1" s="283" t="n"/>
    </row>
    <row r="2" ht="42" customHeight="1" s="232">
      <c r="A2" s="284" t="inlineStr">
        <is>
          <t>This tab shows what a real month looks like once it's filled in. It's just for reference. Your numbers go on the Paycheck Budget tab. If anything there ever looks broken, compare it to this tab.</t>
        </is>
      </c>
      <c r="B2" s="285" t="n"/>
      <c r="C2" s="285" t="n"/>
      <c r="D2" s="285" t="n"/>
      <c r="E2" s="285" t="n"/>
      <c r="F2" s="286" t="n"/>
      <c r="G2" s="287">
        <f>E10</f>
        <v/>
      </c>
      <c r="H2" s="286" t="n"/>
      <c r="I2" s="288">
        <f>C20</f>
        <v/>
      </c>
      <c r="J2" s="289">
        <f>C32</f>
        <v/>
      </c>
      <c r="K2" s="290">
        <f>C44</f>
        <v/>
      </c>
      <c r="L2" s="291">
        <f>C53</f>
        <v/>
      </c>
      <c r="M2" s="292">
        <f>C61</f>
        <v/>
      </c>
      <c r="N2" s="293" t="n"/>
      <c r="O2" s="293" t="n"/>
      <c r="P2" s="294" t="n"/>
      <c r="Q2" s="283" t="n"/>
      <c r="R2" s="283" t="n"/>
      <c r="S2" s="283" t="n"/>
      <c r="T2" s="283" t="n"/>
      <c r="U2" s="283" t="n"/>
      <c r="V2" s="283" t="n"/>
      <c r="W2" s="283" t="n"/>
      <c r="X2" s="283" t="n"/>
      <c r="Y2" s="283" t="n"/>
      <c r="Z2" s="283" t="n"/>
    </row>
    <row r="3" ht="26.1" customHeight="1" s="232" thickBot="1">
      <c r="A3" s="295" t="n"/>
      <c r="B3" s="295" t="n"/>
      <c r="C3" s="295" t="n"/>
      <c r="D3" s="295" t="n"/>
      <c r="E3" s="295" t="n"/>
      <c r="F3" s="295" t="n"/>
      <c r="G3" s="296" t="n"/>
      <c r="H3" s="297" t="n"/>
      <c r="I3" s="298" t="n"/>
      <c r="J3" s="299" t="n"/>
      <c r="K3" s="300" t="n"/>
      <c r="L3" s="301" t="n"/>
      <c r="M3" s="302" t="n"/>
      <c r="N3" s="303" t="inlineStr">
        <is>
          <t>Chart data (auto, don't edit)</t>
        </is>
      </c>
      <c r="O3" s="293" t="n"/>
      <c r="P3" s="294" t="n"/>
      <c r="Q3" s="283" t="n"/>
      <c r="R3" s="283" t="n"/>
      <c r="S3" s="283" t="n"/>
      <c r="T3" s="283" t="n"/>
      <c r="U3" s="283" t="n"/>
      <c r="V3" s="283" t="n"/>
      <c r="W3" s="283" t="n"/>
      <c r="X3" s="283" t="n"/>
      <c r="Y3" s="283" t="n"/>
      <c r="Z3" s="283" t="n"/>
    </row>
    <row r="4" ht="26" customHeight="1" s="232">
      <c r="A4" s="304" t="inlineStr">
        <is>
          <t>Your Setup</t>
        </is>
      </c>
      <c r="B4" s="305" t="n"/>
      <c r="C4" s="306" t="n"/>
      <c r="D4" s="307" t="inlineStr">
        <is>
          <t>Cash Flow Summary</t>
        </is>
      </c>
      <c r="E4" s="308" t="n"/>
      <c r="F4" s="309" t="n"/>
      <c r="G4" s="521">
        <f>"Days left: "&amp;IF(ISNUMBER(B7),MAX(B7-TODAY(),0),0)</f>
        <v/>
      </c>
      <c r="H4" s="285" t="n"/>
      <c r="I4" s="285" t="n"/>
      <c r="J4" s="285" t="n"/>
      <c r="K4" s="285" t="n"/>
      <c r="L4" s="285" t="n"/>
      <c r="M4" s="285" t="n"/>
      <c r="N4" s="293" t="inlineStr">
        <is>
          <t>Left to Spend</t>
        </is>
      </c>
      <c r="O4" s="311">
        <f>MAX(E10,0)</f>
        <v/>
      </c>
      <c r="P4" s="294" t="n"/>
      <c r="Q4" s="283" t="n"/>
      <c r="R4" s="283" t="n"/>
      <c r="S4" s="283" t="n"/>
      <c r="T4" s="283" t="n"/>
      <c r="U4" s="283" t="n"/>
      <c r="V4" s="283" t="n"/>
      <c r="W4" s="283" t="n"/>
      <c r="X4" s="283" t="n"/>
      <c r="Y4" s="283" t="n"/>
      <c r="Z4" s="283" t="n"/>
    </row>
    <row r="5">
      <c r="A5" s="312" t="inlineStr">
        <is>
          <t>Start Date</t>
        </is>
      </c>
      <c r="B5" s="522" t="n">
        <v>46023</v>
      </c>
      <c r="C5" s="295" t="n"/>
      <c r="D5" s="312" t="inlineStr">
        <is>
          <t>Income</t>
        </is>
      </c>
      <c r="E5" s="314">
        <f>C20</f>
        <v/>
      </c>
      <c r="F5" s="315" t="n"/>
      <c r="G5" s="295" t="n"/>
      <c r="H5" s="295" t="n"/>
      <c r="I5" s="295" t="n"/>
      <c r="J5" s="295" t="n"/>
      <c r="K5" s="295" t="n"/>
      <c r="L5" s="295" t="n"/>
      <c r="M5" s="295" t="n"/>
      <c r="N5" s="293" t="inlineStr">
        <is>
          <t>Spent</t>
        </is>
      </c>
      <c r="O5" s="311">
        <f>C32+C44+C53+C61</f>
        <v/>
      </c>
      <c r="P5" s="294" t="n"/>
      <c r="Q5" s="283" t="n"/>
      <c r="R5" s="283" t="n"/>
      <c r="S5" s="283" t="n"/>
      <c r="T5" s="283" t="n"/>
      <c r="U5" s="283" t="n"/>
      <c r="V5" s="283" t="n"/>
      <c r="W5" s="283" t="n"/>
      <c r="X5" s="283" t="n"/>
      <c r="Y5" s="283" t="n"/>
      <c r="Z5" s="283" t="n"/>
    </row>
    <row r="6">
      <c r="A6" s="312" t="inlineStr">
        <is>
          <t>Pay Frequency</t>
        </is>
      </c>
      <c r="B6" s="523" t="inlineStr">
        <is>
          <t>Monthly</t>
        </is>
      </c>
      <c r="C6" s="295" t="n"/>
      <c r="D6" s="312" t="inlineStr">
        <is>
          <t>Bills</t>
        </is>
      </c>
      <c r="E6" s="314">
        <f>-C32</f>
        <v/>
      </c>
      <c r="F6" s="315" t="n"/>
      <c r="G6" s="295" t="n"/>
      <c r="H6" s="295" t="n"/>
      <c r="I6" s="295" t="n"/>
      <c r="J6" s="295" t="n"/>
      <c r="K6" s="295" t="n"/>
      <c r="L6" s="295" t="n"/>
      <c r="M6" s="295" t="n"/>
      <c r="N6" s="293" t="n"/>
      <c r="O6" s="293" t="n"/>
      <c r="P6" s="294" t="n"/>
      <c r="Q6" s="283" t="n"/>
      <c r="R6" s="283" t="n"/>
      <c r="S6" s="283" t="n"/>
      <c r="T6" s="283" t="n"/>
      <c r="U6" s="283" t="n"/>
      <c r="V6" s="283" t="n"/>
      <c r="W6" s="283" t="n"/>
      <c r="X6" s="283" t="n"/>
      <c r="Y6" s="283" t="n"/>
      <c r="Z6" s="283" t="n"/>
    </row>
    <row r="7">
      <c r="A7" s="312" t="inlineStr">
        <is>
          <t>Budget Period End</t>
        </is>
      </c>
      <c r="B7" s="524" t="n">
        <v>46053</v>
      </c>
      <c r="C7" s="318" t="n"/>
      <c r="D7" s="312" t="inlineStr">
        <is>
          <t>Expenses</t>
        </is>
      </c>
      <c r="E7" s="314">
        <f>-C44</f>
        <v/>
      </c>
      <c r="F7" s="315" t="n"/>
      <c r="G7" s="295" t="n"/>
      <c r="H7" s="295" t="n"/>
      <c r="I7" s="295" t="n"/>
      <c r="J7" s="295" t="n"/>
      <c r="K7" s="295" t="n"/>
      <c r="L7" s="295" t="n"/>
      <c r="M7" s="295" t="n"/>
      <c r="N7" s="293" t="n"/>
      <c r="O7" s="293" t="n"/>
      <c r="P7" s="294" t="n"/>
      <c r="Q7" s="283" t="n"/>
      <c r="R7" s="283" t="n"/>
      <c r="S7" s="283" t="n"/>
      <c r="T7" s="283" t="n"/>
      <c r="U7" s="283" t="n"/>
      <c r="V7" s="283" t="n"/>
      <c r="W7" s="283" t="n"/>
      <c r="X7" s="283" t="n"/>
      <c r="Y7" s="283" t="n"/>
      <c r="Z7" s="283" t="n"/>
    </row>
    <row r="8">
      <c r="A8" s="319" t="inlineStr">
        <is>
          <t>Currency</t>
        </is>
      </c>
      <c r="B8" s="525" t="inlineStr">
        <is>
          <t>USD</t>
        </is>
      </c>
      <c r="C8" s="295" t="n"/>
      <c r="D8" s="312" t="inlineStr">
        <is>
          <t>Savings</t>
        </is>
      </c>
      <c r="E8" s="314">
        <f>-C53</f>
        <v/>
      </c>
      <c r="F8" s="315" t="n"/>
      <c r="G8" s="295" t="n"/>
      <c r="H8" s="295" t="n"/>
      <c r="I8" s="295" t="n"/>
      <c r="J8" s="295" t="n"/>
      <c r="K8" s="295" t="n"/>
      <c r="L8" s="295" t="n"/>
      <c r="M8" s="295" t="n"/>
      <c r="N8" s="293" t="inlineStr">
        <is>
          <t>Bills</t>
        </is>
      </c>
      <c r="O8" s="311">
        <f>C32</f>
        <v/>
      </c>
      <c r="P8" s="294" t="n"/>
      <c r="Q8" s="283" t="n"/>
      <c r="R8" s="283" t="n"/>
      <c r="S8" s="283" t="n"/>
      <c r="T8" s="283" t="n"/>
      <c r="U8" s="283" t="n"/>
      <c r="V8" s="283" t="n"/>
      <c r="W8" s="283" t="n"/>
      <c r="X8" s="283" t="n"/>
      <c r="Y8" s="283" t="n"/>
      <c r="Z8" s="283" t="n"/>
    </row>
    <row r="9">
      <c r="A9" s="295" t="n"/>
      <c r="B9" s="295" t="n"/>
      <c r="C9" s="295" t="n"/>
      <c r="D9" s="312" t="inlineStr">
        <is>
          <t>Debt</t>
        </is>
      </c>
      <c r="E9" s="314">
        <f>-C61</f>
        <v/>
      </c>
      <c r="F9" s="315" t="n"/>
      <c r="G9" s="295" t="n"/>
      <c r="H9" s="295" t="n"/>
      <c r="I9" s="295" t="n"/>
      <c r="J9" s="295" t="n"/>
      <c r="K9" s="295" t="n"/>
      <c r="L9" s="295" t="n"/>
      <c r="M9" s="295" t="n"/>
      <c r="N9" s="293" t="inlineStr">
        <is>
          <t>Expenses</t>
        </is>
      </c>
      <c r="O9" s="311">
        <f>C44</f>
        <v/>
      </c>
      <c r="P9" s="294" t="n"/>
      <c r="Q9" s="283" t="n"/>
      <c r="R9" s="283" t="n"/>
      <c r="S9" s="283" t="n"/>
      <c r="T9" s="283" t="n"/>
      <c r="U9" s="283" t="n"/>
      <c r="V9" s="283" t="n"/>
      <c r="W9" s="283" t="n"/>
      <c r="X9" s="283" t="n"/>
      <c r="Y9" s="283" t="n"/>
      <c r="Z9" s="283" t="n"/>
    </row>
    <row r="10">
      <c r="A10" s="295" t="n"/>
      <c r="B10" s="295" t="n"/>
      <c r="C10" s="295" t="n"/>
      <c r="D10" s="321" t="inlineStr">
        <is>
          <t>Amount Left to Spend</t>
        </is>
      </c>
      <c r="E10" s="322">
        <f>E5+E6+E7+E8+E9</f>
        <v/>
      </c>
      <c r="F10" s="323" t="n"/>
      <c r="G10" s="295" t="n"/>
      <c r="H10" s="295" t="n"/>
      <c r="I10" s="324">
        <f>E10</f>
        <v/>
      </c>
      <c r="J10" s="285" t="n"/>
      <c r="K10" s="285" t="n"/>
      <c r="L10" s="295" t="n"/>
      <c r="M10" s="295" t="n"/>
      <c r="N10" s="293" t="inlineStr">
        <is>
          <t>Savings</t>
        </is>
      </c>
      <c r="O10" s="311">
        <f>C53</f>
        <v/>
      </c>
      <c r="P10" s="294" t="n"/>
      <c r="Q10" s="283" t="n"/>
      <c r="R10" s="283" t="n"/>
      <c r="S10" s="283" t="n"/>
      <c r="T10" s="283" t="n"/>
      <c r="U10" s="283" t="n"/>
      <c r="V10" s="283" t="n"/>
      <c r="W10" s="283" t="n"/>
      <c r="X10" s="283" t="n"/>
      <c r="Y10" s="283" t="n"/>
      <c r="Z10" s="283" t="n"/>
    </row>
    <row r="11">
      <c r="A11" s="295" t="n"/>
      <c r="B11" s="295" t="n"/>
      <c r="C11" s="295" t="n"/>
      <c r="D11" s="295" t="n"/>
      <c r="E11" s="295" t="n"/>
      <c r="F11" s="295" t="n"/>
      <c r="G11" s="295" t="n"/>
      <c r="H11" s="295" t="n"/>
      <c r="I11" s="285" t="n"/>
      <c r="J11" s="285" t="n"/>
      <c r="K11" s="285" t="n"/>
      <c r="L11" s="295" t="n"/>
      <c r="M11" s="295" t="n"/>
      <c r="N11" s="293" t="inlineStr">
        <is>
          <t>Debt</t>
        </is>
      </c>
      <c r="O11" s="311">
        <f>C61</f>
        <v/>
      </c>
      <c r="P11" s="294" t="n"/>
      <c r="Q11" s="283" t="n"/>
      <c r="R11" s="283" t="n"/>
      <c r="S11" s="283" t="n"/>
      <c r="T11" s="283" t="n"/>
      <c r="U11" s="283" t="n"/>
      <c r="V11" s="283" t="n"/>
      <c r="W11" s="283" t="n"/>
      <c r="X11" s="283" t="n"/>
      <c r="Y11" s="283" t="n"/>
      <c r="Z11" s="283" t="n"/>
    </row>
    <row r="12">
      <c r="A12" s="295" t="n"/>
      <c r="B12" s="295" t="n"/>
      <c r="C12" s="295" t="n"/>
      <c r="D12" s="295" t="n"/>
      <c r="E12" s="295" t="n"/>
      <c r="F12" s="295" t="n"/>
      <c r="G12" s="295" t="n"/>
      <c r="H12" s="295" t="n"/>
      <c r="I12" s="285" t="n"/>
      <c r="J12" s="285" t="n"/>
      <c r="K12" s="285" t="n"/>
      <c r="L12" s="295" t="n"/>
      <c r="M12" s="295" t="n"/>
      <c r="N12" s="293" t="inlineStr">
        <is>
          <t>Left to Spend</t>
        </is>
      </c>
      <c r="O12" s="311">
        <f>MAX(E10,0)</f>
        <v/>
      </c>
      <c r="P12" s="294" t="n"/>
      <c r="Q12" s="283" t="n"/>
      <c r="R12" s="283" t="n"/>
      <c r="S12" s="283" t="n"/>
      <c r="T12" s="283" t="n"/>
      <c r="U12" s="283" t="n"/>
      <c r="V12" s="283" t="n"/>
      <c r="W12" s="283" t="n"/>
      <c r="X12" s="283" t="n"/>
      <c r="Y12" s="283" t="n"/>
      <c r="Z12" s="283" t="n"/>
    </row>
    <row r="13">
      <c r="A13" s="295" t="n"/>
      <c r="B13" s="295" t="n"/>
      <c r="C13" s="295" t="n"/>
      <c r="D13" s="295" t="n"/>
      <c r="E13" s="295" t="n"/>
      <c r="F13" s="295" t="n"/>
      <c r="G13" s="295" t="n"/>
      <c r="H13" s="295" t="n"/>
      <c r="I13" s="295" t="n"/>
      <c r="J13" s="295" t="n"/>
      <c r="K13" s="295" t="n"/>
      <c r="L13" s="295" t="n"/>
      <c r="M13" s="295" t="n"/>
      <c r="N13" s="293" t="n"/>
      <c r="O13" s="293" t="n"/>
      <c r="P13" s="294" t="n"/>
      <c r="Q13" s="283" t="n"/>
      <c r="R13" s="283" t="n"/>
      <c r="S13" s="283" t="n"/>
      <c r="T13" s="283" t="n"/>
      <c r="U13" s="283" t="n"/>
      <c r="V13" s="283" t="n"/>
      <c r="W13" s="283" t="n"/>
      <c r="X13" s="283" t="n"/>
      <c r="Y13" s="283" t="n"/>
      <c r="Z13" s="283" t="n"/>
    </row>
    <row r="14" ht="30" customHeight="1" s="232">
      <c r="A14" s="325" t="inlineStr">
        <is>
          <t>Income Summary</t>
        </is>
      </c>
      <c r="B14" s="326" t="inlineStr">
        <is>
          <t>Budget</t>
        </is>
      </c>
      <c r="C14" s="326" t="inlineStr">
        <is>
          <t>Actual</t>
        </is>
      </c>
      <c r="D14" s="327" t="inlineStr">
        <is>
          <t>Above/Below Budget</t>
        </is>
      </c>
      <c r="E14" s="328" t="inlineStr">
        <is>
          <t>✓</t>
        </is>
      </c>
      <c r="F14" s="295" t="n"/>
      <c r="G14" s="295" t="n"/>
      <c r="H14" s="295" t="n"/>
      <c r="I14" s="295" t="n"/>
      <c r="J14" s="295" t="n"/>
      <c r="K14" s="295" t="n"/>
      <c r="L14" s="295" t="n"/>
      <c r="M14" s="295" t="n"/>
      <c r="N14" s="293" t="n"/>
      <c r="O14" s="293" t="n"/>
      <c r="P14" s="294" t="n"/>
      <c r="Q14" s="283" t="n"/>
      <c r="R14" s="283" t="n"/>
      <c r="S14" s="283" t="n"/>
      <c r="T14" s="283" t="n"/>
      <c r="U14" s="283" t="n"/>
      <c r="V14" s="283" t="n"/>
      <c r="W14" s="283" t="n"/>
      <c r="X14" s="283" t="n"/>
      <c r="Y14" s="283" t="n"/>
      <c r="Z14" s="283" t="n"/>
    </row>
    <row r="15" ht="18" customHeight="1" s="232">
      <c r="A15" s="329">
        <f>Settings!A3</f>
        <v/>
      </c>
      <c r="B15" s="526" t="n">
        <v>3600</v>
      </c>
      <c r="C15" s="526" t="n">
        <v>3600</v>
      </c>
      <c r="D15" s="331">
        <f>C15-B15</f>
        <v/>
      </c>
      <c r="E15" s="527" t="n"/>
      <c r="F15" s="295" t="n"/>
      <c r="G15" s="295" t="n"/>
      <c r="H15" s="295" t="n"/>
      <c r="I15" s="295" t="n"/>
      <c r="J15" s="295" t="n"/>
      <c r="K15" s="295" t="n"/>
      <c r="L15" s="295" t="n"/>
      <c r="M15" s="295" t="n"/>
      <c r="N15" s="293" t="inlineStr">
        <is>
          <t>Category</t>
        </is>
      </c>
      <c r="O15" s="293" t="inlineStr">
        <is>
          <t>Actual</t>
        </is>
      </c>
      <c r="P15" s="294" t="n"/>
      <c r="Q15" s="283" t="n"/>
      <c r="R15" s="283" t="n"/>
      <c r="S15" s="283" t="n"/>
      <c r="T15" s="283" t="n"/>
      <c r="U15" s="283" t="n"/>
      <c r="V15" s="283" t="n"/>
      <c r="W15" s="283" t="n"/>
      <c r="X15" s="283" t="n"/>
      <c r="Y15" s="283" t="n"/>
      <c r="Z15" s="283" t="n"/>
    </row>
    <row r="16" ht="18" customHeight="1" s="232">
      <c r="A16" s="329">
        <f>Settings!A4</f>
        <v/>
      </c>
      <c r="B16" s="526" t="n">
        <v>200</v>
      </c>
      <c r="C16" s="526" t="n">
        <v>150</v>
      </c>
      <c r="D16" s="331">
        <f>C16-B16</f>
        <v/>
      </c>
      <c r="E16" s="527" t="n"/>
      <c r="F16" s="295" t="n"/>
      <c r="G16" s="295" t="n"/>
      <c r="H16" s="295" t="n"/>
      <c r="I16" s="295" t="n"/>
      <c r="J16" s="295" t="n"/>
      <c r="K16" s="295" t="n"/>
      <c r="L16" s="295" t="n"/>
      <c r="M16" s="295" t="n"/>
      <c r="N16" s="293">
        <f>A36</f>
        <v/>
      </c>
      <c r="O16" s="311">
        <f>C36</f>
        <v/>
      </c>
      <c r="P16" s="294" t="n"/>
      <c r="Q16" s="283" t="n"/>
      <c r="R16" s="283" t="n"/>
      <c r="S16" s="283" t="n"/>
      <c r="T16" s="283" t="n"/>
      <c r="U16" s="283" t="n"/>
      <c r="V16" s="283" t="n"/>
      <c r="W16" s="283" t="n"/>
      <c r="X16" s="283" t="n"/>
      <c r="Y16" s="283" t="n"/>
      <c r="Z16" s="283" t="n"/>
    </row>
    <row r="17" ht="18" customHeight="1" s="232">
      <c r="A17" s="329">
        <f>Settings!A5</f>
        <v/>
      </c>
      <c r="B17" s="526" t="n">
        <v>0</v>
      </c>
      <c r="C17" s="526" t="n">
        <v>100</v>
      </c>
      <c r="D17" s="331">
        <f>C17-B17</f>
        <v/>
      </c>
      <c r="E17" s="527" t="n"/>
      <c r="F17" s="295" t="n"/>
      <c r="G17" s="295" t="n"/>
      <c r="H17" s="295" t="n"/>
      <c r="I17" s="295" t="n"/>
      <c r="J17" s="295" t="n"/>
      <c r="K17" s="295" t="n"/>
      <c r="L17" s="295" t="n"/>
      <c r="M17" s="295" t="n"/>
      <c r="N17" s="293">
        <f>A37</f>
        <v/>
      </c>
      <c r="O17" s="311">
        <f>C37</f>
        <v/>
      </c>
      <c r="P17" s="294" t="n"/>
      <c r="Q17" s="283" t="n"/>
      <c r="R17" s="283" t="n"/>
      <c r="S17" s="283" t="n"/>
      <c r="T17" s="283" t="n"/>
      <c r="U17" s="283" t="n"/>
      <c r="V17" s="283" t="n"/>
      <c r="W17" s="283" t="n"/>
      <c r="X17" s="283" t="n"/>
      <c r="Y17" s="283" t="n"/>
      <c r="Z17" s="283" t="n"/>
    </row>
    <row r="18" ht="18" customHeight="1" s="232">
      <c r="A18" s="329">
        <f>Settings!A6</f>
        <v/>
      </c>
      <c r="B18" s="526" t="n">
        <v>0</v>
      </c>
      <c r="C18" s="526" t="n">
        <v>0</v>
      </c>
      <c r="D18" s="331">
        <f>C18-B18</f>
        <v/>
      </c>
      <c r="E18" s="527" t="n"/>
      <c r="F18" s="295" t="n"/>
      <c r="G18" s="295" t="n"/>
      <c r="H18" s="295" t="n"/>
      <c r="I18" s="295" t="n"/>
      <c r="J18" s="295" t="n"/>
      <c r="K18" s="295" t="n"/>
      <c r="L18" s="295" t="n"/>
      <c r="M18" s="295" t="n"/>
      <c r="N18" s="293">
        <f>A38</f>
        <v/>
      </c>
      <c r="O18" s="311">
        <f>C38</f>
        <v/>
      </c>
      <c r="P18" s="294" t="n"/>
      <c r="Q18" s="283" t="n"/>
      <c r="R18" s="283" t="n"/>
      <c r="S18" s="283" t="n"/>
      <c r="T18" s="283" t="n"/>
      <c r="U18" s="283" t="n"/>
      <c r="V18" s="283" t="n"/>
      <c r="W18" s="283" t="n"/>
      <c r="X18" s="283" t="n"/>
      <c r="Y18" s="283" t="n"/>
      <c r="Z18" s="283" t="n"/>
    </row>
    <row r="19" ht="18" customHeight="1" s="232">
      <c r="A19" s="329">
        <f>Settings!A7</f>
        <v/>
      </c>
      <c r="B19" s="526" t="n">
        <v>0</v>
      </c>
      <c r="C19" s="526" t="n">
        <v>0</v>
      </c>
      <c r="D19" s="331">
        <f>C19-B19</f>
        <v/>
      </c>
      <c r="E19" s="527" t="n"/>
      <c r="F19" s="295" t="n"/>
      <c r="G19" s="295" t="n"/>
      <c r="H19" s="295" t="n"/>
      <c r="I19" s="295" t="n"/>
      <c r="J19" s="295" t="n"/>
      <c r="K19" s="295" t="n"/>
      <c r="L19" s="295" t="n"/>
      <c r="M19" s="295" t="n"/>
      <c r="N19" s="293">
        <f>A39</f>
        <v/>
      </c>
      <c r="O19" s="311">
        <f>C39</f>
        <v/>
      </c>
      <c r="P19" s="294" t="n"/>
      <c r="Q19" s="283" t="n"/>
      <c r="R19" s="283" t="n"/>
      <c r="S19" s="283" t="n"/>
      <c r="T19" s="283" t="n"/>
      <c r="U19" s="283" t="n"/>
      <c r="V19" s="283" t="n"/>
      <c r="W19" s="283" t="n"/>
      <c r="X19" s="283" t="n"/>
      <c r="Y19" s="283" t="n"/>
      <c r="Z19" s="283" t="n"/>
    </row>
    <row r="20" ht="18" customHeight="1" s="232">
      <c r="A20" s="333" t="inlineStr">
        <is>
          <t>Total Income</t>
        </is>
      </c>
      <c r="B20" s="334">
        <f>SUM(B15:B19)</f>
        <v/>
      </c>
      <c r="C20" s="334">
        <f>SUM(C15:C19)</f>
        <v/>
      </c>
      <c r="D20" s="335">
        <f>C20-B20</f>
        <v/>
      </c>
      <c r="E20" s="336" t="n"/>
      <c r="F20" s="295" t="n"/>
      <c r="G20" s="295" t="n"/>
      <c r="H20" s="295" t="n"/>
      <c r="I20" s="295" t="n"/>
      <c r="J20" s="295" t="n"/>
      <c r="K20" s="295" t="n"/>
      <c r="L20" s="295" t="n"/>
      <c r="M20" s="295" t="n"/>
      <c r="N20" s="293">
        <f>A40</f>
        <v/>
      </c>
      <c r="O20" s="311">
        <f>C40</f>
        <v/>
      </c>
      <c r="P20" s="294" t="n"/>
      <c r="Q20" s="283" t="n"/>
      <c r="R20" s="283" t="n"/>
      <c r="S20" s="283" t="n"/>
      <c r="T20" s="283" t="n"/>
      <c r="U20" s="283" t="n"/>
      <c r="V20" s="283" t="n"/>
      <c r="W20" s="283" t="n"/>
      <c r="X20" s="283" t="n"/>
      <c r="Y20" s="283" t="n"/>
      <c r="Z20" s="283" t="n"/>
    </row>
    <row r="21">
      <c r="A21" s="295" t="n"/>
      <c r="B21" s="295" t="n"/>
      <c r="C21" s="295" t="n"/>
      <c r="D21" s="295" t="n"/>
      <c r="E21" s="295" t="n"/>
      <c r="F21" s="295" t="n"/>
      <c r="G21" s="295" t="n"/>
      <c r="H21" s="295" t="n"/>
      <c r="I21" s="295" t="n"/>
      <c r="J21" s="295" t="n"/>
      <c r="K21" s="295" t="n"/>
      <c r="L21" s="295" t="n"/>
      <c r="M21" s="295" t="n"/>
      <c r="N21" s="293">
        <f>A41</f>
        <v/>
      </c>
      <c r="O21" s="311">
        <f>C41</f>
        <v/>
      </c>
      <c r="P21" s="294" t="n"/>
      <c r="Q21" s="283" t="n"/>
      <c r="R21" s="283" t="n"/>
      <c r="S21" s="283" t="n"/>
      <c r="T21" s="283" t="n"/>
      <c r="U21" s="283" t="n"/>
      <c r="V21" s="283" t="n"/>
      <c r="W21" s="283" t="n"/>
      <c r="X21" s="283" t="n"/>
      <c r="Y21" s="283" t="n"/>
      <c r="Z21" s="283" t="n"/>
    </row>
    <row r="22">
      <c r="A22" s="295" t="n"/>
      <c r="B22" s="295" t="n"/>
      <c r="C22" s="295" t="n"/>
      <c r="D22" s="295" t="n"/>
      <c r="E22" s="295" t="n"/>
      <c r="F22" s="295" t="n"/>
      <c r="G22" s="295" t="n"/>
      <c r="H22" s="295" t="n"/>
      <c r="I22" s="295" t="n"/>
      <c r="J22" s="295" t="n"/>
      <c r="K22" s="295" t="n"/>
      <c r="L22" s="295" t="n"/>
      <c r="M22" s="295" t="n"/>
      <c r="N22" s="293">
        <f>A42</f>
        <v/>
      </c>
      <c r="O22" s="311">
        <f>C42</f>
        <v/>
      </c>
      <c r="P22" s="294" t="n"/>
      <c r="Q22" s="283" t="n"/>
      <c r="R22" s="283" t="n"/>
      <c r="S22" s="283" t="n"/>
      <c r="T22" s="283" t="n"/>
      <c r="U22" s="283" t="n"/>
      <c r="V22" s="283" t="n"/>
      <c r="W22" s="283" t="n"/>
      <c r="X22" s="283" t="n"/>
      <c r="Y22" s="283" t="n"/>
      <c r="Z22" s="283" t="n"/>
    </row>
    <row r="23" ht="30" customHeight="1" s="232">
      <c r="A23" s="337" t="inlineStr">
        <is>
          <t>Bill Tracker</t>
        </is>
      </c>
      <c r="B23" s="338" t="inlineStr">
        <is>
          <t>Budget</t>
        </is>
      </c>
      <c r="C23" s="338" t="inlineStr">
        <is>
          <t>Actual</t>
        </is>
      </c>
      <c r="D23" s="339" t="inlineStr">
        <is>
          <t>Remaining</t>
        </is>
      </c>
      <c r="E23" s="340" t="inlineStr">
        <is>
          <t>✓</t>
        </is>
      </c>
      <c r="F23" s="295" t="n"/>
      <c r="G23" s="295" t="n"/>
      <c r="H23" s="295" t="n"/>
      <c r="I23" s="295" t="n"/>
      <c r="J23" s="295" t="n"/>
      <c r="K23" s="295" t="n"/>
      <c r="L23" s="295" t="n"/>
      <c r="M23" s="295" t="n"/>
      <c r="N23" s="293">
        <f>A43</f>
        <v/>
      </c>
      <c r="O23" s="311">
        <f>C43</f>
        <v/>
      </c>
      <c r="P23" s="294" t="n"/>
      <c r="Q23" s="283" t="n"/>
      <c r="R23" s="283" t="n"/>
      <c r="S23" s="283" t="n"/>
      <c r="T23" s="283" t="n"/>
      <c r="U23" s="283" t="n"/>
      <c r="V23" s="283" t="n"/>
      <c r="W23" s="283" t="n"/>
      <c r="X23" s="283" t="n"/>
      <c r="Y23" s="283" t="n"/>
      <c r="Z23" s="283" t="n"/>
    </row>
    <row r="24" ht="18" customHeight="1" s="232">
      <c r="A24" s="341">
        <f>Settings!A8</f>
        <v/>
      </c>
      <c r="B24" s="526" t="n">
        <v>1200</v>
      </c>
      <c r="C24" s="526" t="n">
        <v>1200</v>
      </c>
      <c r="D24" s="331">
        <f>B24-C24</f>
        <v/>
      </c>
      <c r="E24" s="528" t="n"/>
      <c r="F24" s="295" t="n"/>
      <c r="G24" s="295" t="n"/>
      <c r="H24" s="295" t="n"/>
      <c r="I24" s="295" t="n"/>
      <c r="J24" s="295" t="n"/>
      <c r="K24" s="295" t="n"/>
      <c r="L24" s="295" t="n"/>
      <c r="M24" s="295" t="n"/>
      <c r="N24" s="293" t="n"/>
      <c r="O24" s="293" t="n"/>
      <c r="P24" s="294" t="n"/>
      <c r="Q24" s="283" t="n"/>
      <c r="R24" s="283" t="n"/>
      <c r="S24" s="283" t="n"/>
      <c r="T24" s="283" t="n"/>
      <c r="U24" s="283" t="n"/>
      <c r="V24" s="283" t="n"/>
      <c r="W24" s="283" t="n"/>
      <c r="X24" s="283" t="n"/>
      <c r="Y24" s="283" t="n"/>
      <c r="Z24" s="283" t="n"/>
    </row>
    <row r="25" ht="18" customHeight="1" s="232">
      <c r="A25" s="341">
        <f>Settings!A9</f>
        <v/>
      </c>
      <c r="B25" s="526" t="n">
        <v>90</v>
      </c>
      <c r="C25" s="526" t="n">
        <v>102</v>
      </c>
      <c r="D25" s="331">
        <f>B25-C25</f>
        <v/>
      </c>
      <c r="E25" s="528" t="n"/>
      <c r="F25" s="295" t="n"/>
      <c r="G25" s="295" t="n"/>
      <c r="H25" s="295" t="n"/>
      <c r="I25" s="295" t="n"/>
      <c r="J25" s="295" t="n"/>
      <c r="K25" s="295" t="n"/>
      <c r="L25" s="295" t="n"/>
      <c r="M25" s="295" t="n"/>
      <c r="N25" s="293" t="n"/>
      <c r="O25" s="293" t="n"/>
      <c r="P25" s="294" t="n"/>
      <c r="Q25" s="283" t="n"/>
      <c r="R25" s="283" t="n"/>
      <c r="S25" s="283" t="n"/>
      <c r="T25" s="283" t="n"/>
      <c r="U25" s="283" t="n"/>
      <c r="V25" s="283" t="n"/>
      <c r="W25" s="283" t="n"/>
      <c r="X25" s="283" t="n"/>
      <c r="Y25" s="283" t="n"/>
      <c r="Z25" s="283" t="n"/>
    </row>
    <row r="26" ht="18" customHeight="1" s="232">
      <c r="A26" s="341">
        <f>Settings!A10</f>
        <v/>
      </c>
      <c r="B26" s="526" t="n">
        <v>40</v>
      </c>
      <c r="C26" s="526" t="n">
        <v>38</v>
      </c>
      <c r="D26" s="331">
        <f>B26-C26</f>
        <v/>
      </c>
      <c r="E26" s="528" t="n"/>
      <c r="F26" s="295" t="n"/>
      <c r="G26" s="295" t="n"/>
      <c r="H26" s="295" t="n"/>
      <c r="I26" s="295" t="n"/>
      <c r="J26" s="295" t="n"/>
      <c r="K26" s="295" t="n"/>
      <c r="L26" s="295" t="n"/>
      <c r="M26" s="295" t="n"/>
      <c r="N26" s="343" t="inlineStr">
        <is>
          <t>Category</t>
        </is>
      </c>
      <c r="O26" s="343" t="inlineStr">
        <is>
          <t>Budget</t>
        </is>
      </c>
      <c r="P26" s="343" t="inlineStr">
        <is>
          <t>Actual</t>
        </is>
      </c>
      <c r="Q26" s="283" t="n"/>
      <c r="R26" s="283" t="n"/>
      <c r="S26" s="283" t="n"/>
      <c r="T26" s="283" t="n"/>
      <c r="U26" s="283" t="n"/>
      <c r="V26" s="283" t="n"/>
      <c r="W26" s="283" t="n"/>
      <c r="X26" s="283" t="n"/>
      <c r="Y26" s="283" t="n"/>
      <c r="Z26" s="283" t="n"/>
    </row>
    <row r="27" ht="18" customHeight="1" s="232">
      <c r="A27" s="341">
        <f>Settings!A11</f>
        <v/>
      </c>
      <c r="B27" s="526" t="n">
        <v>60</v>
      </c>
      <c r="C27" s="526" t="n">
        <v>60</v>
      </c>
      <c r="D27" s="331">
        <f>B27-C27</f>
        <v/>
      </c>
      <c r="E27" s="528" t="n"/>
      <c r="F27" s="295" t="n"/>
      <c r="G27" s="295" t="n"/>
      <c r="H27" s="295" t="n"/>
      <c r="I27" s="295" t="n"/>
      <c r="J27" s="295" t="n"/>
      <c r="K27" s="295" t="n"/>
      <c r="L27" s="295" t="n"/>
      <c r="M27" s="295" t="n"/>
      <c r="N27" s="343" t="inlineStr">
        <is>
          <t>Income</t>
        </is>
      </c>
      <c r="O27" s="343">
        <f>B20</f>
        <v/>
      </c>
      <c r="P27" s="343">
        <f>C20</f>
        <v/>
      </c>
      <c r="Q27" s="283" t="n"/>
      <c r="R27" s="283" t="n"/>
      <c r="S27" s="283" t="n"/>
      <c r="T27" s="283" t="n"/>
      <c r="U27" s="283" t="n"/>
      <c r="V27" s="283" t="n"/>
      <c r="W27" s="283" t="n"/>
      <c r="X27" s="283" t="n"/>
      <c r="Y27" s="283" t="n"/>
      <c r="Z27" s="283" t="n"/>
    </row>
    <row r="28" ht="18" customHeight="1" s="232">
      <c r="A28" s="341">
        <f>Settings!A12</f>
        <v/>
      </c>
      <c r="B28" s="526" t="n">
        <v>50</v>
      </c>
      <c r="C28" s="526" t="n">
        <v>50</v>
      </c>
      <c r="D28" s="331">
        <f>B28-C28</f>
        <v/>
      </c>
      <c r="E28" s="528" t="n"/>
      <c r="F28" s="295" t="n"/>
      <c r="G28" s="295" t="n"/>
      <c r="H28" s="295" t="n"/>
      <c r="I28" s="295" t="n"/>
      <c r="J28" s="295" t="n"/>
      <c r="K28" s="295" t="n"/>
      <c r="L28" s="295" t="n"/>
      <c r="M28" s="295" t="n"/>
      <c r="N28" s="343" t="inlineStr">
        <is>
          <t>Bills</t>
        </is>
      </c>
      <c r="O28" s="343">
        <f>B32</f>
        <v/>
      </c>
      <c r="P28" s="343">
        <f>C32</f>
        <v/>
      </c>
      <c r="Q28" s="283" t="n"/>
      <c r="R28" s="283" t="n"/>
      <c r="S28" s="283" t="n"/>
      <c r="T28" s="283" t="n"/>
      <c r="U28" s="283" t="n"/>
      <c r="V28" s="283" t="n"/>
      <c r="W28" s="283" t="n"/>
      <c r="X28" s="283" t="n"/>
      <c r="Y28" s="283" t="n"/>
      <c r="Z28" s="283" t="n"/>
    </row>
    <row r="29" ht="18" customHeight="1" s="232">
      <c r="A29" s="341">
        <f>Settings!A13</f>
        <v/>
      </c>
      <c r="B29" s="526" t="n">
        <v>300</v>
      </c>
      <c r="C29" s="526" t="n">
        <v>300</v>
      </c>
      <c r="D29" s="331">
        <f>B29-C29</f>
        <v/>
      </c>
      <c r="E29" s="528" t="n"/>
      <c r="F29" s="295" t="n"/>
      <c r="G29" s="295" t="n"/>
      <c r="H29" s="295" t="n"/>
      <c r="I29" s="295" t="n"/>
      <c r="J29" s="295" t="n"/>
      <c r="K29" s="295" t="n"/>
      <c r="L29" s="295" t="n"/>
      <c r="M29" s="295" t="n"/>
      <c r="N29" s="343" t="inlineStr">
        <is>
          <t>Expenses</t>
        </is>
      </c>
      <c r="O29" s="343">
        <f>B44</f>
        <v/>
      </c>
      <c r="P29" s="343">
        <f>C44</f>
        <v/>
      </c>
      <c r="Q29" s="283" t="n"/>
      <c r="R29" s="283" t="n"/>
      <c r="S29" s="283" t="n"/>
      <c r="T29" s="283" t="n"/>
      <c r="U29" s="283" t="n"/>
      <c r="V29" s="283" t="n"/>
      <c r="W29" s="283" t="n"/>
      <c r="X29" s="283" t="n"/>
      <c r="Y29" s="283" t="n"/>
      <c r="Z29" s="283" t="n"/>
    </row>
    <row r="30" ht="18" customHeight="1" s="232">
      <c r="A30" s="341">
        <f>Settings!A14</f>
        <v/>
      </c>
      <c r="B30" s="526" t="n">
        <v>150</v>
      </c>
      <c r="C30" s="526" t="n">
        <v>150</v>
      </c>
      <c r="D30" s="331">
        <f>B30-C30</f>
        <v/>
      </c>
      <c r="E30" s="528" t="n"/>
      <c r="F30" s="295" t="n"/>
      <c r="G30" s="295" t="n"/>
      <c r="H30" s="295" t="n"/>
      <c r="I30" s="295" t="n"/>
      <c r="J30" s="295" t="n"/>
      <c r="K30" s="295" t="n"/>
      <c r="L30" s="295" t="n"/>
      <c r="M30" s="295" t="n"/>
      <c r="N30" s="343" t="inlineStr">
        <is>
          <t>Savings</t>
        </is>
      </c>
      <c r="O30" s="343">
        <f>B53</f>
        <v/>
      </c>
      <c r="P30" s="343">
        <f>C53</f>
        <v/>
      </c>
      <c r="Q30" s="283" t="n"/>
      <c r="R30" s="283" t="n"/>
      <c r="S30" s="283" t="n"/>
      <c r="T30" s="283" t="n"/>
      <c r="U30" s="283" t="n"/>
      <c r="V30" s="283" t="n"/>
      <c r="W30" s="283" t="n"/>
      <c r="X30" s="283" t="n"/>
      <c r="Y30" s="283" t="n"/>
      <c r="Z30" s="283" t="n"/>
    </row>
    <row r="31" ht="18" customHeight="1" s="232">
      <c r="A31" s="341">
        <f>Settings!A15</f>
        <v/>
      </c>
      <c r="B31" s="526" t="n">
        <v>40</v>
      </c>
      <c r="C31" s="526" t="n">
        <v>42.97</v>
      </c>
      <c r="D31" s="331">
        <f>B31-C31</f>
        <v/>
      </c>
      <c r="E31" s="529" t="n"/>
      <c r="F31" s="295" t="n"/>
      <c r="G31" s="295" t="n"/>
      <c r="H31" s="295" t="n"/>
      <c r="I31" s="295" t="n"/>
      <c r="J31" s="295" t="n"/>
      <c r="K31" s="295" t="n"/>
      <c r="L31" s="295" t="n"/>
      <c r="M31" s="295" t="n"/>
      <c r="N31" s="343" t="inlineStr">
        <is>
          <t>Debt</t>
        </is>
      </c>
      <c r="O31" s="343">
        <f>B61</f>
        <v/>
      </c>
      <c r="P31" s="343">
        <f>C61</f>
        <v/>
      </c>
      <c r="Q31" s="283" t="n"/>
      <c r="R31" s="283" t="n"/>
      <c r="S31" s="283" t="n"/>
      <c r="T31" s="283" t="n"/>
      <c r="U31" s="283" t="n"/>
      <c r="V31" s="283" t="n"/>
      <c r="W31" s="283" t="n"/>
      <c r="X31" s="283" t="n"/>
      <c r="Y31" s="283" t="n"/>
      <c r="Z31" s="283" t="n"/>
    </row>
    <row r="32" ht="18" customHeight="1" s="232">
      <c r="A32" s="345" t="inlineStr">
        <is>
          <t>Total Bills</t>
        </is>
      </c>
      <c r="B32" s="346">
        <f>SUM(B24:B31)</f>
        <v/>
      </c>
      <c r="C32" s="346">
        <f>SUM(C24:C31)</f>
        <v/>
      </c>
      <c r="D32" s="347">
        <f>B32-C32</f>
        <v/>
      </c>
      <c r="E32" s="348" t="n"/>
      <c r="F32" s="295" t="n"/>
      <c r="G32" s="295" t="n"/>
      <c r="H32" s="295" t="n"/>
      <c r="I32" s="295" t="n"/>
      <c r="J32" s="295" t="n"/>
      <c r="K32" s="295" t="n"/>
      <c r="L32" s="295" t="n"/>
      <c r="M32" s="295" t="n"/>
      <c r="N32" s="293" t="n"/>
      <c r="O32" s="293" t="n"/>
      <c r="P32" s="294" t="n"/>
      <c r="Q32" s="283" t="n"/>
      <c r="R32" s="283" t="n"/>
      <c r="S32" s="283" t="n"/>
      <c r="T32" s="283" t="n"/>
      <c r="U32" s="283" t="n"/>
      <c r="V32" s="283" t="n"/>
      <c r="W32" s="283" t="n"/>
      <c r="X32" s="283" t="n"/>
      <c r="Y32" s="283" t="n"/>
      <c r="Z32" s="283" t="n"/>
    </row>
    <row r="33">
      <c r="A33" s="295" t="n"/>
      <c r="B33" s="295" t="n"/>
      <c r="C33" s="295" t="n"/>
      <c r="D33" s="295" t="n"/>
      <c r="E33" s="295" t="n"/>
      <c r="F33" s="295" t="n"/>
      <c r="G33" s="295" t="n"/>
      <c r="H33" s="295" t="n"/>
      <c r="I33" s="295" t="n"/>
      <c r="J33" s="295" t="n"/>
      <c r="K33" s="295" t="n"/>
      <c r="L33" s="295" t="n"/>
      <c r="M33" s="295" t="n"/>
      <c r="N33" s="293" t="n"/>
      <c r="O33" s="293" t="n"/>
      <c r="P33" s="294" t="n"/>
      <c r="Q33" s="283" t="n"/>
      <c r="R33" s="283" t="n"/>
      <c r="S33" s="283" t="n"/>
      <c r="T33" s="283" t="n"/>
      <c r="U33" s="283" t="n"/>
      <c r="V33" s="283" t="n"/>
      <c r="W33" s="283" t="n"/>
      <c r="X33" s="283" t="n"/>
      <c r="Y33" s="283" t="n"/>
      <c r="Z33" s="283" t="n"/>
    </row>
    <row r="34">
      <c r="A34" s="295" t="n"/>
      <c r="B34" s="295" t="n"/>
      <c r="C34" s="295" t="n"/>
      <c r="D34" s="295" t="n"/>
      <c r="E34" s="295" t="n"/>
      <c r="F34" s="295" t="n"/>
      <c r="G34" s="295" t="n"/>
      <c r="H34" s="295" t="n"/>
      <c r="I34" s="295" t="n"/>
      <c r="J34" s="295" t="n"/>
      <c r="K34" s="295" t="n"/>
      <c r="L34" s="295" t="n"/>
      <c r="M34" s="295" t="n"/>
      <c r="N34" s="293" t="n"/>
      <c r="O34" s="293" t="n"/>
      <c r="P34" s="294" t="n"/>
      <c r="Q34" s="283" t="n"/>
      <c r="R34" s="283" t="n"/>
      <c r="S34" s="283" t="n"/>
      <c r="T34" s="283" t="n"/>
      <c r="U34" s="283" t="n"/>
      <c r="V34" s="283" t="n"/>
      <c r="W34" s="283" t="n"/>
      <c r="X34" s="283" t="n"/>
      <c r="Y34" s="283" t="n"/>
      <c r="Z34" s="283" t="n"/>
    </row>
    <row r="35" ht="30" customHeight="1" s="232">
      <c r="A35" s="349" t="inlineStr">
        <is>
          <t>Expense Summary</t>
        </is>
      </c>
      <c r="B35" s="350" t="inlineStr">
        <is>
          <t>Budget</t>
        </is>
      </c>
      <c r="C35" s="350" t="inlineStr">
        <is>
          <t>Actual</t>
        </is>
      </c>
      <c r="D35" s="351" t="inlineStr">
        <is>
          <t>Remaining</t>
        </is>
      </c>
      <c r="E35" s="352" t="inlineStr">
        <is>
          <t>✓</t>
        </is>
      </c>
      <c r="F35" s="295" t="n"/>
      <c r="G35" s="295" t="n"/>
      <c r="H35" s="295" t="n"/>
      <c r="I35" s="295" t="n"/>
      <c r="J35" s="295" t="n"/>
      <c r="K35" s="295" t="n"/>
      <c r="L35" s="295" t="n"/>
      <c r="M35" s="295" t="n"/>
      <c r="N35" s="293" t="n"/>
      <c r="O35" s="293" t="n"/>
      <c r="P35" s="294" t="n"/>
      <c r="Q35" s="283" t="n"/>
      <c r="R35" s="283" t="n"/>
      <c r="S35" s="283" t="n"/>
      <c r="T35" s="283" t="n"/>
      <c r="U35" s="283" t="n"/>
      <c r="V35" s="283" t="n"/>
      <c r="W35" s="283" t="n"/>
      <c r="X35" s="283" t="n"/>
      <c r="Y35" s="283" t="n"/>
      <c r="Z35" s="283" t="n"/>
    </row>
    <row r="36" ht="18" customHeight="1" s="232">
      <c r="A36" s="353">
        <f>Settings!A16</f>
        <v/>
      </c>
      <c r="B36" s="526" t="n">
        <v>400</v>
      </c>
      <c r="C36" s="526" t="n">
        <v>445</v>
      </c>
      <c r="D36" s="331">
        <f>B36-C36</f>
        <v/>
      </c>
      <c r="E36" s="530" t="n"/>
      <c r="F36" s="295" t="n"/>
      <c r="G36" s="295" t="n"/>
      <c r="H36" s="295" t="n"/>
      <c r="I36" s="295" t="n"/>
      <c r="J36" s="295" t="n"/>
      <c r="K36" s="295" t="n"/>
      <c r="L36" s="295" t="n"/>
      <c r="M36" s="295" t="n"/>
      <c r="N36" s="293" t="n"/>
      <c r="O36" s="293" t="n"/>
      <c r="P36" s="294" t="n"/>
      <c r="Q36" s="283" t="n"/>
      <c r="R36" s="283" t="n"/>
      <c r="S36" s="283" t="n"/>
      <c r="T36" s="283" t="n"/>
      <c r="U36" s="283" t="n"/>
      <c r="V36" s="283" t="n"/>
      <c r="W36" s="283" t="n"/>
      <c r="X36" s="283" t="n"/>
      <c r="Y36" s="283" t="n"/>
      <c r="Z36" s="283" t="n"/>
    </row>
    <row r="37" ht="18" customHeight="1" s="232">
      <c r="A37" s="353">
        <f>Settings!A17</f>
        <v/>
      </c>
      <c r="B37" s="526" t="n">
        <v>150</v>
      </c>
      <c r="C37" s="526" t="n">
        <v>187</v>
      </c>
      <c r="D37" s="331">
        <f>B37-C37</f>
        <v/>
      </c>
      <c r="E37" s="530" t="n"/>
      <c r="F37" s="295" t="n"/>
      <c r="G37" s="295" t="n"/>
      <c r="H37" s="295" t="n"/>
      <c r="I37" s="295" t="n"/>
      <c r="J37" s="295" t="n"/>
      <c r="K37" s="295" t="n"/>
      <c r="L37" s="295" t="n"/>
      <c r="M37" s="295" t="n"/>
      <c r="N37" s="293" t="n"/>
      <c r="O37" s="293" t="n"/>
      <c r="P37" s="294" t="n"/>
      <c r="Q37" s="283" t="n"/>
      <c r="R37" s="283" t="n"/>
      <c r="S37" s="283" t="n"/>
      <c r="T37" s="283" t="n"/>
      <c r="U37" s="283" t="n"/>
      <c r="V37" s="283" t="n"/>
      <c r="W37" s="283" t="n"/>
      <c r="X37" s="283" t="n"/>
      <c r="Y37" s="283" t="n"/>
      <c r="Z37" s="283" t="n"/>
    </row>
    <row r="38" ht="18" customHeight="1" s="232">
      <c r="A38" s="353">
        <f>Settings!A18</f>
        <v/>
      </c>
      <c r="B38" s="526" t="n">
        <v>120</v>
      </c>
      <c r="C38" s="526" t="n">
        <v>95</v>
      </c>
      <c r="D38" s="331">
        <f>B38-C38</f>
        <v/>
      </c>
      <c r="E38" s="530" t="n"/>
      <c r="F38" s="295" t="n"/>
      <c r="G38" s="295" t="n"/>
      <c r="H38" s="295" t="n"/>
      <c r="I38" s="295" t="n"/>
      <c r="J38" s="295" t="n"/>
      <c r="K38" s="295" t="n"/>
      <c r="L38" s="295" t="n"/>
      <c r="M38" s="295" t="n"/>
      <c r="N38" s="293" t="n"/>
      <c r="O38" s="293" t="n"/>
      <c r="P38" s="294" t="n"/>
      <c r="Q38" s="283" t="n"/>
      <c r="R38" s="283" t="n"/>
      <c r="S38" s="283" t="n"/>
      <c r="T38" s="283" t="n"/>
      <c r="U38" s="283" t="n"/>
      <c r="V38" s="283" t="n"/>
      <c r="W38" s="283" t="n"/>
      <c r="X38" s="283" t="n"/>
      <c r="Y38" s="283" t="n"/>
      <c r="Z38" s="283" t="n"/>
    </row>
    <row r="39" ht="18" customHeight="1" s="232">
      <c r="A39" s="353">
        <f>Settings!A19</f>
        <v/>
      </c>
      <c r="B39" s="526" t="n">
        <v>80</v>
      </c>
      <c r="C39" s="526" t="n">
        <v>60</v>
      </c>
      <c r="D39" s="331">
        <f>B39-C39</f>
        <v/>
      </c>
      <c r="E39" s="530" t="n"/>
      <c r="F39" s="295" t="n"/>
      <c r="G39" s="295" t="n"/>
      <c r="H39" s="295" t="n"/>
      <c r="I39" s="295" t="n"/>
      <c r="J39" s="295" t="n"/>
      <c r="K39" s="295" t="n"/>
      <c r="L39" s="295" t="n"/>
      <c r="M39" s="295" t="n"/>
      <c r="N39" s="293" t="n"/>
      <c r="O39" s="293" t="n"/>
      <c r="P39" s="294" t="n"/>
      <c r="Q39" s="283" t="n"/>
      <c r="R39" s="283" t="n"/>
      <c r="S39" s="283" t="n"/>
      <c r="T39" s="283" t="n"/>
      <c r="U39" s="283" t="n"/>
      <c r="V39" s="283" t="n"/>
      <c r="W39" s="283" t="n"/>
      <c r="X39" s="283" t="n"/>
      <c r="Y39" s="283" t="n"/>
      <c r="Z39" s="283" t="n"/>
    </row>
    <row r="40" ht="18" customHeight="1" s="232">
      <c r="A40" s="353">
        <f>Settings!A20</f>
        <v/>
      </c>
      <c r="B40" s="526" t="n">
        <v>100</v>
      </c>
      <c r="C40" s="526" t="n">
        <v>130</v>
      </c>
      <c r="D40" s="331">
        <f>B40-C40</f>
        <v/>
      </c>
      <c r="E40" s="530" t="n"/>
      <c r="F40" s="295" t="n"/>
      <c r="G40" s="295" t="n"/>
      <c r="H40" s="295" t="n"/>
      <c r="I40" s="295" t="n"/>
      <c r="J40" s="295" t="n"/>
      <c r="K40" s="295" t="n"/>
      <c r="L40" s="295" t="n"/>
      <c r="M40" s="295" t="n"/>
      <c r="N40" s="293" t="n"/>
      <c r="O40" s="293" t="n"/>
      <c r="P40" s="294" t="n"/>
      <c r="Q40" s="283" t="n"/>
      <c r="R40" s="283" t="n"/>
      <c r="S40" s="283" t="n"/>
      <c r="T40" s="283" t="n"/>
      <c r="U40" s="283" t="n"/>
      <c r="V40" s="283" t="n"/>
      <c r="W40" s="283" t="n"/>
      <c r="X40" s="283" t="n"/>
      <c r="Y40" s="283" t="n"/>
      <c r="Z40" s="283" t="n"/>
    </row>
    <row r="41" ht="18" customHeight="1" s="232">
      <c r="A41" s="353">
        <f>Settings!A21</f>
        <v/>
      </c>
      <c r="B41" s="526" t="n">
        <v>50</v>
      </c>
      <c r="C41" s="526" t="n">
        <v>45</v>
      </c>
      <c r="D41" s="331">
        <f>B41-C41</f>
        <v/>
      </c>
      <c r="E41" s="530" t="n"/>
      <c r="F41" s="295" t="n"/>
      <c r="G41" s="295" t="n"/>
      <c r="H41" s="295" t="n"/>
      <c r="I41" s="295" t="n"/>
      <c r="J41" s="295" t="n"/>
      <c r="K41" s="295" t="n"/>
      <c r="L41" s="295" t="n"/>
      <c r="M41" s="295" t="n"/>
      <c r="N41" s="355" t="n"/>
      <c r="O41" s="355" t="n"/>
      <c r="P41" s="295" t="n"/>
      <c r="Q41" s="283" t="n"/>
      <c r="R41" s="283" t="n"/>
      <c r="S41" s="283" t="n"/>
      <c r="T41" s="283" t="n"/>
      <c r="U41" s="283" t="n"/>
      <c r="V41" s="283" t="n"/>
      <c r="W41" s="283" t="n"/>
      <c r="X41" s="283" t="n"/>
      <c r="Y41" s="283" t="n"/>
      <c r="Z41" s="283" t="n"/>
    </row>
    <row r="42" ht="18" customHeight="1" s="232">
      <c r="A42" s="353">
        <f>Settings!A22</f>
        <v/>
      </c>
      <c r="B42" s="526" t="n">
        <v>40</v>
      </c>
      <c r="C42" s="526" t="n">
        <v>35</v>
      </c>
      <c r="D42" s="331">
        <f>B42-C42</f>
        <v/>
      </c>
      <c r="E42" s="530" t="n"/>
      <c r="F42" s="295" t="n"/>
      <c r="G42" s="295" t="n"/>
      <c r="H42" s="295" t="n"/>
      <c r="I42" s="295" t="n"/>
      <c r="J42" s="295" t="n"/>
      <c r="K42" s="295" t="n"/>
      <c r="L42" s="295" t="n"/>
      <c r="M42" s="295" t="n"/>
      <c r="N42" s="355" t="n"/>
      <c r="O42" s="355" t="n"/>
      <c r="P42" s="295" t="n"/>
      <c r="Q42" s="283" t="n"/>
      <c r="R42" s="283" t="n"/>
      <c r="S42" s="283" t="n"/>
      <c r="T42" s="283" t="n"/>
      <c r="U42" s="283" t="n"/>
      <c r="V42" s="283" t="n"/>
      <c r="W42" s="283" t="n"/>
      <c r="X42" s="283" t="n"/>
      <c r="Y42" s="283" t="n"/>
      <c r="Z42" s="283" t="n"/>
    </row>
    <row r="43" ht="18" customHeight="1" s="232">
      <c r="A43" s="353">
        <f>Settings!A23</f>
        <v/>
      </c>
      <c r="B43" s="526" t="n">
        <v>60</v>
      </c>
      <c r="C43" s="526" t="n">
        <v>52</v>
      </c>
      <c r="D43" s="331">
        <f>B43-C43</f>
        <v/>
      </c>
      <c r="E43" s="530" t="n"/>
      <c r="F43" s="295" t="n"/>
      <c r="G43" s="295" t="n"/>
      <c r="H43" s="295" t="n"/>
      <c r="I43" s="295" t="n"/>
      <c r="J43" s="295" t="n"/>
      <c r="K43" s="295" t="n"/>
      <c r="L43" s="295" t="n"/>
      <c r="M43" s="295" t="n"/>
      <c r="N43" s="355" t="n"/>
      <c r="O43" s="355" t="n"/>
      <c r="P43" s="295" t="n"/>
      <c r="Q43" s="283" t="n"/>
      <c r="R43" s="283" t="n"/>
      <c r="S43" s="283" t="n"/>
      <c r="T43" s="283" t="n"/>
      <c r="U43" s="283" t="n"/>
      <c r="V43" s="283" t="n"/>
      <c r="W43" s="283" t="n"/>
      <c r="X43" s="283" t="n"/>
      <c r="Y43" s="283" t="n"/>
      <c r="Z43" s="283" t="n"/>
    </row>
    <row r="44" ht="18" customHeight="1" s="232">
      <c r="A44" s="356" t="inlineStr">
        <is>
          <t>Total Expenses</t>
        </is>
      </c>
      <c r="B44" s="357">
        <f>SUM(B36:B43)</f>
        <v/>
      </c>
      <c r="C44" s="357">
        <f>SUM(C36:C43)</f>
        <v/>
      </c>
      <c r="D44" s="358">
        <f>B44-C44</f>
        <v/>
      </c>
      <c r="E44" s="359" t="n"/>
      <c r="F44" s="295" t="n"/>
      <c r="G44" s="295" t="n"/>
      <c r="H44" s="295" t="n"/>
      <c r="I44" s="295" t="n"/>
      <c r="J44" s="295" t="n"/>
      <c r="K44" s="295" t="n"/>
      <c r="L44" s="295" t="n"/>
      <c r="M44" s="295" t="n"/>
      <c r="N44" s="355" t="n"/>
      <c r="O44" s="355" t="n"/>
      <c r="P44" s="295" t="n"/>
      <c r="Q44" s="283" t="n"/>
      <c r="R44" s="283" t="n"/>
      <c r="S44" s="283" t="n"/>
      <c r="T44" s="283" t="n"/>
      <c r="U44" s="283" t="n"/>
      <c r="V44" s="283" t="n"/>
      <c r="W44" s="283" t="n"/>
      <c r="X44" s="283" t="n"/>
      <c r="Y44" s="283" t="n"/>
      <c r="Z44" s="283" t="n"/>
    </row>
    <row r="45">
      <c r="A45" s="295" t="n"/>
      <c r="B45" s="295" t="n"/>
      <c r="C45" s="295" t="n"/>
      <c r="D45" s="295" t="n"/>
      <c r="E45" s="295" t="n"/>
      <c r="F45" s="295" t="n"/>
      <c r="G45" s="295" t="n"/>
      <c r="H45" s="295" t="n"/>
      <c r="I45" s="295" t="n"/>
      <c r="J45" s="295" t="n"/>
      <c r="K45" s="295" t="n"/>
      <c r="L45" s="295" t="n"/>
      <c r="M45" s="295" t="n"/>
      <c r="N45" s="355" t="n"/>
      <c r="O45" s="355" t="n"/>
      <c r="P45" s="295" t="n"/>
      <c r="Q45" s="283" t="n"/>
      <c r="R45" s="283" t="n"/>
      <c r="S45" s="283" t="n"/>
      <c r="T45" s="283" t="n"/>
      <c r="U45" s="283" t="n"/>
      <c r="V45" s="283" t="n"/>
      <c r="W45" s="283" t="n"/>
      <c r="X45" s="283" t="n"/>
      <c r="Y45" s="283" t="n"/>
      <c r="Z45" s="283" t="n"/>
    </row>
    <row r="46">
      <c r="A46" s="295" t="n"/>
      <c r="B46" s="295" t="n"/>
      <c r="C46" s="295" t="n"/>
      <c r="D46" s="295" t="n"/>
      <c r="E46" s="295" t="n"/>
      <c r="F46" s="295" t="n"/>
      <c r="G46" s="295" t="n"/>
      <c r="H46" s="295" t="n"/>
      <c r="I46" s="295" t="n"/>
      <c r="J46" s="295" t="n"/>
      <c r="K46" s="295" t="n"/>
      <c r="L46" s="295" t="n"/>
      <c r="M46" s="295" t="n"/>
      <c r="N46" s="355" t="n"/>
      <c r="O46" s="355" t="n"/>
      <c r="P46" s="295" t="n"/>
      <c r="Q46" s="283" t="n"/>
      <c r="R46" s="283" t="n"/>
      <c r="S46" s="283" t="n"/>
      <c r="T46" s="283" t="n"/>
      <c r="U46" s="283" t="n"/>
      <c r="V46" s="283" t="n"/>
      <c r="W46" s="283" t="n"/>
      <c r="X46" s="283" t="n"/>
      <c r="Y46" s="283" t="n"/>
      <c r="Z46" s="283" t="n"/>
    </row>
    <row r="47" ht="30" customHeight="1" s="232">
      <c r="A47" s="360" t="inlineStr">
        <is>
          <t>Savings Tracker</t>
        </is>
      </c>
      <c r="B47" s="361" t="inlineStr">
        <is>
          <t>Budget</t>
        </is>
      </c>
      <c r="C47" s="361" t="inlineStr">
        <is>
          <t>Actual</t>
        </is>
      </c>
      <c r="D47" s="362" t="inlineStr">
        <is>
          <t>Remaining</t>
        </is>
      </c>
      <c r="E47" s="363" t="inlineStr">
        <is>
          <t>✓</t>
        </is>
      </c>
      <c r="F47" s="295" t="n"/>
      <c r="G47" s="295" t="n"/>
      <c r="H47" s="295" t="n"/>
      <c r="I47" s="295" t="n"/>
      <c r="J47" s="295" t="n"/>
      <c r="K47" s="295" t="n"/>
      <c r="L47" s="295" t="n"/>
      <c r="M47" s="295" t="n"/>
      <c r="N47" s="355" t="n"/>
      <c r="O47" s="355" t="n"/>
      <c r="P47" s="295" t="n"/>
      <c r="Q47" s="283" t="n"/>
      <c r="R47" s="283" t="n"/>
      <c r="S47" s="283" t="n"/>
      <c r="T47" s="283" t="n"/>
      <c r="U47" s="283" t="n"/>
      <c r="V47" s="283" t="n"/>
      <c r="W47" s="283" t="n"/>
      <c r="X47" s="283" t="n"/>
      <c r="Y47" s="283" t="n"/>
      <c r="Z47" s="283" t="n"/>
    </row>
    <row r="48" ht="18" customHeight="1" s="232">
      <c r="A48" s="364">
        <f>Settings!A24</f>
        <v/>
      </c>
      <c r="B48" s="526" t="n">
        <v>200</v>
      </c>
      <c r="C48" s="526" t="n">
        <v>200</v>
      </c>
      <c r="D48" s="331">
        <f>B48-C48</f>
        <v/>
      </c>
      <c r="E48" s="531" t="n"/>
      <c r="F48" s="295" t="n"/>
      <c r="G48" s="295" t="n"/>
      <c r="H48" s="295" t="n"/>
      <c r="I48" s="295" t="n"/>
      <c r="J48" s="295" t="n"/>
      <c r="K48" s="295" t="n"/>
      <c r="L48" s="295" t="n"/>
      <c r="M48" s="295" t="n"/>
      <c r="N48" s="355" t="n"/>
      <c r="O48" s="355" t="n"/>
      <c r="P48" s="295" t="n"/>
      <c r="Q48" s="283" t="n"/>
      <c r="R48" s="283" t="n"/>
      <c r="S48" s="283" t="n"/>
      <c r="T48" s="283" t="n"/>
      <c r="U48" s="283" t="n"/>
      <c r="V48" s="283" t="n"/>
      <c r="W48" s="283" t="n"/>
      <c r="X48" s="283" t="n"/>
      <c r="Y48" s="283" t="n"/>
      <c r="Z48" s="283" t="n"/>
    </row>
    <row r="49" ht="18" customHeight="1" s="232">
      <c r="A49" s="364">
        <f>Settings!A25</f>
        <v/>
      </c>
      <c r="B49" s="526" t="n">
        <v>100</v>
      </c>
      <c r="C49" s="526" t="n">
        <v>100</v>
      </c>
      <c r="D49" s="331">
        <f>B49-C49</f>
        <v/>
      </c>
      <c r="E49" s="531" t="n"/>
      <c r="F49" s="295" t="n"/>
      <c r="G49" s="295" t="n"/>
      <c r="H49" s="295" t="n"/>
      <c r="I49" s="295" t="n"/>
      <c r="J49" s="295" t="n"/>
      <c r="K49" s="295" t="n"/>
      <c r="L49" s="295" t="n"/>
      <c r="M49" s="295" t="n"/>
      <c r="N49" s="355" t="n"/>
      <c r="O49" s="355" t="n"/>
      <c r="P49" s="295" t="n"/>
      <c r="Q49" s="283" t="n"/>
      <c r="R49" s="283" t="n"/>
      <c r="S49" s="283" t="n"/>
      <c r="T49" s="283" t="n"/>
      <c r="U49" s="283" t="n"/>
      <c r="V49" s="283" t="n"/>
      <c r="W49" s="283" t="n"/>
      <c r="X49" s="283" t="n"/>
      <c r="Y49" s="283" t="n"/>
      <c r="Z49" s="283" t="n"/>
    </row>
    <row r="50" ht="18" customHeight="1" s="232">
      <c r="A50" s="364">
        <f>Settings!A26</f>
        <v/>
      </c>
      <c r="B50" s="526" t="n">
        <v>50</v>
      </c>
      <c r="C50" s="526" t="n">
        <v>50</v>
      </c>
      <c r="D50" s="331">
        <f>B50-C50</f>
        <v/>
      </c>
      <c r="E50" s="531" t="n"/>
      <c r="F50" s="295" t="n"/>
      <c r="G50" s="295" t="n"/>
      <c r="H50" s="295" t="n"/>
      <c r="I50" s="295" t="n"/>
      <c r="J50" s="295" t="n"/>
      <c r="K50" s="295" t="n"/>
      <c r="L50" s="295" t="n"/>
      <c r="M50" s="295" t="n"/>
      <c r="N50" s="355" t="n"/>
      <c r="O50" s="355" t="n"/>
      <c r="P50" s="295" t="n"/>
      <c r="Q50" s="283" t="n"/>
      <c r="R50" s="283" t="n"/>
      <c r="S50" s="283" t="n"/>
      <c r="T50" s="283" t="n"/>
      <c r="U50" s="283" t="n"/>
      <c r="V50" s="283" t="n"/>
      <c r="W50" s="283" t="n"/>
      <c r="X50" s="283" t="n"/>
      <c r="Y50" s="283" t="n"/>
      <c r="Z50" s="283" t="n"/>
    </row>
    <row r="51" ht="18" customHeight="1" s="232">
      <c r="A51" s="364">
        <f>Settings!A27</f>
        <v/>
      </c>
      <c r="B51" s="526" t="n">
        <v>100</v>
      </c>
      <c r="C51" s="526" t="n">
        <v>100</v>
      </c>
      <c r="D51" s="331">
        <f>B51-C51</f>
        <v/>
      </c>
      <c r="E51" s="531" t="n"/>
      <c r="F51" s="295" t="n"/>
      <c r="G51" s="295" t="n"/>
      <c r="H51" s="295" t="n"/>
      <c r="I51" s="295" t="n"/>
      <c r="J51" s="295" t="n"/>
      <c r="K51" s="295" t="n"/>
      <c r="L51" s="295" t="n"/>
      <c r="M51" s="295" t="n"/>
      <c r="N51" s="355" t="n"/>
      <c r="O51" s="355" t="n"/>
      <c r="P51" s="295" t="n"/>
      <c r="Q51" s="283" t="n"/>
      <c r="R51" s="283" t="n"/>
      <c r="S51" s="283" t="n"/>
      <c r="T51" s="283" t="n"/>
      <c r="U51" s="283" t="n"/>
      <c r="V51" s="283" t="n"/>
      <c r="W51" s="283" t="n"/>
      <c r="X51" s="283" t="n"/>
      <c r="Y51" s="283" t="n"/>
      <c r="Z51" s="283" t="n"/>
    </row>
    <row r="52" ht="18" customHeight="1" s="232">
      <c r="A52" s="364">
        <f>Settings!A28</f>
        <v/>
      </c>
      <c r="B52" s="526" t="n">
        <v>0</v>
      </c>
      <c r="C52" s="526" t="n">
        <v>25</v>
      </c>
      <c r="D52" s="331">
        <f>B52-C52</f>
        <v/>
      </c>
      <c r="E52" s="531" t="n"/>
      <c r="F52" s="295" t="n"/>
      <c r="G52" s="295" t="n"/>
      <c r="H52" s="295" t="n"/>
      <c r="I52" s="295" t="n"/>
      <c r="J52" s="295" t="n"/>
      <c r="K52" s="295" t="n"/>
      <c r="L52" s="295" t="n"/>
      <c r="M52" s="295" t="n"/>
      <c r="N52" s="355" t="n"/>
      <c r="O52" s="355" t="n"/>
      <c r="P52" s="295" t="n"/>
      <c r="Q52" s="283" t="n"/>
      <c r="R52" s="283" t="n"/>
      <c r="S52" s="283" t="n"/>
      <c r="T52" s="283" t="n"/>
      <c r="U52" s="283" t="n"/>
      <c r="V52" s="283" t="n"/>
      <c r="W52" s="283" t="n"/>
      <c r="X52" s="283" t="n"/>
      <c r="Y52" s="283" t="n"/>
      <c r="Z52" s="283" t="n"/>
    </row>
    <row r="53" ht="18" customHeight="1" s="232">
      <c r="A53" s="366" t="inlineStr">
        <is>
          <t>Total Savings</t>
        </is>
      </c>
      <c r="B53" s="367">
        <f>SUM(B48:B52)</f>
        <v/>
      </c>
      <c r="C53" s="367">
        <f>SUM(C48:C52)</f>
        <v/>
      </c>
      <c r="D53" s="368">
        <f>B53-C53</f>
        <v/>
      </c>
      <c r="E53" s="369" t="n"/>
      <c r="F53" s="295" t="n"/>
      <c r="G53" s="295" t="n"/>
      <c r="H53" s="295" t="n"/>
      <c r="I53" s="295" t="n"/>
      <c r="J53" s="295" t="n"/>
      <c r="K53" s="295" t="n"/>
      <c r="L53" s="295" t="n"/>
      <c r="M53" s="295" t="n"/>
      <c r="N53" s="355" t="n"/>
      <c r="O53" s="355" t="n"/>
      <c r="P53" s="295" t="n"/>
      <c r="Q53" s="283" t="n"/>
      <c r="R53" s="283" t="n"/>
      <c r="S53" s="283" t="n"/>
      <c r="T53" s="283" t="n"/>
      <c r="U53" s="283" t="n"/>
      <c r="V53" s="283" t="n"/>
      <c r="W53" s="283" t="n"/>
      <c r="X53" s="283" t="n"/>
      <c r="Y53" s="283" t="n"/>
      <c r="Z53" s="283" t="n"/>
    </row>
    <row r="54">
      <c r="A54" s="295" t="n"/>
      <c r="B54" s="295" t="n"/>
      <c r="C54" s="295" t="n"/>
      <c r="D54" s="295" t="n"/>
      <c r="E54" s="295" t="n"/>
      <c r="F54" s="295" t="n"/>
      <c r="G54" s="295" t="n"/>
      <c r="H54" s="295" t="n"/>
      <c r="I54" s="295" t="n"/>
      <c r="J54" s="295" t="n"/>
      <c r="K54" s="295" t="n"/>
      <c r="L54" s="295" t="n"/>
      <c r="M54" s="295" t="n"/>
      <c r="N54" s="355" t="n"/>
      <c r="O54" s="355" t="n"/>
      <c r="P54" s="295" t="n"/>
      <c r="Q54" s="283" t="n"/>
      <c r="R54" s="283" t="n"/>
      <c r="S54" s="283" t="n"/>
      <c r="T54" s="283" t="n"/>
      <c r="U54" s="283" t="n"/>
      <c r="V54" s="283" t="n"/>
      <c r="W54" s="283" t="n"/>
      <c r="X54" s="283" t="n"/>
      <c r="Y54" s="283" t="n"/>
      <c r="Z54" s="283" t="n"/>
    </row>
    <row r="55">
      <c r="A55" s="295" t="n"/>
      <c r="B55" s="295" t="n"/>
      <c r="C55" s="295" t="n"/>
      <c r="D55" s="295" t="n"/>
      <c r="E55" s="295" t="n"/>
      <c r="F55" s="295" t="n"/>
      <c r="G55" s="295" t="n"/>
      <c r="H55" s="295" t="n"/>
      <c r="I55" s="295" t="n"/>
      <c r="J55" s="295" t="n"/>
      <c r="K55" s="295" t="n"/>
      <c r="L55" s="295" t="n"/>
      <c r="M55" s="295" t="n"/>
      <c r="N55" s="355" t="n"/>
      <c r="O55" s="355" t="n"/>
      <c r="P55" s="295" t="n"/>
      <c r="Q55" s="283" t="n"/>
      <c r="R55" s="283" t="n"/>
      <c r="S55" s="283" t="n"/>
      <c r="T55" s="283" t="n"/>
      <c r="U55" s="283" t="n"/>
      <c r="V55" s="283" t="n"/>
      <c r="W55" s="283" t="n"/>
      <c r="X55" s="283" t="n"/>
      <c r="Y55" s="283" t="n"/>
      <c r="Z55" s="283" t="n"/>
    </row>
    <row r="56" ht="30" customHeight="1" s="232">
      <c r="A56" s="370" t="inlineStr">
        <is>
          <t>Debt Tracker</t>
        </is>
      </c>
      <c r="B56" s="371" t="inlineStr">
        <is>
          <t>Budget</t>
        </is>
      </c>
      <c r="C56" s="371" t="inlineStr">
        <is>
          <t>Actual</t>
        </is>
      </c>
      <c r="D56" s="372" t="inlineStr">
        <is>
          <t>Remaining</t>
        </is>
      </c>
      <c r="E56" s="373" t="inlineStr">
        <is>
          <t>✓</t>
        </is>
      </c>
      <c r="F56" s="295" t="n"/>
      <c r="G56" s="295" t="n"/>
      <c r="H56" s="295" t="n"/>
      <c r="I56" s="295" t="n"/>
      <c r="J56" s="295" t="n"/>
      <c r="K56" s="295" t="n"/>
      <c r="L56" s="295" t="n"/>
      <c r="M56" s="295" t="n"/>
      <c r="N56" s="355" t="n"/>
      <c r="O56" s="355" t="n"/>
      <c r="P56" s="295" t="n"/>
      <c r="Q56" s="283" t="n"/>
      <c r="R56" s="283" t="n"/>
      <c r="S56" s="283" t="n"/>
      <c r="T56" s="283" t="n"/>
      <c r="U56" s="283" t="n"/>
      <c r="V56" s="283" t="n"/>
      <c r="W56" s="283" t="n"/>
      <c r="X56" s="283" t="n"/>
      <c r="Y56" s="283" t="n"/>
      <c r="Z56" s="283" t="n"/>
    </row>
    <row r="57" ht="18" customHeight="1" s="232">
      <c r="A57" s="374">
        <f>Settings!A29</f>
        <v/>
      </c>
      <c r="B57" s="526" t="n">
        <v>150</v>
      </c>
      <c r="C57" s="526" t="n">
        <v>150</v>
      </c>
      <c r="D57" s="331">
        <f>B57-C57</f>
        <v/>
      </c>
      <c r="E57" s="532" t="n"/>
      <c r="F57" s="295" t="n"/>
      <c r="G57" s="295" t="n"/>
      <c r="H57" s="295" t="n"/>
      <c r="I57" s="295" t="n"/>
      <c r="J57" s="295" t="n"/>
      <c r="K57" s="295" t="n"/>
      <c r="L57" s="295" t="n"/>
      <c r="M57" s="295" t="n"/>
      <c r="N57" s="355" t="n"/>
      <c r="O57" s="355" t="n"/>
      <c r="P57" s="295" t="n"/>
      <c r="Q57" s="283" t="n"/>
      <c r="R57" s="283" t="n"/>
      <c r="S57" s="283" t="n"/>
      <c r="T57" s="283" t="n"/>
      <c r="U57" s="283" t="n"/>
      <c r="V57" s="283" t="n"/>
      <c r="W57" s="283" t="n"/>
      <c r="X57" s="283" t="n"/>
      <c r="Y57" s="283" t="n"/>
      <c r="Z57" s="283" t="n"/>
    </row>
    <row r="58" ht="18" customHeight="1" s="232">
      <c r="A58" s="374">
        <f>Settings!A30</f>
        <v/>
      </c>
      <c r="B58" s="526" t="n">
        <v>0</v>
      </c>
      <c r="C58" s="526" t="n">
        <v>0</v>
      </c>
      <c r="D58" s="331">
        <f>B58-C58</f>
        <v/>
      </c>
      <c r="E58" s="532" t="n"/>
      <c r="F58" s="295" t="n"/>
      <c r="G58" s="295" t="n"/>
      <c r="H58" s="295" t="n"/>
      <c r="I58" s="295" t="n"/>
      <c r="J58" s="295" t="n"/>
      <c r="K58" s="295" t="n"/>
      <c r="L58" s="295" t="n"/>
      <c r="M58" s="295" t="n"/>
      <c r="N58" s="355" t="n"/>
      <c r="O58" s="355" t="n"/>
      <c r="P58" s="295" t="n"/>
      <c r="Q58" s="283" t="n"/>
      <c r="R58" s="283" t="n"/>
      <c r="S58" s="283" t="n"/>
      <c r="T58" s="283" t="n"/>
      <c r="U58" s="283" t="n"/>
      <c r="V58" s="283" t="n"/>
      <c r="W58" s="283" t="n"/>
      <c r="X58" s="283" t="n"/>
      <c r="Y58" s="283" t="n"/>
      <c r="Z58" s="283" t="n"/>
    </row>
    <row r="59" ht="18" customHeight="1" s="232">
      <c r="A59" s="374">
        <f>Settings!A31</f>
        <v/>
      </c>
      <c r="B59" s="526" t="n">
        <v>0</v>
      </c>
      <c r="C59" s="526" t="n">
        <v>0</v>
      </c>
      <c r="D59" s="331">
        <f>B59-C59</f>
        <v/>
      </c>
      <c r="E59" s="532" t="n"/>
      <c r="F59" s="295" t="n"/>
      <c r="G59" s="295" t="n"/>
      <c r="H59" s="295" t="n"/>
      <c r="I59" s="295" t="n"/>
      <c r="J59" s="295" t="n"/>
      <c r="K59" s="295" t="n"/>
      <c r="L59" s="295" t="n"/>
      <c r="M59" s="295" t="n"/>
      <c r="N59" s="355" t="n"/>
      <c r="O59" s="355" t="n"/>
      <c r="P59" s="295" t="n"/>
      <c r="Q59" s="283" t="n"/>
      <c r="R59" s="283" t="n"/>
      <c r="S59" s="283" t="n"/>
      <c r="T59" s="283" t="n"/>
      <c r="U59" s="283" t="n"/>
      <c r="V59" s="283" t="n"/>
      <c r="W59" s="283" t="n"/>
      <c r="X59" s="283" t="n"/>
      <c r="Y59" s="283" t="n"/>
      <c r="Z59" s="283" t="n"/>
    </row>
    <row r="60" ht="18" customHeight="1" s="232">
      <c r="A60" s="374">
        <f>Settings!A32</f>
        <v/>
      </c>
      <c r="B60" s="526" t="n">
        <v>0</v>
      </c>
      <c r="C60" s="526" t="n">
        <v>0</v>
      </c>
      <c r="D60" s="331">
        <f>B60-C60</f>
        <v/>
      </c>
      <c r="E60" s="532" t="n"/>
      <c r="F60" s="295" t="n"/>
      <c r="G60" s="295" t="n"/>
      <c r="H60" s="295" t="n"/>
      <c r="I60" s="295" t="n"/>
      <c r="J60" s="295" t="n"/>
      <c r="K60" s="295" t="n"/>
      <c r="L60" s="295" t="n"/>
      <c r="M60" s="295" t="n"/>
      <c r="N60" s="355" t="n"/>
      <c r="O60" s="355" t="n"/>
      <c r="P60" s="295" t="n"/>
      <c r="Q60" s="283" t="n"/>
      <c r="R60" s="283" t="n"/>
      <c r="S60" s="283" t="n"/>
      <c r="T60" s="283" t="n"/>
      <c r="U60" s="283" t="n"/>
      <c r="V60" s="283" t="n"/>
      <c r="W60" s="283" t="n"/>
      <c r="X60" s="283" t="n"/>
      <c r="Y60" s="283" t="n"/>
      <c r="Z60" s="283" t="n"/>
    </row>
    <row r="61" ht="18" customHeight="1" s="232">
      <c r="A61" s="376" t="inlineStr">
        <is>
          <t>Total Debt</t>
        </is>
      </c>
      <c r="B61" s="377">
        <f>SUM(B57:B60)</f>
        <v/>
      </c>
      <c r="C61" s="377">
        <f>SUM(C57:C60)</f>
        <v/>
      </c>
      <c r="D61" s="378">
        <f>B61-C61</f>
        <v/>
      </c>
      <c r="E61" s="379" t="n"/>
      <c r="F61" s="295" t="n"/>
      <c r="G61" s="295" t="n"/>
      <c r="H61" s="295" t="n"/>
      <c r="I61" s="295" t="n"/>
      <c r="J61" s="295" t="n"/>
      <c r="K61" s="295" t="n"/>
      <c r="L61" s="295" t="n"/>
      <c r="M61" s="295" t="n"/>
      <c r="N61" s="355" t="n"/>
      <c r="O61" s="355" t="n"/>
      <c r="P61" s="295" t="n"/>
      <c r="Q61" s="283" t="n"/>
      <c r="R61" s="283" t="n"/>
      <c r="S61" s="283" t="n"/>
      <c r="T61" s="283" t="n"/>
      <c r="U61" s="283" t="n"/>
      <c r="V61" s="283" t="n"/>
      <c r="W61" s="283" t="n"/>
      <c r="X61" s="283" t="n"/>
      <c r="Y61" s="283" t="n"/>
      <c r="Z61" s="283" t="n"/>
    </row>
    <row r="62">
      <c r="A62" s="295" t="n"/>
      <c r="B62" s="295" t="n"/>
      <c r="C62" s="295" t="n"/>
      <c r="D62" s="295" t="n"/>
      <c r="E62" s="295" t="n"/>
      <c r="F62" s="295" t="n"/>
      <c r="G62" s="295" t="n"/>
      <c r="H62" s="295" t="n"/>
      <c r="I62" s="295" t="n"/>
      <c r="J62" s="295" t="n"/>
      <c r="K62" s="295" t="n"/>
      <c r="L62" s="295" t="n"/>
      <c r="M62" s="295" t="n"/>
      <c r="N62" s="355" t="n"/>
      <c r="O62" s="355" t="n"/>
      <c r="P62" s="295" t="n"/>
      <c r="Q62" s="283" t="n"/>
      <c r="R62" s="283" t="n"/>
      <c r="S62" s="283" t="n"/>
      <c r="T62" s="283" t="n"/>
      <c r="U62" s="283" t="n"/>
      <c r="V62" s="283" t="n"/>
      <c r="W62" s="283" t="n"/>
      <c r="X62" s="283" t="n"/>
      <c r="Y62" s="283" t="n"/>
      <c r="Z62" s="283" t="n"/>
    </row>
    <row r="63">
      <c r="A63" s="283" t="n"/>
      <c r="B63" s="283" t="n"/>
      <c r="C63" s="283" t="n"/>
      <c r="D63" s="283" t="n"/>
      <c r="E63" s="283" t="n"/>
      <c r="F63" s="283" t="n"/>
      <c r="G63" s="283" t="n"/>
      <c r="H63" s="283" t="n"/>
      <c r="I63" s="283" t="n"/>
      <c r="J63" s="283" t="n"/>
      <c r="K63" s="283" t="n"/>
      <c r="L63" s="283" t="n"/>
      <c r="M63" s="283" t="n"/>
      <c r="N63" s="380" t="n"/>
      <c r="O63" s="380" t="n"/>
      <c r="P63" s="283" t="n"/>
      <c r="Q63" s="283" t="n"/>
      <c r="R63" s="283" t="n"/>
      <c r="S63" s="283" t="n"/>
      <c r="T63" s="283" t="n"/>
      <c r="U63" s="283" t="n"/>
      <c r="V63" s="283" t="n"/>
      <c r="W63" s="283" t="n"/>
      <c r="X63" s="283" t="n"/>
      <c r="Y63" s="283" t="n"/>
      <c r="Z63" s="283" t="n"/>
    </row>
    <row r="64">
      <c r="A64" s="283" t="n"/>
      <c r="B64" s="283" t="n"/>
      <c r="C64" s="283" t="n"/>
      <c r="D64" s="283" t="n"/>
      <c r="E64" s="283" t="n"/>
      <c r="F64" s="283" t="n"/>
      <c r="G64" s="283" t="n"/>
      <c r="H64" s="283" t="n"/>
      <c r="I64" s="283" t="n"/>
      <c r="J64" s="283" t="n"/>
      <c r="K64" s="283" t="n"/>
      <c r="L64" s="283" t="n"/>
      <c r="M64" s="283" t="n"/>
      <c r="N64" s="380" t="n"/>
      <c r="O64" s="380" t="n"/>
      <c r="P64" s="283" t="n"/>
      <c r="Q64" s="283" t="n"/>
      <c r="R64" s="283" t="n"/>
      <c r="S64" s="283" t="n"/>
      <c r="T64" s="283" t="n"/>
      <c r="U64" s="283" t="n"/>
      <c r="V64" s="283" t="n"/>
      <c r="W64" s="283" t="n"/>
      <c r="X64" s="283" t="n"/>
      <c r="Y64" s="283" t="n"/>
      <c r="Z64" s="283" t="n"/>
    </row>
    <row r="65">
      <c r="A65" s="283" t="n"/>
      <c r="B65" s="283" t="n"/>
      <c r="C65" s="283" t="n"/>
      <c r="D65" s="283" t="n"/>
      <c r="E65" s="283" t="n"/>
      <c r="F65" s="283" t="n"/>
      <c r="G65" s="283" t="n"/>
      <c r="H65" s="283" t="n"/>
      <c r="I65" s="283" t="n"/>
      <c r="J65" s="283" t="n"/>
      <c r="K65" s="283" t="n"/>
      <c r="L65" s="283" t="n"/>
      <c r="M65" s="283" t="n"/>
      <c r="N65" s="380" t="n"/>
      <c r="O65" s="380" t="n"/>
      <c r="P65" s="283" t="n"/>
      <c r="Q65" s="283" t="n"/>
      <c r="R65" s="283" t="n"/>
      <c r="S65" s="283" t="n"/>
      <c r="T65" s="283" t="n"/>
      <c r="U65" s="283" t="n"/>
      <c r="V65" s="283" t="n"/>
      <c r="W65" s="283" t="n"/>
      <c r="X65" s="283" t="n"/>
      <c r="Y65" s="283" t="n"/>
      <c r="Z65" s="283" t="n"/>
    </row>
    <row r="66">
      <c r="A66" s="283" t="n"/>
      <c r="B66" s="283" t="n"/>
      <c r="C66" s="283" t="n"/>
      <c r="D66" s="283" t="n"/>
      <c r="E66" s="283" t="n"/>
      <c r="F66" s="283" t="n"/>
      <c r="G66" s="283" t="n"/>
      <c r="H66" s="283" t="n"/>
      <c r="I66" s="283" t="n"/>
      <c r="J66" s="283" t="n"/>
      <c r="K66" s="283" t="n"/>
      <c r="L66" s="283" t="n"/>
      <c r="M66" s="283" t="n"/>
      <c r="N66" s="380" t="n"/>
      <c r="O66" s="380" t="n"/>
      <c r="P66" s="283" t="n"/>
      <c r="Q66" s="283" t="n"/>
      <c r="R66" s="283" t="n"/>
      <c r="S66" s="283" t="n"/>
      <c r="T66" s="283" t="n"/>
      <c r="U66" s="283" t="n"/>
      <c r="V66" s="283" t="n"/>
      <c r="W66" s="283" t="n"/>
      <c r="X66" s="283" t="n"/>
      <c r="Y66" s="283" t="n"/>
      <c r="Z66" s="283" t="n"/>
    </row>
    <row r="67">
      <c r="A67" s="283" t="n"/>
      <c r="B67" s="283" t="n"/>
      <c r="C67" s="283" t="n"/>
      <c r="D67" s="283" t="n"/>
      <c r="E67" s="283" t="n"/>
      <c r="F67" s="283" t="n"/>
      <c r="G67" s="283" t="n"/>
      <c r="H67" s="283" t="n"/>
      <c r="I67" s="283" t="n"/>
      <c r="J67" s="283" t="n"/>
      <c r="K67" s="283" t="n"/>
      <c r="L67" s="283" t="n"/>
      <c r="M67" s="283" t="n"/>
      <c r="N67" s="380" t="n"/>
      <c r="O67" s="380" t="n"/>
      <c r="P67" s="283" t="n"/>
      <c r="Q67" s="283" t="n"/>
      <c r="R67" s="283" t="n"/>
      <c r="S67" s="283" t="n"/>
      <c r="T67" s="283" t="n"/>
      <c r="U67" s="283" t="n"/>
      <c r="V67" s="283" t="n"/>
      <c r="W67" s="283" t="n"/>
      <c r="X67" s="283" t="n"/>
      <c r="Y67" s="283" t="n"/>
      <c r="Z67" s="283" t="n"/>
    </row>
    <row r="68">
      <c r="A68" s="283" t="n"/>
      <c r="B68" s="283" t="n"/>
      <c r="C68" s="283" t="n"/>
      <c r="D68" s="283" t="n"/>
      <c r="E68" s="283" t="n"/>
      <c r="F68" s="283" t="n"/>
      <c r="G68" s="283" t="n"/>
      <c r="H68" s="283" t="n"/>
      <c r="I68" s="283" t="n"/>
      <c r="J68" s="283" t="n"/>
      <c r="K68" s="283" t="n"/>
      <c r="L68" s="283" t="n"/>
      <c r="M68" s="283" t="n"/>
      <c r="N68" s="380" t="n"/>
      <c r="O68" s="380" t="n"/>
      <c r="P68" s="283" t="n"/>
      <c r="Q68" s="283" t="n"/>
      <c r="R68" s="283" t="n"/>
      <c r="S68" s="283" t="n"/>
      <c r="T68" s="283" t="n"/>
      <c r="U68" s="283" t="n"/>
      <c r="V68" s="283" t="n"/>
      <c r="W68" s="283" t="n"/>
      <c r="X68" s="283" t="n"/>
      <c r="Y68" s="283" t="n"/>
      <c r="Z68" s="283" t="n"/>
    </row>
    <row r="69">
      <c r="A69" s="283" t="n"/>
      <c r="B69" s="283" t="n"/>
      <c r="C69" s="283" t="n"/>
      <c r="D69" s="283" t="n"/>
      <c r="E69" s="283" t="n"/>
      <c r="F69" s="283" t="n"/>
      <c r="G69" s="283" t="n"/>
      <c r="H69" s="283" t="n"/>
      <c r="I69" s="283" t="n"/>
      <c r="J69" s="283" t="n"/>
      <c r="K69" s="283" t="n"/>
      <c r="L69" s="283" t="n"/>
      <c r="M69" s="283" t="n"/>
      <c r="N69" s="380" t="n"/>
      <c r="O69" s="380" t="n"/>
      <c r="P69" s="283" t="n"/>
      <c r="Q69" s="283" t="n"/>
      <c r="R69" s="283" t="n"/>
      <c r="S69" s="283" t="n"/>
      <c r="T69" s="283" t="n"/>
      <c r="U69" s="283" t="n"/>
      <c r="V69" s="283" t="n"/>
      <c r="W69" s="283" t="n"/>
      <c r="X69" s="283" t="n"/>
      <c r="Y69" s="283" t="n"/>
      <c r="Z69" s="283" t="n"/>
    </row>
    <row r="70" ht="26" customHeight="1" s="232">
      <c r="A70" s="283" t="n"/>
      <c r="B70" s="283" t="n"/>
      <c r="C70" s="283" t="n"/>
      <c r="D70" s="283" t="n"/>
      <c r="E70" s="283" t="n"/>
      <c r="F70" s="283" t="n"/>
      <c r="G70" s="283" t="n"/>
      <c r="H70" s="283" t="n"/>
      <c r="I70" s="283" t="n"/>
      <c r="J70" s="283" t="n"/>
      <c r="K70" s="283" t="n"/>
      <c r="L70" s="283" t="n"/>
      <c r="M70" s="283" t="n"/>
      <c r="N70" s="380" t="n"/>
      <c r="O70" s="380" t="n"/>
      <c r="P70" s="283" t="n"/>
      <c r="Q70" s="283" t="n"/>
      <c r="R70" s="283" t="n"/>
      <c r="S70" s="283" t="n"/>
      <c r="T70" s="283" t="n"/>
      <c r="U70" s="283" t="n"/>
      <c r="V70" s="283" t="n"/>
      <c r="W70" s="283" t="n"/>
      <c r="X70" s="283" t="n"/>
      <c r="Y70" s="283" t="n"/>
      <c r="Z70" s="283" t="n"/>
    </row>
    <row r="71">
      <c r="A71" s="283" t="n"/>
      <c r="B71" s="283" t="n"/>
      <c r="C71" s="283" t="n"/>
      <c r="D71" s="283" t="n"/>
      <c r="E71" s="283" t="n"/>
      <c r="F71" s="283" t="n"/>
      <c r="G71" s="283" t="n"/>
      <c r="H71" s="283" t="n"/>
      <c r="I71" s="283" t="n"/>
      <c r="J71" s="283" t="n"/>
      <c r="K71" s="283" t="n"/>
      <c r="L71" s="283" t="n"/>
      <c r="M71" s="283" t="n"/>
      <c r="N71" s="380" t="n"/>
      <c r="O71" s="380" t="n"/>
      <c r="P71" s="283" t="n"/>
      <c r="Q71" s="283" t="n"/>
      <c r="R71" s="283" t="n"/>
      <c r="S71" s="283" t="n"/>
      <c r="T71" s="283" t="n"/>
      <c r="U71" s="283" t="n"/>
      <c r="V71" s="283" t="n"/>
      <c r="W71" s="283" t="n"/>
      <c r="X71" s="283" t="n"/>
      <c r="Y71" s="283" t="n"/>
      <c r="Z71" s="283" t="n"/>
    </row>
    <row r="72">
      <c r="A72" s="283" t="n"/>
      <c r="B72" s="283" t="n"/>
      <c r="C72" s="283" t="n"/>
      <c r="D72" s="283" t="n"/>
      <c r="E72" s="283" t="n"/>
      <c r="F72" s="283" t="n"/>
      <c r="G72" s="283" t="n"/>
      <c r="H72" s="283" t="n"/>
      <c r="I72" s="283" t="n"/>
      <c r="J72" s="283" t="n"/>
      <c r="K72" s="283" t="n"/>
      <c r="L72" s="283" t="n"/>
      <c r="M72" s="283" t="n"/>
      <c r="N72" s="380" t="n"/>
      <c r="O72" s="380" t="n"/>
      <c r="P72" s="283" t="n"/>
      <c r="Q72" s="283" t="n"/>
      <c r="R72" s="283" t="n"/>
      <c r="S72" s="283" t="n"/>
      <c r="T72" s="283" t="n"/>
      <c r="U72" s="283" t="n"/>
      <c r="V72" s="283" t="n"/>
      <c r="W72" s="283" t="n"/>
      <c r="X72" s="283" t="n"/>
      <c r="Y72" s="283" t="n"/>
      <c r="Z72" s="283" t="n"/>
    </row>
    <row r="73">
      <c r="A73" s="283" t="n"/>
      <c r="B73" s="283" t="n"/>
      <c r="C73" s="283" t="n"/>
      <c r="D73" s="283" t="n"/>
      <c r="E73" s="283" t="n"/>
      <c r="F73" s="283" t="n"/>
      <c r="G73" s="283" t="n"/>
      <c r="H73" s="283" t="n"/>
      <c r="I73" s="283" t="n"/>
      <c r="J73" s="283" t="n"/>
      <c r="K73" s="283" t="n"/>
      <c r="L73" s="283" t="n"/>
      <c r="M73" s="283" t="n"/>
      <c r="N73" s="380" t="n"/>
      <c r="O73" s="380" t="n"/>
      <c r="P73" s="283" t="n"/>
      <c r="Q73" s="283" t="n"/>
      <c r="R73" s="283" t="n"/>
      <c r="S73" s="283" t="n"/>
      <c r="T73" s="283" t="n"/>
      <c r="U73" s="283" t="n"/>
      <c r="V73" s="283" t="n"/>
      <c r="W73" s="283" t="n"/>
      <c r="X73" s="283" t="n"/>
      <c r="Y73" s="283" t="n"/>
      <c r="Z73" s="283" t="n"/>
    </row>
    <row r="74">
      <c r="A74" s="283" t="n"/>
      <c r="B74" s="283" t="n"/>
      <c r="C74" s="283" t="n"/>
      <c r="D74" s="283" t="n"/>
      <c r="E74" s="283" t="n"/>
      <c r="F74" s="283" t="n"/>
      <c r="G74" s="283" t="n"/>
      <c r="H74" s="283" t="n"/>
      <c r="I74" s="283" t="n"/>
      <c r="J74" s="283" t="n"/>
      <c r="K74" s="283" t="n"/>
      <c r="L74" s="283" t="n"/>
      <c r="M74" s="283" t="n"/>
      <c r="N74" s="380" t="n"/>
      <c r="O74" s="380" t="n"/>
      <c r="P74" s="283" t="n"/>
      <c r="Q74" s="283" t="n"/>
      <c r="R74" s="283" t="n"/>
      <c r="S74" s="283" t="n"/>
      <c r="T74" s="283" t="n"/>
      <c r="U74" s="283" t="n"/>
      <c r="V74" s="283" t="n"/>
      <c r="W74" s="283" t="n"/>
      <c r="X74" s="283" t="n"/>
      <c r="Y74" s="283" t="n"/>
      <c r="Z74" s="283" t="n"/>
    </row>
    <row r="75">
      <c r="A75" s="283" t="n"/>
      <c r="B75" s="283" t="n"/>
      <c r="C75" s="283" t="n"/>
      <c r="D75" s="283" t="n"/>
      <c r="E75" s="283" t="n"/>
      <c r="F75" s="283" t="n"/>
      <c r="G75" s="283" t="n"/>
      <c r="H75" s="283" t="n"/>
      <c r="I75" s="283" t="n"/>
      <c r="J75" s="283" t="n"/>
      <c r="K75" s="283" t="n"/>
      <c r="L75" s="283" t="n"/>
      <c r="M75" s="283" t="n"/>
      <c r="N75" s="380" t="n"/>
      <c r="O75" s="380" t="n"/>
      <c r="P75" s="283" t="n"/>
      <c r="Q75" s="283" t="n"/>
      <c r="R75" s="283" t="n"/>
      <c r="S75" s="283" t="n"/>
      <c r="T75" s="283" t="n"/>
      <c r="U75" s="283" t="n"/>
      <c r="V75" s="283" t="n"/>
      <c r="W75" s="283" t="n"/>
      <c r="X75" s="283" t="n"/>
      <c r="Y75" s="283" t="n"/>
      <c r="Z75" s="283" t="n"/>
    </row>
    <row r="76">
      <c r="A76" s="283" t="n"/>
      <c r="B76" s="283" t="n"/>
      <c r="C76" s="283" t="n"/>
      <c r="D76" s="283" t="n"/>
      <c r="E76" s="283" t="n"/>
      <c r="F76" s="283" t="n"/>
      <c r="G76" s="283" t="n"/>
      <c r="H76" s="283" t="n"/>
      <c r="I76" s="283" t="n"/>
      <c r="J76" s="283" t="n"/>
      <c r="K76" s="283" t="n"/>
      <c r="L76" s="283" t="n"/>
      <c r="M76" s="283" t="n"/>
      <c r="N76" s="380" t="n"/>
      <c r="O76" s="380" t="n"/>
      <c r="P76" s="283" t="n"/>
      <c r="Q76" s="283" t="n"/>
      <c r="R76" s="283" t="n"/>
      <c r="S76" s="283" t="n"/>
      <c r="T76" s="283" t="n"/>
      <c r="U76" s="283" t="n"/>
      <c r="V76" s="283" t="n"/>
      <c r="W76" s="283" t="n"/>
      <c r="X76" s="283" t="n"/>
      <c r="Y76" s="283" t="n"/>
      <c r="Z76" s="283" t="n"/>
    </row>
    <row r="77">
      <c r="A77" s="283" t="n"/>
      <c r="B77" s="283" t="n"/>
      <c r="C77" s="283" t="n"/>
      <c r="D77" s="283" t="n"/>
      <c r="E77" s="283" t="n"/>
      <c r="F77" s="283" t="n"/>
      <c r="G77" s="283" t="n"/>
      <c r="H77" s="283" t="n"/>
      <c r="I77" s="283" t="n"/>
      <c r="J77" s="283" t="n"/>
      <c r="K77" s="283" t="n"/>
      <c r="L77" s="283" t="n"/>
      <c r="M77" s="283" t="n"/>
      <c r="N77" s="380" t="n"/>
      <c r="O77" s="380" t="n"/>
      <c r="P77" s="283" t="n"/>
      <c r="Q77" s="283" t="n"/>
      <c r="R77" s="283" t="n"/>
      <c r="S77" s="283" t="n"/>
      <c r="T77" s="283" t="n"/>
      <c r="U77" s="283" t="n"/>
      <c r="V77" s="283" t="n"/>
      <c r="W77" s="283" t="n"/>
      <c r="X77" s="283" t="n"/>
      <c r="Y77" s="283" t="n"/>
      <c r="Z77" s="283" t="n"/>
    </row>
    <row r="78">
      <c r="A78" s="283" t="n"/>
      <c r="B78" s="283" t="n"/>
      <c r="C78" s="283" t="n"/>
      <c r="D78" s="283" t="n"/>
      <c r="E78" s="283" t="n"/>
      <c r="F78" s="283" t="n"/>
      <c r="G78" s="283" t="n"/>
      <c r="H78" s="283" t="n"/>
      <c r="I78" s="283" t="n"/>
      <c r="J78" s="283" t="n"/>
      <c r="K78" s="283" t="n"/>
      <c r="L78" s="283" t="n"/>
      <c r="M78" s="283" t="n"/>
      <c r="N78" s="380" t="n"/>
      <c r="O78" s="380" t="n"/>
      <c r="P78" s="283" t="n"/>
      <c r="Q78" s="283" t="n"/>
      <c r="R78" s="283" t="n"/>
      <c r="S78" s="283" t="n"/>
      <c r="T78" s="283" t="n"/>
      <c r="U78" s="283" t="n"/>
      <c r="V78" s="283" t="n"/>
      <c r="W78" s="283" t="n"/>
      <c r="X78" s="283" t="n"/>
      <c r="Y78" s="283" t="n"/>
      <c r="Z78" s="283" t="n"/>
    </row>
    <row r="79">
      <c r="A79" s="283" t="n"/>
      <c r="B79" s="283" t="n"/>
      <c r="C79" s="283" t="n"/>
      <c r="D79" s="283" t="n"/>
      <c r="E79" s="283" t="n"/>
      <c r="F79" s="283" t="n"/>
      <c r="G79" s="283" t="n"/>
      <c r="H79" s="283" t="n"/>
      <c r="I79" s="283" t="n"/>
      <c r="J79" s="283" t="n"/>
      <c r="K79" s="283" t="n"/>
      <c r="L79" s="283" t="n"/>
      <c r="M79" s="283" t="n"/>
      <c r="N79" s="380" t="n"/>
      <c r="O79" s="380" t="n"/>
      <c r="P79" s="283" t="n"/>
      <c r="Q79" s="283" t="n"/>
      <c r="R79" s="283" t="n"/>
      <c r="S79" s="283" t="n"/>
      <c r="T79" s="283" t="n"/>
      <c r="U79" s="283" t="n"/>
      <c r="V79" s="283" t="n"/>
      <c r="W79" s="283" t="n"/>
      <c r="X79" s="283" t="n"/>
      <c r="Y79" s="283" t="n"/>
      <c r="Z79" s="283" t="n"/>
    </row>
    <row r="80">
      <c r="A80" s="283" t="n"/>
      <c r="B80" s="283" t="n"/>
      <c r="C80" s="283" t="n"/>
      <c r="D80" s="283" t="n"/>
      <c r="E80" s="283" t="n"/>
      <c r="F80" s="283" t="n"/>
      <c r="G80" s="283" t="n"/>
      <c r="H80" s="283" t="n"/>
      <c r="I80" s="283" t="n"/>
      <c r="J80" s="283" t="n"/>
      <c r="K80" s="283" t="n"/>
      <c r="L80" s="283" t="n"/>
      <c r="M80" s="283" t="n"/>
      <c r="N80" s="380" t="n"/>
      <c r="O80" s="380" t="n"/>
      <c r="P80" s="283" t="n"/>
      <c r="Q80" s="283" t="n"/>
      <c r="R80" s="283" t="n"/>
      <c r="S80" s="283" t="n"/>
      <c r="T80" s="283" t="n"/>
      <c r="U80" s="283" t="n"/>
      <c r="V80" s="283" t="n"/>
      <c r="W80" s="283" t="n"/>
      <c r="X80" s="283" t="n"/>
      <c r="Y80" s="283" t="n"/>
      <c r="Z80" s="283" t="n"/>
    </row>
    <row r="81">
      <c r="A81" s="283" t="n"/>
      <c r="B81" s="283" t="n"/>
      <c r="C81" s="283" t="n"/>
      <c r="D81" s="283" t="n"/>
      <c r="E81" s="283" t="n"/>
      <c r="F81" s="283" t="n"/>
      <c r="G81" s="283" t="n"/>
      <c r="H81" s="283" t="n"/>
      <c r="I81" s="283" t="n"/>
      <c r="J81" s="283" t="n"/>
      <c r="K81" s="283" t="n"/>
      <c r="L81" s="283" t="n"/>
      <c r="M81" s="283" t="n"/>
      <c r="N81" s="380" t="n"/>
      <c r="O81" s="380" t="n"/>
      <c r="P81" s="283" t="n"/>
      <c r="Q81" s="283" t="n"/>
      <c r="R81" s="283" t="n"/>
      <c r="S81" s="283" t="n"/>
      <c r="T81" s="283" t="n"/>
      <c r="U81" s="283" t="n"/>
      <c r="V81" s="283" t="n"/>
      <c r="W81" s="283" t="n"/>
      <c r="X81" s="283" t="n"/>
      <c r="Y81" s="283" t="n"/>
      <c r="Z81" s="283" t="n"/>
    </row>
    <row r="82">
      <c r="A82" s="283" t="n"/>
      <c r="B82" s="283" t="n"/>
      <c r="C82" s="283" t="n"/>
      <c r="D82" s="283" t="n"/>
      <c r="E82" s="283" t="n"/>
      <c r="F82" s="283" t="n"/>
      <c r="G82" s="283" t="n"/>
      <c r="H82" s="283" t="n"/>
      <c r="I82" s="283" t="n"/>
      <c r="J82" s="283" t="n"/>
      <c r="K82" s="283" t="n"/>
      <c r="L82" s="283" t="n"/>
      <c r="M82" s="283" t="n"/>
      <c r="N82" s="380" t="n"/>
      <c r="O82" s="380" t="n"/>
      <c r="P82" s="283" t="n"/>
      <c r="Q82" s="283" t="n"/>
      <c r="R82" s="283" t="n"/>
      <c r="S82" s="283" t="n"/>
      <c r="T82" s="283" t="n"/>
      <c r="U82" s="283" t="n"/>
      <c r="V82" s="283" t="n"/>
      <c r="W82" s="283" t="n"/>
      <c r="X82" s="283" t="n"/>
      <c r="Y82" s="283" t="n"/>
      <c r="Z82" s="283" t="n"/>
    </row>
    <row r="83">
      <c r="A83" s="283" t="n"/>
      <c r="B83" s="283" t="n"/>
      <c r="C83" s="283" t="n"/>
      <c r="D83" s="283" t="n"/>
      <c r="E83" s="283" t="n"/>
      <c r="F83" s="283" t="n"/>
      <c r="G83" s="283" t="n"/>
      <c r="H83" s="283" t="n"/>
      <c r="I83" s="283" t="n"/>
      <c r="J83" s="283" t="n"/>
      <c r="K83" s="283" t="n"/>
      <c r="L83" s="283" t="n"/>
      <c r="M83" s="283" t="n"/>
      <c r="N83" s="380" t="n"/>
      <c r="O83" s="380" t="n"/>
      <c r="P83" s="283" t="n"/>
      <c r="Q83" s="283" t="n"/>
      <c r="R83" s="283" t="n"/>
      <c r="S83" s="283" t="n"/>
      <c r="T83" s="283" t="n"/>
      <c r="U83" s="283" t="n"/>
      <c r="V83" s="283" t="n"/>
      <c r="W83" s="283" t="n"/>
      <c r="X83" s="283" t="n"/>
      <c r="Y83" s="283" t="n"/>
      <c r="Z83" s="283" t="n"/>
    </row>
    <row r="84">
      <c r="A84" s="283" t="n"/>
      <c r="B84" s="283" t="n"/>
      <c r="C84" s="283" t="n"/>
      <c r="D84" s="283" t="n"/>
      <c r="E84" s="283" t="n"/>
      <c r="F84" s="283" t="n"/>
      <c r="G84" s="283" t="n"/>
      <c r="H84" s="283" t="n"/>
      <c r="I84" s="283" t="n"/>
      <c r="J84" s="283" t="n"/>
      <c r="K84" s="283" t="n"/>
      <c r="L84" s="283" t="n"/>
      <c r="M84" s="283" t="n"/>
      <c r="N84" s="380" t="n"/>
      <c r="O84" s="380" t="n"/>
      <c r="P84" s="283" t="n"/>
      <c r="Q84" s="283" t="n"/>
      <c r="R84" s="283" t="n"/>
      <c r="S84" s="283" t="n"/>
      <c r="T84" s="283" t="n"/>
      <c r="U84" s="283" t="n"/>
      <c r="V84" s="283" t="n"/>
      <c r="W84" s="283" t="n"/>
      <c r="X84" s="283" t="n"/>
      <c r="Y84" s="283" t="n"/>
      <c r="Z84" s="283" t="n"/>
    </row>
    <row r="85">
      <c r="A85" s="283" t="n"/>
      <c r="B85" s="283" t="n"/>
      <c r="C85" s="283" t="n"/>
      <c r="D85" s="283" t="n"/>
      <c r="E85" s="283" t="n"/>
      <c r="F85" s="283" t="n"/>
      <c r="G85" s="283" t="n"/>
      <c r="H85" s="283" t="n"/>
      <c r="I85" s="283" t="n"/>
      <c r="J85" s="283" t="n"/>
      <c r="K85" s="283" t="n"/>
      <c r="L85" s="283" t="n"/>
      <c r="M85" s="283" t="n"/>
      <c r="N85" s="380" t="n"/>
      <c r="O85" s="380" t="n"/>
      <c r="P85" s="283" t="n"/>
      <c r="Q85" s="283" t="n"/>
      <c r="R85" s="283" t="n"/>
      <c r="S85" s="283" t="n"/>
      <c r="T85" s="283" t="n"/>
      <c r="U85" s="283" t="n"/>
      <c r="V85" s="283" t="n"/>
      <c r="W85" s="283" t="n"/>
      <c r="X85" s="283" t="n"/>
      <c r="Y85" s="283" t="n"/>
      <c r="Z85" s="283" t="n"/>
    </row>
    <row r="86">
      <c r="A86" s="283" t="n"/>
      <c r="B86" s="283" t="n"/>
      <c r="C86" s="283" t="n"/>
      <c r="D86" s="283" t="n"/>
      <c r="E86" s="283" t="n"/>
      <c r="F86" s="283" t="n"/>
      <c r="G86" s="283" t="n"/>
      <c r="H86" s="283" t="n"/>
      <c r="I86" s="283" t="n"/>
      <c r="J86" s="283" t="n"/>
      <c r="K86" s="283" t="n"/>
      <c r="L86" s="283" t="n"/>
      <c r="M86" s="283" t="n"/>
      <c r="N86" s="380" t="n"/>
      <c r="O86" s="380" t="n"/>
      <c r="P86" s="283" t="n"/>
      <c r="Q86" s="283" t="n"/>
      <c r="R86" s="283" t="n"/>
      <c r="S86" s="283" t="n"/>
      <c r="T86" s="283" t="n"/>
      <c r="U86" s="283" t="n"/>
      <c r="V86" s="283" t="n"/>
      <c r="W86" s="283" t="n"/>
      <c r="X86" s="283" t="n"/>
      <c r="Y86" s="283" t="n"/>
      <c r="Z86" s="283" t="n"/>
    </row>
    <row r="87">
      <c r="A87" s="283" t="n"/>
      <c r="B87" s="283" t="n"/>
      <c r="C87" s="283" t="n"/>
      <c r="D87" s="283" t="n"/>
      <c r="E87" s="283" t="n"/>
      <c r="F87" s="283" t="n"/>
      <c r="G87" s="283" t="n"/>
      <c r="H87" s="283" t="n"/>
      <c r="I87" s="283" t="n"/>
      <c r="J87" s="283" t="n"/>
      <c r="K87" s="283" t="n"/>
      <c r="L87" s="283" t="n"/>
      <c r="M87" s="283" t="n"/>
      <c r="N87" s="380" t="n"/>
      <c r="O87" s="380" t="n"/>
      <c r="P87" s="283" t="n"/>
      <c r="Q87" s="283" t="n"/>
      <c r="R87" s="283" t="n"/>
      <c r="S87" s="283" t="n"/>
      <c r="T87" s="283" t="n"/>
      <c r="U87" s="283" t="n"/>
      <c r="V87" s="283" t="n"/>
      <c r="W87" s="283" t="n"/>
      <c r="X87" s="283" t="n"/>
      <c r="Y87" s="283" t="n"/>
      <c r="Z87" s="283" t="n"/>
    </row>
    <row r="88">
      <c r="A88" s="283" t="n"/>
      <c r="B88" s="283" t="n"/>
      <c r="C88" s="283" t="n"/>
      <c r="D88" s="283" t="n"/>
      <c r="E88" s="283" t="n"/>
      <c r="F88" s="283" t="n"/>
      <c r="G88" s="283" t="n"/>
      <c r="H88" s="283" t="n"/>
      <c r="I88" s="283" t="n"/>
      <c r="J88" s="283" t="n"/>
      <c r="K88" s="283" t="n"/>
      <c r="L88" s="283" t="n"/>
      <c r="M88" s="283" t="n"/>
      <c r="N88" s="380" t="n"/>
      <c r="O88" s="380" t="n"/>
      <c r="P88" s="283" t="n"/>
      <c r="Q88" s="283" t="n"/>
      <c r="R88" s="283" t="n"/>
      <c r="S88" s="283" t="n"/>
      <c r="T88" s="283" t="n"/>
      <c r="U88" s="283" t="n"/>
      <c r="V88" s="283" t="n"/>
      <c r="W88" s="283" t="n"/>
      <c r="X88" s="283" t="n"/>
      <c r="Y88" s="283" t="n"/>
      <c r="Z88" s="283" t="n"/>
    </row>
    <row r="89">
      <c r="A89" s="283" t="n"/>
      <c r="B89" s="283" t="n"/>
      <c r="C89" s="283" t="n"/>
      <c r="D89" s="283" t="n"/>
      <c r="E89" s="283" t="n"/>
      <c r="F89" s="283" t="n"/>
      <c r="G89" s="283" t="n"/>
      <c r="H89" s="283" t="n"/>
      <c r="I89" s="283" t="n"/>
      <c r="J89" s="283" t="n"/>
      <c r="K89" s="283" t="n"/>
      <c r="L89" s="283" t="n"/>
      <c r="M89" s="283" t="n"/>
      <c r="N89" s="380" t="n"/>
      <c r="O89" s="380" t="n"/>
      <c r="P89" s="283" t="n"/>
      <c r="Q89" s="283" t="n"/>
      <c r="R89" s="283" t="n"/>
      <c r="S89" s="283" t="n"/>
      <c r="T89" s="283" t="n"/>
      <c r="U89" s="283" t="n"/>
      <c r="V89" s="283" t="n"/>
      <c r="W89" s="283" t="n"/>
      <c r="X89" s="283" t="n"/>
      <c r="Y89" s="283" t="n"/>
      <c r="Z89" s="283" t="n"/>
    </row>
    <row r="90">
      <c r="A90" s="283" t="n"/>
      <c r="B90" s="283" t="n"/>
      <c r="C90" s="283" t="n"/>
      <c r="D90" s="283" t="n"/>
      <c r="E90" s="283" t="n"/>
      <c r="F90" s="283" t="n"/>
      <c r="G90" s="283" t="n"/>
      <c r="H90" s="283" t="n"/>
      <c r="I90" s="283" t="n"/>
      <c r="J90" s="283" t="n"/>
      <c r="K90" s="283" t="n"/>
      <c r="L90" s="283" t="n"/>
      <c r="M90" s="283" t="n"/>
      <c r="N90" s="380" t="n"/>
      <c r="O90" s="380" t="n"/>
      <c r="P90" s="283" t="n"/>
      <c r="Q90" s="283" t="n"/>
      <c r="R90" s="283" t="n"/>
      <c r="S90" s="283" t="n"/>
      <c r="T90" s="283" t="n"/>
      <c r="U90" s="283" t="n"/>
      <c r="V90" s="283" t="n"/>
      <c r="W90" s="283" t="n"/>
      <c r="X90" s="283" t="n"/>
      <c r="Y90" s="283" t="n"/>
      <c r="Z90" s="283" t="n"/>
    </row>
    <row r="91">
      <c r="A91" s="283" t="n"/>
      <c r="B91" s="283" t="n"/>
      <c r="C91" s="283" t="n"/>
      <c r="D91" s="283" t="n"/>
      <c r="E91" s="283" t="n"/>
      <c r="F91" s="283" t="n"/>
      <c r="G91" s="283" t="n"/>
      <c r="H91" s="283" t="n"/>
      <c r="I91" s="283" t="n"/>
      <c r="J91" s="283" t="n"/>
      <c r="K91" s="283" t="n"/>
      <c r="L91" s="283" t="n"/>
      <c r="M91" s="283" t="n"/>
      <c r="N91" s="380" t="n"/>
      <c r="O91" s="380" t="n"/>
      <c r="P91" s="283" t="n"/>
      <c r="Q91" s="283" t="n"/>
      <c r="R91" s="283" t="n"/>
      <c r="S91" s="283" t="n"/>
      <c r="T91" s="283" t="n"/>
      <c r="U91" s="283" t="n"/>
      <c r="V91" s="283" t="n"/>
      <c r="W91" s="283" t="n"/>
      <c r="X91" s="283" t="n"/>
      <c r="Y91" s="283" t="n"/>
      <c r="Z91" s="283" t="n"/>
    </row>
    <row r="92">
      <c r="A92" s="283" t="n"/>
      <c r="B92" s="283" t="n"/>
      <c r="C92" s="283" t="n"/>
      <c r="D92" s="283" t="n"/>
      <c r="E92" s="283" t="n"/>
      <c r="F92" s="283" t="n"/>
      <c r="G92" s="283" t="n"/>
      <c r="H92" s="283" t="n"/>
      <c r="I92" s="283" t="n"/>
      <c r="J92" s="283" t="n"/>
      <c r="K92" s="283" t="n"/>
      <c r="L92" s="283" t="n"/>
      <c r="M92" s="283" t="n"/>
      <c r="N92" s="380" t="n"/>
      <c r="O92" s="380" t="n"/>
      <c r="P92" s="283" t="n"/>
      <c r="Q92" s="283" t="n"/>
      <c r="R92" s="283" t="n"/>
      <c r="S92" s="283" t="n"/>
      <c r="T92" s="283" t="n"/>
      <c r="U92" s="283" t="n"/>
      <c r="V92" s="283" t="n"/>
      <c r="W92" s="283" t="n"/>
      <c r="X92" s="283" t="n"/>
      <c r="Y92" s="283" t="n"/>
      <c r="Z92" s="283" t="n"/>
    </row>
    <row r="93">
      <c r="A93" s="283" t="n"/>
      <c r="B93" s="283" t="n"/>
      <c r="C93" s="283" t="n"/>
      <c r="D93" s="283" t="n"/>
      <c r="E93" s="283" t="n"/>
      <c r="F93" s="283" t="n"/>
      <c r="G93" s="283" t="n"/>
      <c r="H93" s="283" t="n"/>
      <c r="I93" s="283" t="n"/>
      <c r="J93" s="283" t="n"/>
      <c r="K93" s="283" t="n"/>
      <c r="L93" s="283" t="n"/>
      <c r="M93" s="283" t="n"/>
      <c r="N93" s="380" t="n"/>
      <c r="O93" s="380" t="n"/>
      <c r="P93" s="283" t="n"/>
      <c r="Q93" s="283" t="n"/>
      <c r="R93" s="283" t="n"/>
      <c r="S93" s="283" t="n"/>
      <c r="T93" s="283" t="n"/>
      <c r="U93" s="283" t="n"/>
      <c r="V93" s="283" t="n"/>
      <c r="W93" s="283" t="n"/>
      <c r="X93" s="283" t="n"/>
      <c r="Y93" s="283" t="n"/>
      <c r="Z93" s="283" t="n"/>
    </row>
    <row r="94">
      <c r="A94" s="283" t="n"/>
      <c r="B94" s="283" t="n"/>
      <c r="C94" s="283" t="n"/>
      <c r="D94" s="283" t="n"/>
      <c r="E94" s="283" t="n"/>
      <c r="F94" s="283" t="n"/>
      <c r="G94" s="283" t="n"/>
      <c r="H94" s="283" t="n"/>
      <c r="I94" s="283" t="n"/>
      <c r="J94" s="283" t="n"/>
      <c r="K94" s="283" t="n"/>
      <c r="L94" s="283" t="n"/>
      <c r="M94" s="283" t="n"/>
      <c r="N94" s="380" t="n"/>
      <c r="O94" s="380" t="n"/>
      <c r="P94" s="283" t="n"/>
      <c r="Q94" s="283" t="n"/>
      <c r="R94" s="283" t="n"/>
      <c r="S94" s="283" t="n"/>
      <c r="T94" s="283" t="n"/>
      <c r="U94" s="283" t="n"/>
      <c r="V94" s="283" t="n"/>
      <c r="W94" s="283" t="n"/>
      <c r="X94" s="283" t="n"/>
      <c r="Y94" s="283" t="n"/>
      <c r="Z94" s="283" t="n"/>
    </row>
    <row r="95">
      <c r="A95" s="283" t="n"/>
      <c r="B95" s="283" t="n"/>
      <c r="C95" s="283" t="n"/>
      <c r="D95" s="283" t="n"/>
      <c r="E95" s="283" t="n"/>
      <c r="F95" s="283" t="n"/>
      <c r="G95" s="283" t="n"/>
      <c r="H95" s="283" t="n"/>
      <c r="I95" s="283" t="n"/>
      <c r="J95" s="283" t="n"/>
      <c r="K95" s="283" t="n"/>
      <c r="L95" s="283" t="n"/>
      <c r="M95" s="283" t="n"/>
      <c r="N95" s="380" t="n"/>
      <c r="O95" s="380" t="n"/>
      <c r="P95" s="283" t="n"/>
      <c r="Q95" s="283" t="n"/>
      <c r="R95" s="283" t="n"/>
      <c r="S95" s="283" t="n"/>
      <c r="T95" s="283" t="n"/>
      <c r="U95" s="283" t="n"/>
      <c r="V95" s="283" t="n"/>
      <c r="W95" s="283" t="n"/>
      <c r="X95" s="283" t="n"/>
      <c r="Y95" s="283" t="n"/>
      <c r="Z95" s="283" t="n"/>
    </row>
    <row r="96">
      <c r="A96" s="283" t="n"/>
      <c r="B96" s="283" t="n"/>
      <c r="C96" s="283" t="n"/>
      <c r="D96" s="283" t="n"/>
      <c r="E96" s="283" t="n"/>
      <c r="F96" s="283" t="n"/>
      <c r="G96" s="283" t="n"/>
      <c r="H96" s="283" t="n"/>
      <c r="I96" s="283" t="n"/>
      <c r="J96" s="283" t="n"/>
      <c r="K96" s="283" t="n"/>
      <c r="L96" s="283" t="n"/>
      <c r="M96" s="283" t="n"/>
      <c r="N96" s="380" t="n"/>
      <c r="O96" s="380" t="n"/>
      <c r="P96" s="283" t="n"/>
      <c r="Q96" s="283" t="n"/>
      <c r="R96" s="283" t="n"/>
      <c r="S96" s="283" t="n"/>
      <c r="T96" s="283" t="n"/>
      <c r="U96" s="283" t="n"/>
      <c r="V96" s="283" t="n"/>
      <c r="W96" s="283" t="n"/>
      <c r="X96" s="283" t="n"/>
      <c r="Y96" s="283" t="n"/>
      <c r="Z96" s="283" t="n"/>
    </row>
    <row r="97">
      <c r="A97" s="283" t="n"/>
      <c r="B97" s="283" t="n"/>
      <c r="C97" s="283" t="n"/>
      <c r="D97" s="283" t="n"/>
      <c r="E97" s="283" t="n"/>
      <c r="F97" s="283" t="n"/>
      <c r="G97" s="283" t="n"/>
      <c r="H97" s="283" t="n"/>
      <c r="I97" s="283" t="n"/>
      <c r="J97" s="283" t="n"/>
      <c r="K97" s="283" t="n"/>
      <c r="L97" s="283" t="n"/>
      <c r="M97" s="283" t="n"/>
      <c r="N97" s="380" t="n"/>
      <c r="O97" s="380" t="n"/>
      <c r="P97" s="283" t="n"/>
      <c r="Q97" s="283" t="n"/>
      <c r="R97" s="283" t="n"/>
      <c r="S97" s="283" t="n"/>
      <c r="T97" s="283" t="n"/>
      <c r="U97" s="283" t="n"/>
      <c r="V97" s="283" t="n"/>
      <c r="W97" s="283" t="n"/>
      <c r="X97" s="283" t="n"/>
      <c r="Y97" s="283" t="n"/>
      <c r="Z97" s="283" t="n"/>
    </row>
    <row r="98">
      <c r="A98" s="283" t="n"/>
      <c r="B98" s="283" t="n"/>
      <c r="C98" s="283" t="n"/>
      <c r="D98" s="283" t="n"/>
      <c r="E98" s="283" t="n"/>
      <c r="F98" s="283" t="n"/>
      <c r="G98" s="283" t="n"/>
      <c r="H98" s="283" t="n"/>
      <c r="I98" s="283" t="n"/>
      <c r="J98" s="283" t="n"/>
      <c r="K98" s="283" t="n"/>
      <c r="L98" s="283" t="n"/>
      <c r="M98" s="283" t="n"/>
      <c r="N98" s="380" t="n"/>
      <c r="O98" s="380" t="n"/>
      <c r="P98" s="283" t="n"/>
      <c r="Q98" s="283" t="n"/>
      <c r="R98" s="283" t="n"/>
      <c r="S98" s="283" t="n"/>
      <c r="T98" s="283" t="n"/>
      <c r="U98" s="283" t="n"/>
      <c r="V98" s="283" t="n"/>
      <c r="W98" s="283" t="n"/>
      <c r="X98" s="283" t="n"/>
      <c r="Y98" s="283" t="n"/>
      <c r="Z98" s="283" t="n"/>
    </row>
    <row r="99">
      <c r="A99" s="283" t="n"/>
      <c r="B99" s="283" t="n"/>
      <c r="C99" s="283" t="n"/>
      <c r="D99" s="283" t="n"/>
      <c r="E99" s="283" t="n"/>
      <c r="F99" s="283" t="n"/>
      <c r="G99" s="283" t="n"/>
      <c r="H99" s="283" t="n"/>
      <c r="I99" s="283" t="n"/>
      <c r="J99" s="283" t="n"/>
      <c r="K99" s="283" t="n"/>
      <c r="L99" s="283" t="n"/>
      <c r="M99" s="283" t="n"/>
      <c r="N99" s="380" t="n"/>
      <c r="O99" s="380" t="n"/>
      <c r="P99" s="283" t="n"/>
      <c r="Q99" s="283" t="n"/>
      <c r="R99" s="283" t="n"/>
      <c r="S99" s="283" t="n"/>
      <c r="T99" s="283" t="n"/>
      <c r="U99" s="283" t="n"/>
      <c r="V99" s="283" t="n"/>
      <c r="W99" s="283" t="n"/>
      <c r="X99" s="283" t="n"/>
      <c r="Y99" s="283" t="n"/>
      <c r="Z99" s="283" t="n"/>
    </row>
    <row r="100">
      <c r="A100" s="283" t="n"/>
      <c r="B100" s="283" t="n"/>
      <c r="C100" s="283" t="n"/>
      <c r="D100" s="283" t="n"/>
      <c r="E100" s="283" t="n"/>
      <c r="F100" s="283" t="n"/>
      <c r="G100" s="283" t="n"/>
      <c r="H100" s="283" t="n"/>
      <c r="I100" s="283" t="n"/>
      <c r="J100" s="283" t="n"/>
      <c r="K100" s="283" t="n"/>
      <c r="L100" s="283" t="n"/>
      <c r="M100" s="283" t="n"/>
      <c r="N100" s="380" t="n"/>
      <c r="O100" s="380" t="n"/>
      <c r="P100" s="283" t="n"/>
      <c r="Q100" s="283" t="n"/>
      <c r="R100" s="283" t="n"/>
      <c r="S100" s="283" t="n"/>
      <c r="T100" s="283" t="n"/>
      <c r="U100" s="283" t="n"/>
      <c r="V100" s="283" t="n"/>
      <c r="W100" s="283" t="n"/>
      <c r="X100" s="283" t="n"/>
      <c r="Y100" s="283" t="n"/>
      <c r="Z100" s="283" t="n"/>
    </row>
    <row r="101">
      <c r="A101" s="283" t="n"/>
      <c r="B101" s="283" t="n"/>
      <c r="C101" s="283" t="n"/>
      <c r="D101" s="283" t="n"/>
      <c r="E101" s="283" t="n"/>
      <c r="F101" s="283" t="n"/>
      <c r="G101" s="283" t="n"/>
      <c r="H101" s="283" t="n"/>
      <c r="I101" s="283" t="n"/>
      <c r="J101" s="283" t="n"/>
      <c r="K101" s="283" t="n"/>
      <c r="L101" s="283" t="n"/>
      <c r="M101" s="283" t="n"/>
      <c r="N101" s="380" t="n"/>
      <c r="O101" s="380" t="n"/>
      <c r="P101" s="283" t="n"/>
      <c r="Q101" s="283" t="n"/>
      <c r="R101" s="283" t="n"/>
      <c r="S101" s="283" t="n"/>
      <c r="T101" s="283" t="n"/>
      <c r="U101" s="283" t="n"/>
      <c r="V101" s="283" t="n"/>
      <c r="W101" s="283" t="n"/>
      <c r="X101" s="283" t="n"/>
      <c r="Y101" s="283" t="n"/>
      <c r="Z101" s="283" t="n"/>
    </row>
    <row r="102">
      <c r="A102" s="283" t="n"/>
      <c r="B102" s="283" t="n"/>
      <c r="C102" s="283" t="n"/>
      <c r="D102" s="283" t="n"/>
      <c r="E102" s="283" t="n"/>
      <c r="F102" s="283" t="n"/>
      <c r="G102" s="283" t="n"/>
      <c r="H102" s="283" t="n"/>
      <c r="I102" s="283" t="n"/>
      <c r="J102" s="283" t="n"/>
      <c r="K102" s="283" t="n"/>
      <c r="L102" s="283" t="n"/>
      <c r="M102" s="283" t="n"/>
      <c r="N102" s="380" t="n"/>
      <c r="O102" s="380" t="n"/>
      <c r="P102" s="283" t="n"/>
      <c r="Q102" s="283" t="n"/>
      <c r="R102" s="283" t="n"/>
      <c r="S102" s="283" t="n"/>
      <c r="T102" s="283" t="n"/>
      <c r="U102" s="283" t="n"/>
      <c r="V102" s="283" t="n"/>
      <c r="W102" s="283" t="n"/>
      <c r="X102" s="283" t="n"/>
      <c r="Y102" s="283" t="n"/>
      <c r="Z102" s="283" t="n"/>
    </row>
    <row r="103">
      <c r="A103" s="283" t="n"/>
      <c r="B103" s="283" t="n"/>
      <c r="C103" s="283" t="n"/>
      <c r="D103" s="283" t="n"/>
      <c r="E103" s="283" t="n"/>
      <c r="F103" s="283" t="n"/>
      <c r="G103" s="283" t="n"/>
      <c r="H103" s="283" t="n"/>
      <c r="I103" s="283" t="n"/>
      <c r="J103" s="283" t="n"/>
      <c r="K103" s="283" t="n"/>
      <c r="L103" s="283" t="n"/>
      <c r="M103" s="283" t="n"/>
      <c r="N103" s="380" t="n"/>
      <c r="O103" s="380" t="n"/>
      <c r="P103" s="283" t="n"/>
      <c r="Q103" s="283" t="n"/>
      <c r="R103" s="283" t="n"/>
      <c r="S103" s="283" t="n"/>
      <c r="T103" s="283" t="n"/>
      <c r="U103" s="283" t="n"/>
      <c r="V103" s="283" t="n"/>
      <c r="W103" s="283" t="n"/>
      <c r="X103" s="283" t="n"/>
      <c r="Y103" s="283" t="n"/>
      <c r="Z103" s="283" t="n"/>
    </row>
    <row r="104">
      <c r="A104" s="283" t="n"/>
      <c r="B104" s="283" t="n"/>
      <c r="C104" s="283" t="n"/>
      <c r="D104" s="283" t="n"/>
      <c r="E104" s="283" t="n"/>
      <c r="F104" s="283" t="n"/>
      <c r="G104" s="283" t="n"/>
      <c r="H104" s="283" t="n"/>
      <c r="I104" s="283" t="n"/>
      <c r="J104" s="283" t="n"/>
      <c r="K104" s="283" t="n"/>
      <c r="L104" s="283" t="n"/>
      <c r="M104" s="283" t="n"/>
      <c r="N104" s="380" t="n"/>
      <c r="O104" s="380" t="n"/>
      <c r="P104" s="283" t="n"/>
      <c r="Q104" s="283" t="n"/>
      <c r="R104" s="283" t="n"/>
      <c r="S104" s="283" t="n"/>
      <c r="T104" s="283" t="n"/>
      <c r="U104" s="283" t="n"/>
      <c r="V104" s="283" t="n"/>
      <c r="W104" s="283" t="n"/>
      <c r="X104" s="283" t="n"/>
      <c r="Y104" s="283" t="n"/>
      <c r="Z104" s="283" t="n"/>
    </row>
    <row r="105">
      <c r="A105" s="283" t="n"/>
      <c r="B105" s="283" t="n"/>
      <c r="C105" s="283" t="n"/>
      <c r="D105" s="283" t="n"/>
      <c r="E105" s="283" t="n"/>
      <c r="F105" s="283" t="n"/>
      <c r="G105" s="283" t="n"/>
      <c r="H105" s="283" t="n"/>
      <c r="I105" s="283" t="n"/>
      <c r="J105" s="283" t="n"/>
      <c r="K105" s="283" t="n"/>
      <c r="L105" s="283" t="n"/>
      <c r="M105" s="283" t="n"/>
      <c r="N105" s="380" t="n"/>
      <c r="O105" s="380" t="n"/>
      <c r="P105" s="283" t="n"/>
      <c r="Q105" s="283" t="n"/>
      <c r="R105" s="283" t="n"/>
      <c r="S105" s="283" t="n"/>
      <c r="T105" s="283" t="n"/>
      <c r="U105" s="283" t="n"/>
      <c r="V105" s="283" t="n"/>
      <c r="W105" s="283" t="n"/>
      <c r="X105" s="283" t="n"/>
      <c r="Y105" s="283" t="n"/>
      <c r="Z105" s="283" t="n"/>
    </row>
    <row r="106">
      <c r="A106" s="283" t="n"/>
      <c r="B106" s="283" t="n"/>
      <c r="C106" s="283" t="n"/>
      <c r="D106" s="283" t="n"/>
      <c r="E106" s="283" t="n"/>
      <c r="F106" s="283" t="n"/>
      <c r="G106" s="283" t="n"/>
      <c r="H106" s="283" t="n"/>
      <c r="I106" s="283" t="n"/>
      <c r="J106" s="283" t="n"/>
      <c r="K106" s="283" t="n"/>
      <c r="L106" s="283" t="n"/>
      <c r="M106" s="283" t="n"/>
      <c r="N106" s="380" t="n"/>
      <c r="O106" s="380" t="n"/>
      <c r="P106" s="283" t="n"/>
      <c r="Q106" s="283" t="n"/>
      <c r="R106" s="283" t="n"/>
      <c r="S106" s="283" t="n"/>
      <c r="T106" s="283" t="n"/>
      <c r="U106" s="283" t="n"/>
      <c r="V106" s="283" t="n"/>
      <c r="W106" s="283" t="n"/>
      <c r="X106" s="283" t="n"/>
      <c r="Y106" s="283" t="n"/>
      <c r="Z106" s="283" t="n"/>
    </row>
    <row r="107">
      <c r="A107" s="283" t="n"/>
      <c r="B107" s="283" t="n"/>
      <c r="C107" s="283" t="n"/>
      <c r="D107" s="283" t="n"/>
      <c r="E107" s="283" t="n"/>
      <c r="F107" s="283" t="n"/>
      <c r="G107" s="283" t="n"/>
      <c r="H107" s="283" t="n"/>
      <c r="I107" s="283" t="n"/>
      <c r="J107" s="283" t="n"/>
      <c r="K107" s="283" t="n"/>
      <c r="L107" s="283" t="n"/>
      <c r="M107" s="283" t="n"/>
      <c r="N107" s="380" t="n"/>
      <c r="O107" s="380" t="n"/>
      <c r="P107" s="283" t="n"/>
      <c r="Q107" s="283" t="n"/>
      <c r="R107" s="283" t="n"/>
      <c r="S107" s="283" t="n"/>
      <c r="T107" s="283" t="n"/>
      <c r="U107" s="283" t="n"/>
      <c r="V107" s="283" t="n"/>
      <c r="W107" s="283" t="n"/>
      <c r="X107" s="283" t="n"/>
      <c r="Y107" s="283" t="n"/>
      <c r="Z107" s="283" t="n"/>
    </row>
    <row r="108">
      <c r="A108" s="283" t="n"/>
      <c r="B108" s="283" t="n"/>
      <c r="C108" s="283" t="n"/>
      <c r="D108" s="283" t="n"/>
      <c r="E108" s="283" t="n"/>
      <c r="F108" s="283" t="n"/>
      <c r="G108" s="283" t="n"/>
      <c r="H108" s="283" t="n"/>
      <c r="I108" s="283" t="n"/>
      <c r="J108" s="283" t="n"/>
      <c r="K108" s="283" t="n"/>
      <c r="L108" s="283" t="n"/>
      <c r="M108" s="283" t="n"/>
      <c r="N108" s="380" t="n"/>
      <c r="O108" s="380" t="n"/>
      <c r="P108" s="283" t="n"/>
      <c r="Q108" s="283" t="n"/>
      <c r="R108" s="283" t="n"/>
      <c r="S108" s="283" t="n"/>
      <c r="T108" s="283" t="n"/>
      <c r="U108" s="283" t="n"/>
      <c r="V108" s="283" t="n"/>
      <c r="W108" s="283" t="n"/>
      <c r="X108" s="283" t="n"/>
      <c r="Y108" s="283" t="n"/>
      <c r="Z108" s="283" t="n"/>
    </row>
    <row r="109">
      <c r="A109" s="283" t="n"/>
      <c r="B109" s="283" t="n"/>
      <c r="C109" s="283" t="n"/>
      <c r="D109" s="283" t="n"/>
      <c r="E109" s="283" t="n"/>
      <c r="F109" s="283" t="n"/>
      <c r="G109" s="283" t="n"/>
      <c r="H109" s="283" t="n"/>
      <c r="I109" s="283" t="n"/>
      <c r="J109" s="283" t="n"/>
      <c r="K109" s="283" t="n"/>
      <c r="L109" s="283" t="n"/>
      <c r="M109" s="283" t="n"/>
      <c r="N109" s="380" t="n"/>
      <c r="O109" s="380" t="n"/>
      <c r="P109" s="283" t="n"/>
      <c r="Q109" s="283" t="n"/>
      <c r="R109" s="283" t="n"/>
      <c r="S109" s="283" t="n"/>
      <c r="T109" s="283" t="n"/>
      <c r="U109" s="283" t="n"/>
      <c r="V109" s="283" t="n"/>
      <c r="W109" s="283" t="n"/>
      <c r="X109" s="283" t="n"/>
      <c r="Y109" s="283" t="n"/>
      <c r="Z109" s="283" t="n"/>
    </row>
    <row r="110">
      <c r="A110" s="283" t="n"/>
      <c r="B110" s="283" t="n"/>
      <c r="C110" s="283" t="n"/>
      <c r="D110" s="283" t="n"/>
      <c r="E110" s="283" t="n"/>
      <c r="F110" s="283" t="n"/>
      <c r="G110" s="283" t="n"/>
      <c r="H110" s="283" t="n"/>
      <c r="I110" s="283" t="n"/>
      <c r="J110" s="283" t="n"/>
      <c r="K110" s="283" t="n"/>
      <c r="L110" s="283" t="n"/>
      <c r="M110" s="283" t="n"/>
      <c r="N110" s="380" t="n"/>
      <c r="O110" s="380" t="n"/>
      <c r="P110" s="283" t="n"/>
      <c r="Q110" s="283" t="n"/>
      <c r="R110" s="283" t="n"/>
      <c r="S110" s="283" t="n"/>
      <c r="T110" s="283" t="n"/>
      <c r="U110" s="283" t="n"/>
      <c r="V110" s="283" t="n"/>
      <c r="W110" s="283" t="n"/>
      <c r="X110" s="283" t="n"/>
      <c r="Y110" s="283" t="n"/>
      <c r="Z110" s="283" t="n"/>
    </row>
    <row r="111">
      <c r="A111" s="283" t="n"/>
      <c r="B111" s="283" t="n"/>
      <c r="C111" s="283" t="n"/>
      <c r="D111" s="283" t="n"/>
      <c r="E111" s="283" t="n"/>
      <c r="F111" s="283" t="n"/>
      <c r="G111" s="283" t="n"/>
      <c r="H111" s="283" t="n"/>
      <c r="I111" s="283" t="n"/>
      <c r="J111" s="283" t="n"/>
      <c r="K111" s="283" t="n"/>
      <c r="L111" s="283" t="n"/>
      <c r="M111" s="283" t="n"/>
      <c r="N111" s="380" t="n"/>
      <c r="O111" s="380" t="n"/>
      <c r="P111" s="283" t="n"/>
      <c r="Q111" s="283" t="n"/>
      <c r="R111" s="283" t="n"/>
      <c r="S111" s="283" t="n"/>
      <c r="T111" s="283" t="n"/>
      <c r="U111" s="283" t="n"/>
      <c r="V111" s="283" t="n"/>
      <c r="W111" s="283" t="n"/>
      <c r="X111" s="283" t="n"/>
      <c r="Y111" s="283" t="n"/>
      <c r="Z111" s="283" t="n"/>
    </row>
    <row r="112">
      <c r="A112" s="283" t="n"/>
      <c r="B112" s="283" t="n"/>
      <c r="C112" s="283" t="n"/>
      <c r="D112" s="283" t="n"/>
      <c r="E112" s="283" t="n"/>
      <c r="F112" s="283" t="n"/>
      <c r="G112" s="283" t="n"/>
      <c r="H112" s="283" t="n"/>
      <c r="I112" s="283" t="n"/>
      <c r="J112" s="283" t="n"/>
      <c r="K112" s="283" t="n"/>
      <c r="L112" s="283" t="n"/>
      <c r="M112" s="283" t="n"/>
      <c r="N112" s="380" t="n"/>
      <c r="O112" s="380" t="n"/>
      <c r="P112" s="283" t="n"/>
      <c r="Q112" s="283" t="n"/>
      <c r="R112" s="283" t="n"/>
      <c r="S112" s="283" t="n"/>
      <c r="T112" s="283" t="n"/>
      <c r="U112" s="283" t="n"/>
      <c r="V112" s="283" t="n"/>
      <c r="W112" s="283" t="n"/>
      <c r="X112" s="283" t="n"/>
      <c r="Y112" s="283" t="n"/>
      <c r="Z112" s="283" t="n"/>
    </row>
    <row r="113">
      <c r="A113" s="283" t="n"/>
      <c r="B113" s="283" t="n"/>
      <c r="C113" s="283" t="n"/>
      <c r="D113" s="283" t="n"/>
      <c r="E113" s="283" t="n"/>
      <c r="F113" s="283" t="n"/>
      <c r="G113" s="283" t="n"/>
      <c r="H113" s="283" t="n"/>
      <c r="I113" s="283" t="n"/>
      <c r="J113" s="283" t="n"/>
      <c r="K113" s="283" t="n"/>
      <c r="L113" s="283" t="n"/>
      <c r="M113" s="283" t="n"/>
      <c r="N113" s="380" t="n"/>
      <c r="O113" s="380" t="n"/>
      <c r="P113" s="283" t="n"/>
      <c r="Q113" s="283" t="n"/>
      <c r="R113" s="283" t="n"/>
      <c r="S113" s="283" t="n"/>
      <c r="T113" s="283" t="n"/>
      <c r="U113" s="283" t="n"/>
      <c r="V113" s="283" t="n"/>
      <c r="W113" s="283" t="n"/>
      <c r="X113" s="283" t="n"/>
      <c r="Y113" s="283" t="n"/>
      <c r="Z113" s="283" t="n"/>
    </row>
    <row r="114">
      <c r="A114" s="283" t="n"/>
      <c r="B114" s="283" t="n"/>
      <c r="C114" s="283" t="n"/>
      <c r="D114" s="283" t="n"/>
      <c r="E114" s="283" t="n"/>
      <c r="F114" s="283" t="n"/>
      <c r="G114" s="283" t="n"/>
      <c r="H114" s="283" t="n"/>
      <c r="I114" s="283" t="n"/>
      <c r="J114" s="283" t="n"/>
      <c r="K114" s="283" t="n"/>
      <c r="L114" s="283" t="n"/>
      <c r="M114" s="283" t="n"/>
      <c r="N114" s="380" t="n"/>
      <c r="O114" s="380" t="n"/>
      <c r="P114" s="283" t="n"/>
      <c r="Q114" s="283" t="n"/>
      <c r="R114" s="283" t="n"/>
      <c r="S114" s="283" t="n"/>
      <c r="T114" s="283" t="n"/>
      <c r="U114" s="283" t="n"/>
      <c r="V114" s="283" t="n"/>
      <c r="W114" s="283" t="n"/>
      <c r="X114" s="283" t="n"/>
      <c r="Y114" s="283" t="n"/>
      <c r="Z114" s="283" t="n"/>
    </row>
    <row r="115">
      <c r="A115" s="283" t="n"/>
      <c r="B115" s="283" t="n"/>
      <c r="C115" s="283" t="n"/>
      <c r="D115" s="283" t="n"/>
      <c r="E115" s="283" t="n"/>
      <c r="F115" s="283" t="n"/>
      <c r="G115" s="283" t="n"/>
      <c r="H115" s="283" t="n"/>
      <c r="I115" s="283" t="n"/>
      <c r="J115" s="283" t="n"/>
      <c r="K115" s="283" t="n"/>
      <c r="L115" s="283" t="n"/>
      <c r="M115" s="283" t="n"/>
      <c r="N115" s="380" t="n"/>
      <c r="O115" s="380" t="n"/>
      <c r="P115" s="283" t="n"/>
      <c r="Q115" s="283" t="n"/>
      <c r="R115" s="283" t="n"/>
      <c r="S115" s="283" t="n"/>
      <c r="T115" s="283" t="n"/>
      <c r="U115" s="283" t="n"/>
      <c r="V115" s="283" t="n"/>
      <c r="W115" s="283" t="n"/>
      <c r="X115" s="283" t="n"/>
      <c r="Y115" s="283" t="n"/>
      <c r="Z115" s="283" t="n"/>
    </row>
    <row r="116">
      <c r="A116" s="283" t="n"/>
      <c r="B116" s="283" t="n"/>
      <c r="C116" s="283" t="n"/>
      <c r="D116" s="283" t="n"/>
      <c r="E116" s="283" t="n"/>
      <c r="F116" s="283" t="n"/>
      <c r="G116" s="283" t="n"/>
      <c r="H116" s="283" t="n"/>
      <c r="I116" s="283" t="n"/>
      <c r="J116" s="283" t="n"/>
      <c r="K116" s="283" t="n"/>
      <c r="L116" s="283" t="n"/>
      <c r="M116" s="283" t="n"/>
      <c r="N116" s="380" t="n"/>
      <c r="O116" s="380" t="n"/>
      <c r="P116" s="283" t="n"/>
      <c r="Q116" s="283" t="n"/>
      <c r="R116" s="283" t="n"/>
      <c r="S116" s="283" t="n"/>
      <c r="T116" s="283" t="n"/>
      <c r="U116" s="283" t="n"/>
      <c r="V116" s="283" t="n"/>
      <c r="W116" s="283" t="n"/>
      <c r="X116" s="283" t="n"/>
      <c r="Y116" s="283" t="n"/>
      <c r="Z116" s="283" t="n"/>
    </row>
    <row r="117">
      <c r="A117" s="283" t="n"/>
      <c r="B117" s="283" t="n"/>
      <c r="C117" s="283" t="n"/>
      <c r="D117" s="283" t="n"/>
      <c r="E117" s="283" t="n"/>
      <c r="F117" s="283" t="n"/>
      <c r="G117" s="283" t="n"/>
      <c r="H117" s="283" t="n"/>
      <c r="I117" s="283" t="n"/>
      <c r="J117" s="283" t="n"/>
      <c r="K117" s="283" t="n"/>
      <c r="L117" s="283" t="n"/>
      <c r="M117" s="283" t="n"/>
      <c r="N117" s="380" t="n"/>
      <c r="O117" s="380" t="n"/>
      <c r="P117" s="283" t="n"/>
      <c r="Q117" s="283" t="n"/>
      <c r="R117" s="283" t="n"/>
      <c r="S117" s="283" t="n"/>
      <c r="T117" s="283" t="n"/>
      <c r="U117" s="283" t="n"/>
      <c r="V117" s="283" t="n"/>
      <c r="W117" s="283" t="n"/>
      <c r="X117" s="283" t="n"/>
      <c r="Y117" s="283" t="n"/>
      <c r="Z117" s="283" t="n"/>
    </row>
    <row r="118">
      <c r="A118" s="283" t="n"/>
      <c r="B118" s="283" t="n"/>
      <c r="C118" s="283" t="n"/>
      <c r="D118" s="283" t="n"/>
      <c r="E118" s="283" t="n"/>
      <c r="F118" s="283" t="n"/>
      <c r="G118" s="283" t="n"/>
      <c r="H118" s="283" t="n"/>
      <c r="I118" s="283" t="n"/>
      <c r="J118" s="283" t="n"/>
      <c r="K118" s="283" t="n"/>
      <c r="L118" s="283" t="n"/>
      <c r="M118" s="283" t="n"/>
      <c r="N118" s="380" t="n"/>
      <c r="O118" s="380" t="n"/>
      <c r="P118" s="283" t="n"/>
      <c r="Q118" s="283" t="n"/>
      <c r="R118" s="283" t="n"/>
      <c r="S118" s="283" t="n"/>
      <c r="T118" s="283" t="n"/>
      <c r="U118" s="283" t="n"/>
      <c r="V118" s="283" t="n"/>
      <c r="W118" s="283" t="n"/>
      <c r="X118" s="283" t="n"/>
      <c r="Y118" s="283" t="n"/>
      <c r="Z118" s="283" t="n"/>
    </row>
    <row r="119">
      <c r="A119" s="283" t="n"/>
      <c r="B119" s="283" t="n"/>
      <c r="C119" s="283" t="n"/>
      <c r="D119" s="283" t="n"/>
      <c r="E119" s="283" t="n"/>
      <c r="F119" s="283" t="n"/>
      <c r="G119" s="283" t="n"/>
      <c r="H119" s="283" t="n"/>
      <c r="I119" s="283" t="n"/>
      <c r="J119" s="283" t="n"/>
      <c r="K119" s="283" t="n"/>
      <c r="L119" s="283" t="n"/>
      <c r="M119" s="283" t="n"/>
      <c r="N119" s="380" t="n"/>
      <c r="O119" s="380" t="n"/>
      <c r="P119" s="283" t="n"/>
      <c r="Q119" s="283" t="n"/>
      <c r="R119" s="283" t="n"/>
      <c r="S119" s="283" t="n"/>
      <c r="T119" s="283" t="n"/>
      <c r="U119" s="283" t="n"/>
      <c r="V119" s="283" t="n"/>
      <c r="W119" s="283" t="n"/>
      <c r="X119" s="283" t="n"/>
      <c r="Y119" s="283" t="n"/>
      <c r="Z119" s="283" t="n"/>
    </row>
    <row r="120">
      <c r="A120" s="283" t="n"/>
      <c r="B120" s="283" t="n"/>
      <c r="C120" s="283" t="n"/>
      <c r="D120" s="283" t="n"/>
      <c r="E120" s="283" t="n"/>
      <c r="F120" s="283" t="n"/>
      <c r="G120" s="283" t="n"/>
      <c r="H120" s="283" t="n"/>
      <c r="I120" s="283" t="n"/>
      <c r="J120" s="283" t="n"/>
      <c r="K120" s="283" t="n"/>
      <c r="L120" s="283" t="n"/>
      <c r="M120" s="283" t="n"/>
      <c r="N120" s="380" t="n"/>
      <c r="O120" s="380" t="n"/>
      <c r="P120" s="283" t="n"/>
      <c r="Q120" s="283" t="n"/>
      <c r="R120" s="283" t="n"/>
      <c r="S120" s="283" t="n"/>
      <c r="T120" s="283" t="n"/>
      <c r="U120" s="283" t="n"/>
      <c r="V120" s="283" t="n"/>
      <c r="W120" s="283" t="n"/>
      <c r="X120" s="283" t="n"/>
      <c r="Y120" s="283" t="n"/>
      <c r="Z120" s="283" t="n"/>
    </row>
    <row r="121">
      <c r="A121" s="283" t="n"/>
      <c r="B121" s="283" t="n"/>
      <c r="C121" s="283" t="n"/>
      <c r="D121" s="283" t="n"/>
      <c r="E121" s="283" t="n"/>
      <c r="F121" s="283" t="n"/>
      <c r="G121" s="283" t="n"/>
      <c r="H121" s="283" t="n"/>
      <c r="I121" s="283" t="n"/>
      <c r="J121" s="283" t="n"/>
      <c r="K121" s="283" t="n"/>
      <c r="L121" s="283" t="n"/>
      <c r="M121" s="283" t="n"/>
      <c r="N121" s="380" t="n"/>
      <c r="O121" s="380" t="n"/>
      <c r="P121" s="283" t="n"/>
      <c r="Q121" s="283" t="n"/>
      <c r="R121" s="283" t="n"/>
      <c r="S121" s="283" t="n"/>
      <c r="T121" s="283" t="n"/>
      <c r="U121" s="283" t="n"/>
      <c r="V121" s="283" t="n"/>
      <c r="W121" s="283" t="n"/>
      <c r="X121" s="283" t="n"/>
      <c r="Y121" s="283" t="n"/>
      <c r="Z121" s="283" t="n"/>
    </row>
    <row r="122">
      <c r="A122" s="283" t="n"/>
      <c r="B122" s="283" t="n"/>
      <c r="C122" s="283" t="n"/>
      <c r="D122" s="283" t="n"/>
      <c r="E122" s="283" t="n"/>
      <c r="F122" s="283" t="n"/>
      <c r="G122" s="283" t="n"/>
      <c r="H122" s="283" t="n"/>
      <c r="I122" s="283" t="n"/>
      <c r="J122" s="283" t="n"/>
      <c r="K122" s="283" t="n"/>
      <c r="L122" s="283" t="n"/>
      <c r="M122" s="283" t="n"/>
      <c r="N122" s="380" t="n"/>
      <c r="O122" s="380" t="n"/>
      <c r="P122" s="283" t="n"/>
      <c r="Q122" s="283" t="n"/>
      <c r="R122" s="283" t="n"/>
      <c r="S122" s="283" t="n"/>
      <c r="T122" s="283" t="n"/>
      <c r="U122" s="283" t="n"/>
      <c r="V122" s="283" t="n"/>
      <c r="W122" s="283" t="n"/>
      <c r="X122" s="283" t="n"/>
      <c r="Y122" s="283" t="n"/>
      <c r="Z122" s="283" t="n"/>
    </row>
    <row r="123">
      <c r="A123" s="283" t="n"/>
      <c r="B123" s="283" t="n"/>
      <c r="C123" s="283" t="n"/>
      <c r="D123" s="283" t="n"/>
      <c r="E123" s="283" t="n"/>
      <c r="F123" s="283" t="n"/>
      <c r="G123" s="283" t="n"/>
      <c r="H123" s="283" t="n"/>
      <c r="I123" s="283" t="n"/>
      <c r="J123" s="283" t="n"/>
      <c r="K123" s="283" t="n"/>
      <c r="L123" s="283" t="n"/>
      <c r="M123" s="283" t="n"/>
      <c r="N123" s="380" t="n"/>
      <c r="O123" s="380" t="n"/>
      <c r="P123" s="283" t="n"/>
      <c r="Q123" s="283" t="n"/>
      <c r="R123" s="283" t="n"/>
      <c r="S123" s="283" t="n"/>
      <c r="T123" s="283" t="n"/>
      <c r="U123" s="283" t="n"/>
      <c r="V123" s="283" t="n"/>
      <c r="W123" s="283" t="n"/>
      <c r="X123" s="283" t="n"/>
      <c r="Y123" s="283" t="n"/>
      <c r="Z123" s="283" t="n"/>
    </row>
    <row r="124">
      <c r="A124" s="283" t="n"/>
      <c r="B124" s="283" t="n"/>
      <c r="C124" s="283" t="n"/>
      <c r="D124" s="283" t="n"/>
      <c r="E124" s="283" t="n"/>
      <c r="F124" s="283" t="n"/>
      <c r="G124" s="283" t="n"/>
      <c r="H124" s="283" t="n"/>
      <c r="I124" s="283" t="n"/>
      <c r="J124" s="283" t="n"/>
      <c r="K124" s="283" t="n"/>
      <c r="L124" s="283" t="n"/>
      <c r="M124" s="283" t="n"/>
      <c r="N124" s="380" t="n"/>
      <c r="O124" s="380" t="n"/>
      <c r="P124" s="283" t="n"/>
      <c r="Q124" s="283" t="n"/>
      <c r="R124" s="283" t="n"/>
      <c r="S124" s="283" t="n"/>
      <c r="T124" s="283" t="n"/>
      <c r="U124" s="283" t="n"/>
      <c r="V124" s="283" t="n"/>
      <c r="W124" s="283" t="n"/>
      <c r="X124" s="283" t="n"/>
      <c r="Y124" s="283" t="n"/>
      <c r="Z124" s="283" t="n"/>
    </row>
    <row r="125">
      <c r="A125" s="283" t="n"/>
      <c r="B125" s="283" t="n"/>
      <c r="C125" s="283" t="n"/>
      <c r="D125" s="283" t="n"/>
      <c r="E125" s="283" t="n"/>
      <c r="F125" s="283" t="n"/>
      <c r="G125" s="283" t="n"/>
      <c r="H125" s="283" t="n"/>
      <c r="I125" s="283" t="n"/>
      <c r="J125" s="283" t="n"/>
      <c r="K125" s="283" t="n"/>
      <c r="L125" s="283" t="n"/>
      <c r="M125" s="283" t="n"/>
      <c r="N125" s="380" t="n"/>
      <c r="O125" s="380" t="n"/>
      <c r="P125" s="283" t="n"/>
      <c r="Q125" s="283" t="n"/>
      <c r="R125" s="283" t="n"/>
      <c r="S125" s="283" t="n"/>
      <c r="T125" s="283" t="n"/>
      <c r="U125" s="283" t="n"/>
      <c r="V125" s="283" t="n"/>
      <c r="W125" s="283" t="n"/>
      <c r="X125" s="283" t="n"/>
      <c r="Y125" s="283" t="n"/>
      <c r="Z125" s="283" t="n"/>
    </row>
    <row r="126">
      <c r="A126" s="283" t="n"/>
      <c r="B126" s="283" t="n"/>
      <c r="C126" s="283" t="n"/>
      <c r="D126" s="283" t="n"/>
      <c r="E126" s="283" t="n"/>
      <c r="F126" s="283" t="n"/>
      <c r="G126" s="283" t="n"/>
      <c r="H126" s="283" t="n"/>
      <c r="I126" s="283" t="n"/>
      <c r="J126" s="283" t="n"/>
      <c r="K126" s="283" t="n"/>
      <c r="L126" s="283" t="n"/>
      <c r="M126" s="283" t="n"/>
      <c r="N126" s="380" t="n"/>
      <c r="O126" s="380" t="n"/>
      <c r="P126" s="283" t="n"/>
      <c r="Q126" s="283" t="n"/>
      <c r="R126" s="283" t="n"/>
      <c r="S126" s="283" t="n"/>
      <c r="T126" s="283" t="n"/>
      <c r="U126" s="283" t="n"/>
      <c r="V126" s="283" t="n"/>
      <c r="W126" s="283" t="n"/>
      <c r="X126" s="283" t="n"/>
      <c r="Y126" s="283" t="n"/>
      <c r="Z126" s="283" t="n"/>
    </row>
    <row r="127">
      <c r="A127" s="283" t="n"/>
      <c r="B127" s="283" t="n"/>
      <c r="C127" s="283" t="n"/>
      <c r="D127" s="283" t="n"/>
      <c r="E127" s="283" t="n"/>
      <c r="F127" s="283" t="n"/>
      <c r="G127" s="283" t="n"/>
      <c r="H127" s="283" t="n"/>
      <c r="I127" s="283" t="n"/>
      <c r="J127" s="283" t="n"/>
      <c r="K127" s="283" t="n"/>
      <c r="L127" s="283" t="n"/>
      <c r="M127" s="283" t="n"/>
      <c r="N127" s="380" t="n"/>
      <c r="O127" s="380" t="n"/>
      <c r="P127" s="283" t="n"/>
      <c r="Q127" s="283" t="n"/>
      <c r="R127" s="283" t="n"/>
      <c r="S127" s="283" t="n"/>
      <c r="T127" s="283" t="n"/>
      <c r="U127" s="283" t="n"/>
      <c r="V127" s="283" t="n"/>
      <c r="W127" s="283" t="n"/>
      <c r="X127" s="283" t="n"/>
      <c r="Y127" s="283" t="n"/>
      <c r="Z127" s="283" t="n"/>
    </row>
    <row r="128">
      <c r="A128" s="283" t="n"/>
      <c r="B128" s="283" t="n"/>
      <c r="C128" s="283" t="n"/>
      <c r="D128" s="283" t="n"/>
      <c r="E128" s="283" t="n"/>
      <c r="F128" s="283" t="n"/>
      <c r="G128" s="283" t="n"/>
      <c r="H128" s="283" t="n"/>
      <c r="I128" s="283" t="n"/>
      <c r="J128" s="283" t="n"/>
      <c r="K128" s="283" t="n"/>
      <c r="L128" s="283" t="n"/>
      <c r="M128" s="283" t="n"/>
      <c r="N128" s="380" t="n"/>
      <c r="O128" s="380" t="n"/>
      <c r="P128" s="283" t="n"/>
      <c r="Q128" s="283" t="n"/>
      <c r="R128" s="283" t="n"/>
      <c r="S128" s="283" t="n"/>
      <c r="T128" s="283" t="n"/>
      <c r="U128" s="283" t="n"/>
      <c r="V128" s="283" t="n"/>
      <c r="W128" s="283" t="n"/>
      <c r="X128" s="283" t="n"/>
      <c r="Y128" s="283" t="n"/>
      <c r="Z128" s="283" t="n"/>
    </row>
    <row r="129">
      <c r="A129" s="283" t="n"/>
      <c r="B129" s="283" t="n"/>
      <c r="C129" s="283" t="n"/>
      <c r="D129" s="283" t="n"/>
      <c r="E129" s="283" t="n"/>
      <c r="F129" s="283" t="n"/>
      <c r="G129" s="283" t="n"/>
      <c r="H129" s="283" t="n"/>
      <c r="I129" s="283" t="n"/>
      <c r="J129" s="283" t="n"/>
      <c r="K129" s="283" t="n"/>
      <c r="L129" s="283" t="n"/>
      <c r="M129" s="283" t="n"/>
      <c r="N129" s="380" t="n"/>
      <c r="O129" s="380" t="n"/>
      <c r="P129" s="283" t="n"/>
      <c r="Q129" s="283" t="n"/>
      <c r="R129" s="283" t="n"/>
      <c r="S129" s="283" t="n"/>
      <c r="T129" s="283" t="n"/>
      <c r="U129" s="283" t="n"/>
      <c r="V129" s="283" t="n"/>
      <c r="W129" s="283" t="n"/>
      <c r="X129" s="283" t="n"/>
      <c r="Y129" s="283" t="n"/>
      <c r="Z129" s="283" t="n"/>
    </row>
    <row r="130">
      <c r="A130" s="283" t="n"/>
      <c r="B130" s="283" t="n"/>
      <c r="C130" s="283" t="n"/>
      <c r="D130" s="283" t="n"/>
      <c r="E130" s="283" t="n"/>
      <c r="F130" s="283" t="n"/>
      <c r="G130" s="283" t="n"/>
      <c r="H130" s="283" t="n"/>
      <c r="I130" s="283" t="n"/>
      <c r="J130" s="283" t="n"/>
      <c r="K130" s="283" t="n"/>
      <c r="L130" s="283" t="n"/>
      <c r="M130" s="283" t="n"/>
      <c r="N130" s="380" t="n"/>
      <c r="O130" s="380" t="n"/>
      <c r="P130" s="283" t="n"/>
      <c r="Q130" s="283" t="n"/>
      <c r="R130" s="283" t="n"/>
      <c r="S130" s="283" t="n"/>
      <c r="T130" s="283" t="n"/>
      <c r="U130" s="283" t="n"/>
      <c r="V130" s="283" t="n"/>
      <c r="W130" s="283" t="n"/>
      <c r="X130" s="283" t="n"/>
      <c r="Y130" s="283" t="n"/>
      <c r="Z130" s="283" t="n"/>
    </row>
    <row r="131">
      <c r="A131" s="283" t="n"/>
      <c r="B131" s="283" t="n"/>
      <c r="C131" s="283" t="n"/>
      <c r="D131" s="283" t="n"/>
      <c r="E131" s="283" t="n"/>
      <c r="F131" s="283" t="n"/>
      <c r="G131" s="283" t="n"/>
      <c r="H131" s="283" t="n"/>
      <c r="I131" s="283" t="n"/>
      <c r="J131" s="283" t="n"/>
      <c r="K131" s="283" t="n"/>
      <c r="L131" s="283" t="n"/>
      <c r="M131" s="283" t="n"/>
      <c r="N131" s="380" t="n"/>
      <c r="O131" s="380" t="n"/>
      <c r="P131" s="283" t="n"/>
      <c r="Q131" s="283" t="n"/>
      <c r="R131" s="283" t="n"/>
      <c r="S131" s="283" t="n"/>
      <c r="T131" s="283" t="n"/>
      <c r="U131" s="283" t="n"/>
      <c r="V131" s="283" t="n"/>
      <c r="W131" s="283" t="n"/>
      <c r="X131" s="283" t="n"/>
      <c r="Y131" s="283" t="n"/>
      <c r="Z131" s="283" t="n"/>
    </row>
    <row r="132">
      <c r="A132" s="283" t="n"/>
      <c r="B132" s="283" t="n"/>
      <c r="C132" s="283" t="n"/>
      <c r="D132" s="283" t="n"/>
      <c r="E132" s="283" t="n"/>
      <c r="F132" s="283" t="n"/>
      <c r="G132" s="283" t="n"/>
      <c r="H132" s="283" t="n"/>
      <c r="I132" s="283" t="n"/>
      <c r="J132" s="283" t="n"/>
      <c r="K132" s="283" t="n"/>
      <c r="L132" s="283" t="n"/>
      <c r="M132" s="283" t="n"/>
      <c r="N132" s="380" t="n"/>
      <c r="O132" s="380" t="n"/>
      <c r="P132" s="283" t="n"/>
      <c r="Q132" s="283" t="n"/>
      <c r="R132" s="283" t="n"/>
      <c r="S132" s="283" t="n"/>
      <c r="T132" s="283" t="n"/>
      <c r="U132" s="283" t="n"/>
      <c r="V132" s="283" t="n"/>
      <c r="W132" s="283" t="n"/>
      <c r="X132" s="283" t="n"/>
      <c r="Y132" s="283" t="n"/>
      <c r="Z132" s="283" t="n"/>
    </row>
    <row r="133">
      <c r="A133" s="283" t="n"/>
      <c r="B133" s="283" t="n"/>
      <c r="C133" s="283" t="n"/>
      <c r="D133" s="283" t="n"/>
      <c r="E133" s="283" t="n"/>
      <c r="F133" s="283" t="n"/>
      <c r="G133" s="283" t="n"/>
      <c r="H133" s="283" t="n"/>
      <c r="I133" s="283" t="n"/>
      <c r="J133" s="283" t="n"/>
      <c r="K133" s="283" t="n"/>
      <c r="L133" s="283" t="n"/>
      <c r="M133" s="283" t="n"/>
      <c r="N133" s="380" t="n"/>
      <c r="O133" s="380" t="n"/>
      <c r="P133" s="283" t="n"/>
      <c r="Q133" s="283" t="n"/>
      <c r="R133" s="283" t="n"/>
      <c r="S133" s="283" t="n"/>
      <c r="T133" s="283" t="n"/>
      <c r="U133" s="283" t="n"/>
      <c r="V133" s="283" t="n"/>
      <c r="W133" s="283" t="n"/>
      <c r="X133" s="283" t="n"/>
      <c r="Y133" s="283" t="n"/>
      <c r="Z133" s="283" t="n"/>
    </row>
    <row r="134">
      <c r="A134" s="283" t="n"/>
      <c r="B134" s="283" t="n"/>
      <c r="C134" s="283" t="n"/>
      <c r="D134" s="283" t="n"/>
      <c r="E134" s="283" t="n"/>
      <c r="F134" s="283" t="n"/>
      <c r="G134" s="283" t="n"/>
      <c r="H134" s="283" t="n"/>
      <c r="I134" s="283" t="n"/>
      <c r="J134" s="283" t="n"/>
      <c r="K134" s="283" t="n"/>
      <c r="L134" s="283" t="n"/>
      <c r="M134" s="283" t="n"/>
      <c r="N134" s="380" t="n"/>
      <c r="O134" s="380" t="n"/>
      <c r="P134" s="283" t="n"/>
      <c r="Q134" s="283" t="n"/>
      <c r="R134" s="283" t="n"/>
      <c r="S134" s="283" t="n"/>
      <c r="T134" s="283" t="n"/>
      <c r="U134" s="283" t="n"/>
      <c r="V134" s="283" t="n"/>
      <c r="W134" s="283" t="n"/>
      <c r="X134" s="283" t="n"/>
      <c r="Y134" s="283" t="n"/>
      <c r="Z134" s="283" t="n"/>
    </row>
    <row r="135">
      <c r="A135" s="283" t="n"/>
      <c r="B135" s="283" t="n"/>
      <c r="C135" s="283" t="n"/>
      <c r="D135" s="283" t="n"/>
      <c r="E135" s="283" t="n"/>
      <c r="F135" s="283" t="n"/>
      <c r="G135" s="283" t="n"/>
      <c r="H135" s="283" t="n"/>
      <c r="I135" s="283" t="n"/>
      <c r="J135" s="283" t="n"/>
      <c r="K135" s="283" t="n"/>
      <c r="L135" s="283" t="n"/>
      <c r="M135" s="283" t="n"/>
      <c r="N135" s="380" t="n"/>
      <c r="O135" s="380" t="n"/>
      <c r="P135" s="283" t="n"/>
      <c r="Q135" s="283" t="n"/>
      <c r="R135" s="283" t="n"/>
      <c r="S135" s="283" t="n"/>
      <c r="T135" s="283" t="n"/>
      <c r="U135" s="283" t="n"/>
      <c r="V135" s="283" t="n"/>
      <c r="W135" s="283" t="n"/>
      <c r="X135" s="283" t="n"/>
      <c r="Y135" s="283" t="n"/>
      <c r="Z135" s="283" t="n"/>
    </row>
    <row r="136">
      <c r="A136" s="283" t="n"/>
      <c r="B136" s="283" t="n"/>
      <c r="C136" s="283" t="n"/>
      <c r="D136" s="283" t="n"/>
      <c r="E136" s="283" t="n"/>
      <c r="F136" s="283" t="n"/>
      <c r="G136" s="283" t="n"/>
      <c r="H136" s="283" t="n"/>
      <c r="I136" s="283" t="n"/>
      <c r="J136" s="283" t="n"/>
      <c r="K136" s="283" t="n"/>
      <c r="L136" s="283" t="n"/>
      <c r="M136" s="283" t="n"/>
      <c r="N136" s="380" t="n"/>
      <c r="O136" s="380" t="n"/>
      <c r="P136" s="283" t="n"/>
      <c r="Q136" s="283" t="n"/>
      <c r="R136" s="283" t="n"/>
      <c r="S136" s="283" t="n"/>
      <c r="T136" s="283" t="n"/>
      <c r="U136" s="283" t="n"/>
      <c r="V136" s="283" t="n"/>
      <c r="W136" s="283" t="n"/>
      <c r="X136" s="283" t="n"/>
      <c r="Y136" s="283" t="n"/>
      <c r="Z136" s="283" t="n"/>
    </row>
    <row r="137">
      <c r="A137" s="283" t="n"/>
      <c r="B137" s="283" t="n"/>
      <c r="C137" s="283" t="n"/>
      <c r="D137" s="283" t="n"/>
      <c r="E137" s="283" t="n"/>
      <c r="F137" s="283" t="n"/>
      <c r="G137" s="283" t="n"/>
      <c r="H137" s="283" t="n"/>
      <c r="I137" s="283" t="n"/>
      <c r="J137" s="283" t="n"/>
      <c r="K137" s="283" t="n"/>
      <c r="L137" s="283" t="n"/>
      <c r="M137" s="283" t="n"/>
      <c r="N137" s="380" t="n"/>
      <c r="O137" s="380" t="n"/>
      <c r="P137" s="283" t="n"/>
      <c r="Q137" s="283" t="n"/>
      <c r="R137" s="283" t="n"/>
      <c r="S137" s="283" t="n"/>
      <c r="T137" s="283" t="n"/>
      <c r="U137" s="283" t="n"/>
      <c r="V137" s="283" t="n"/>
      <c r="W137" s="283" t="n"/>
      <c r="X137" s="283" t="n"/>
      <c r="Y137" s="283" t="n"/>
      <c r="Z137" s="283" t="n"/>
    </row>
    <row r="138">
      <c r="A138" s="283" t="n"/>
      <c r="B138" s="283" t="n"/>
      <c r="C138" s="283" t="n"/>
      <c r="D138" s="283" t="n"/>
      <c r="E138" s="283" t="n"/>
      <c r="F138" s="283" t="n"/>
      <c r="G138" s="283" t="n"/>
      <c r="H138" s="283" t="n"/>
      <c r="I138" s="283" t="n"/>
      <c r="J138" s="283" t="n"/>
      <c r="K138" s="283" t="n"/>
      <c r="L138" s="283" t="n"/>
      <c r="M138" s="283" t="n"/>
      <c r="N138" s="380" t="n"/>
      <c r="O138" s="380" t="n"/>
      <c r="P138" s="283" t="n"/>
      <c r="Q138" s="283" t="n"/>
      <c r="R138" s="283" t="n"/>
      <c r="S138" s="283" t="n"/>
      <c r="T138" s="283" t="n"/>
      <c r="U138" s="283" t="n"/>
      <c r="V138" s="283" t="n"/>
      <c r="W138" s="283" t="n"/>
      <c r="X138" s="283" t="n"/>
      <c r="Y138" s="283" t="n"/>
      <c r="Z138" s="283" t="n"/>
    </row>
    <row r="139">
      <c r="A139" s="283" t="n"/>
      <c r="B139" s="283" t="n"/>
      <c r="C139" s="283" t="n"/>
      <c r="D139" s="283" t="n"/>
      <c r="E139" s="283" t="n"/>
      <c r="F139" s="283" t="n"/>
      <c r="G139" s="283" t="n"/>
      <c r="H139" s="283" t="n"/>
      <c r="I139" s="283" t="n"/>
      <c r="J139" s="283" t="n"/>
      <c r="K139" s="283" t="n"/>
      <c r="L139" s="283" t="n"/>
      <c r="M139" s="283" t="n"/>
      <c r="N139" s="380" t="n"/>
      <c r="O139" s="380" t="n"/>
      <c r="P139" s="283" t="n"/>
      <c r="Q139" s="283" t="n"/>
      <c r="R139" s="283" t="n"/>
      <c r="S139" s="283" t="n"/>
      <c r="T139" s="283" t="n"/>
      <c r="U139" s="283" t="n"/>
      <c r="V139" s="283" t="n"/>
      <c r="W139" s="283" t="n"/>
      <c r="X139" s="283" t="n"/>
      <c r="Y139" s="283" t="n"/>
      <c r="Z139" s="283" t="n"/>
    </row>
    <row r="140">
      <c r="A140" s="283" t="n"/>
      <c r="B140" s="283" t="n"/>
      <c r="C140" s="283" t="n"/>
      <c r="D140" s="283" t="n"/>
      <c r="E140" s="283" t="n"/>
      <c r="F140" s="283" t="n"/>
      <c r="G140" s="283" t="n"/>
      <c r="H140" s="283" t="n"/>
      <c r="I140" s="283" t="n"/>
      <c r="J140" s="283" t="n"/>
      <c r="K140" s="283" t="n"/>
      <c r="L140" s="283" t="n"/>
      <c r="M140" s="283" t="n"/>
      <c r="N140" s="380" t="n"/>
      <c r="O140" s="380" t="n"/>
      <c r="P140" s="283" t="n"/>
      <c r="Q140" s="283" t="n"/>
      <c r="R140" s="283" t="n"/>
      <c r="S140" s="283" t="n"/>
      <c r="T140" s="283" t="n"/>
      <c r="U140" s="283" t="n"/>
      <c r="V140" s="283" t="n"/>
      <c r="W140" s="283" t="n"/>
      <c r="X140" s="283" t="n"/>
      <c r="Y140" s="283" t="n"/>
      <c r="Z140" s="283" t="n"/>
    </row>
    <row r="141">
      <c r="A141" s="283" t="n"/>
      <c r="B141" s="283" t="n"/>
      <c r="C141" s="283" t="n"/>
      <c r="D141" s="283" t="n"/>
      <c r="E141" s="283" t="n"/>
      <c r="F141" s="283" t="n"/>
      <c r="G141" s="283" t="n"/>
      <c r="H141" s="283" t="n"/>
      <c r="I141" s="283" t="n"/>
      <c r="J141" s="283" t="n"/>
      <c r="K141" s="283" t="n"/>
      <c r="L141" s="283" t="n"/>
      <c r="M141" s="283" t="n"/>
      <c r="N141" s="380" t="n"/>
      <c r="O141" s="380" t="n"/>
      <c r="P141" s="283" t="n"/>
      <c r="Q141" s="283" t="n"/>
      <c r="R141" s="283" t="n"/>
      <c r="S141" s="283" t="n"/>
      <c r="T141" s="283" t="n"/>
      <c r="U141" s="283" t="n"/>
      <c r="V141" s="283" t="n"/>
      <c r="W141" s="283" t="n"/>
      <c r="X141" s="283" t="n"/>
      <c r="Y141" s="283" t="n"/>
      <c r="Z141" s="283" t="n"/>
    </row>
    <row r="142">
      <c r="A142" s="283" t="n"/>
      <c r="B142" s="283" t="n"/>
      <c r="C142" s="283" t="n"/>
      <c r="D142" s="283" t="n"/>
      <c r="E142" s="283" t="n"/>
      <c r="F142" s="283" t="n"/>
      <c r="G142" s="283" t="n"/>
      <c r="H142" s="283" t="n"/>
      <c r="I142" s="283" t="n"/>
      <c r="J142" s="283" t="n"/>
      <c r="K142" s="283" t="n"/>
      <c r="L142" s="283" t="n"/>
      <c r="M142" s="283" t="n"/>
      <c r="N142" s="380" t="n"/>
      <c r="O142" s="380" t="n"/>
      <c r="P142" s="283" t="n"/>
      <c r="Q142" s="283" t="n"/>
      <c r="R142" s="283" t="n"/>
      <c r="S142" s="283" t="n"/>
      <c r="T142" s="283" t="n"/>
      <c r="U142" s="283" t="n"/>
      <c r="V142" s="283" t="n"/>
      <c r="W142" s="283" t="n"/>
      <c r="X142" s="283" t="n"/>
      <c r="Y142" s="283" t="n"/>
      <c r="Z142" s="283" t="n"/>
    </row>
    <row r="143">
      <c r="A143" s="283" t="n"/>
      <c r="B143" s="283" t="n"/>
      <c r="C143" s="283" t="n"/>
      <c r="D143" s="283" t="n"/>
      <c r="E143" s="283" t="n"/>
      <c r="F143" s="283" t="n"/>
      <c r="G143" s="283" t="n"/>
      <c r="H143" s="283" t="n"/>
      <c r="I143" s="283" t="n"/>
      <c r="J143" s="283" t="n"/>
      <c r="K143" s="283" t="n"/>
      <c r="L143" s="283" t="n"/>
      <c r="M143" s="283" t="n"/>
      <c r="N143" s="380" t="n"/>
      <c r="O143" s="380" t="n"/>
      <c r="P143" s="283" t="n"/>
      <c r="Q143" s="283" t="n"/>
      <c r="R143" s="283" t="n"/>
      <c r="S143" s="283" t="n"/>
      <c r="T143" s="283" t="n"/>
      <c r="U143" s="283" t="n"/>
      <c r="V143" s="283" t="n"/>
      <c r="W143" s="283" t="n"/>
      <c r="X143" s="283" t="n"/>
      <c r="Y143" s="283" t="n"/>
      <c r="Z143" s="283" t="n"/>
    </row>
    <row r="144">
      <c r="A144" s="283" t="n"/>
      <c r="B144" s="283" t="n"/>
      <c r="C144" s="283" t="n"/>
      <c r="D144" s="283" t="n"/>
      <c r="E144" s="283" t="n"/>
      <c r="F144" s="283" t="n"/>
      <c r="G144" s="283" t="n"/>
      <c r="H144" s="283" t="n"/>
      <c r="I144" s="283" t="n"/>
      <c r="J144" s="283" t="n"/>
      <c r="K144" s="283" t="n"/>
      <c r="L144" s="283" t="n"/>
      <c r="M144" s="283" t="n"/>
      <c r="N144" s="380" t="n"/>
      <c r="O144" s="380" t="n"/>
      <c r="P144" s="283" t="n"/>
      <c r="Q144" s="283" t="n"/>
      <c r="R144" s="283" t="n"/>
      <c r="S144" s="283" t="n"/>
      <c r="T144" s="283" t="n"/>
      <c r="U144" s="283" t="n"/>
      <c r="V144" s="283" t="n"/>
      <c r="W144" s="283" t="n"/>
      <c r="X144" s="283" t="n"/>
      <c r="Y144" s="283" t="n"/>
      <c r="Z144" s="283" t="n"/>
    </row>
    <row r="145">
      <c r="A145" s="283" t="n"/>
      <c r="B145" s="283" t="n"/>
      <c r="C145" s="283" t="n"/>
      <c r="D145" s="283" t="n"/>
      <c r="E145" s="283" t="n"/>
      <c r="F145" s="283" t="n"/>
      <c r="G145" s="283" t="n"/>
      <c r="H145" s="283" t="n"/>
      <c r="I145" s="283" t="n"/>
      <c r="J145" s="283" t="n"/>
      <c r="K145" s="283" t="n"/>
      <c r="L145" s="283" t="n"/>
      <c r="M145" s="283" t="n"/>
      <c r="N145" s="380" t="n"/>
      <c r="O145" s="380" t="n"/>
      <c r="P145" s="283" t="n"/>
      <c r="Q145" s="283" t="n"/>
      <c r="R145" s="283" t="n"/>
      <c r="S145" s="283" t="n"/>
      <c r="T145" s="283" t="n"/>
      <c r="U145" s="283" t="n"/>
      <c r="V145" s="283" t="n"/>
      <c r="W145" s="283" t="n"/>
      <c r="X145" s="283" t="n"/>
      <c r="Y145" s="283" t="n"/>
      <c r="Z145" s="283" t="n"/>
    </row>
    <row r="146">
      <c r="A146" s="283" t="n"/>
      <c r="B146" s="283" t="n"/>
      <c r="C146" s="283" t="n"/>
      <c r="D146" s="283" t="n"/>
      <c r="E146" s="283" t="n"/>
      <c r="F146" s="283" t="n"/>
      <c r="G146" s="283" t="n"/>
      <c r="H146" s="283" t="n"/>
      <c r="I146" s="283" t="n"/>
      <c r="J146" s="283" t="n"/>
      <c r="K146" s="283" t="n"/>
      <c r="L146" s="283" t="n"/>
      <c r="M146" s="283" t="n"/>
      <c r="N146" s="380" t="n"/>
      <c r="O146" s="380" t="n"/>
      <c r="P146" s="283" t="n"/>
      <c r="Q146" s="283" t="n"/>
      <c r="R146" s="283" t="n"/>
      <c r="S146" s="283" t="n"/>
      <c r="T146" s="283" t="n"/>
      <c r="U146" s="283" t="n"/>
      <c r="V146" s="283" t="n"/>
      <c r="W146" s="283" t="n"/>
      <c r="X146" s="283" t="n"/>
      <c r="Y146" s="283" t="n"/>
      <c r="Z146" s="283" t="n"/>
    </row>
    <row r="147">
      <c r="A147" s="283" t="n"/>
      <c r="B147" s="283" t="n"/>
      <c r="C147" s="283" t="n"/>
      <c r="D147" s="283" t="n"/>
      <c r="E147" s="283" t="n"/>
      <c r="F147" s="283" t="n"/>
      <c r="G147" s="283" t="n"/>
      <c r="H147" s="283" t="n"/>
      <c r="I147" s="283" t="n"/>
      <c r="J147" s="283" t="n"/>
      <c r="K147" s="283" t="n"/>
      <c r="L147" s="283" t="n"/>
      <c r="M147" s="283" t="n"/>
      <c r="N147" s="380" t="n"/>
      <c r="O147" s="380" t="n"/>
      <c r="P147" s="283" t="n"/>
      <c r="Q147" s="283" t="n"/>
      <c r="R147" s="283" t="n"/>
      <c r="S147" s="283" t="n"/>
      <c r="T147" s="283" t="n"/>
      <c r="U147" s="283" t="n"/>
      <c r="V147" s="283" t="n"/>
      <c r="W147" s="283" t="n"/>
      <c r="X147" s="283" t="n"/>
      <c r="Y147" s="283" t="n"/>
      <c r="Z147" s="283" t="n"/>
    </row>
    <row r="148">
      <c r="A148" s="283" t="n"/>
      <c r="B148" s="283" t="n"/>
      <c r="C148" s="283" t="n"/>
      <c r="D148" s="283" t="n"/>
      <c r="E148" s="283" t="n"/>
      <c r="F148" s="283" t="n"/>
      <c r="G148" s="283" t="n"/>
      <c r="H148" s="283" t="n"/>
      <c r="I148" s="283" t="n"/>
      <c r="J148" s="283" t="n"/>
      <c r="K148" s="283" t="n"/>
      <c r="L148" s="283" t="n"/>
      <c r="M148" s="283" t="n"/>
      <c r="N148" s="380" t="n"/>
      <c r="O148" s="380" t="n"/>
      <c r="P148" s="283" t="n"/>
      <c r="Q148" s="283" t="n"/>
      <c r="R148" s="283" t="n"/>
      <c r="S148" s="283" t="n"/>
      <c r="T148" s="283" t="n"/>
      <c r="U148" s="283" t="n"/>
      <c r="V148" s="283" t="n"/>
      <c r="W148" s="283" t="n"/>
      <c r="X148" s="283" t="n"/>
      <c r="Y148" s="283" t="n"/>
      <c r="Z148" s="283" t="n"/>
    </row>
    <row r="149">
      <c r="A149" s="283" t="n"/>
      <c r="B149" s="283" t="n"/>
      <c r="C149" s="283" t="n"/>
      <c r="D149" s="283" t="n"/>
      <c r="E149" s="283" t="n"/>
      <c r="F149" s="283" t="n"/>
      <c r="G149" s="283" t="n"/>
      <c r="H149" s="283" t="n"/>
      <c r="I149" s="283" t="n"/>
      <c r="J149" s="283" t="n"/>
      <c r="K149" s="283" t="n"/>
      <c r="L149" s="283" t="n"/>
      <c r="M149" s="283" t="n"/>
      <c r="N149" s="380" t="n"/>
      <c r="O149" s="380" t="n"/>
      <c r="P149" s="283" t="n"/>
      <c r="Q149" s="283" t="n"/>
      <c r="R149" s="283" t="n"/>
      <c r="S149" s="283" t="n"/>
      <c r="T149" s="283" t="n"/>
      <c r="U149" s="283" t="n"/>
      <c r="V149" s="283" t="n"/>
      <c r="W149" s="283" t="n"/>
      <c r="X149" s="283" t="n"/>
      <c r="Y149" s="283" t="n"/>
      <c r="Z149" s="283" t="n"/>
    </row>
    <row r="150">
      <c r="A150" s="283" t="n"/>
      <c r="B150" s="283" t="n"/>
      <c r="C150" s="283" t="n"/>
      <c r="D150" s="283" t="n"/>
      <c r="E150" s="283" t="n"/>
      <c r="F150" s="283" t="n"/>
      <c r="G150" s="283" t="n"/>
      <c r="H150" s="283" t="n"/>
      <c r="I150" s="283" t="n"/>
      <c r="J150" s="283" t="n"/>
      <c r="K150" s="283" t="n"/>
      <c r="L150" s="283" t="n"/>
      <c r="M150" s="283" t="n"/>
      <c r="N150" s="380" t="n"/>
      <c r="O150" s="380" t="n"/>
      <c r="P150" s="283" t="n"/>
      <c r="Q150" s="283" t="n"/>
      <c r="R150" s="283" t="n"/>
      <c r="S150" s="283" t="n"/>
      <c r="T150" s="283" t="n"/>
      <c r="U150" s="283" t="n"/>
      <c r="V150" s="283" t="n"/>
      <c r="W150" s="283" t="n"/>
      <c r="X150" s="283" t="n"/>
      <c r="Y150" s="283" t="n"/>
      <c r="Z150" s="283" t="n"/>
    </row>
    <row r="151">
      <c r="A151" s="283" t="n"/>
      <c r="B151" s="283" t="n"/>
      <c r="C151" s="283" t="n"/>
      <c r="D151" s="283" t="n"/>
      <c r="E151" s="283" t="n"/>
      <c r="F151" s="283" t="n"/>
      <c r="G151" s="283" t="n"/>
      <c r="H151" s="283" t="n"/>
      <c r="I151" s="283" t="n"/>
      <c r="J151" s="283" t="n"/>
      <c r="K151" s="283" t="n"/>
      <c r="L151" s="283" t="n"/>
      <c r="M151" s="283" t="n"/>
      <c r="N151" s="380" t="n"/>
      <c r="O151" s="380" t="n"/>
      <c r="P151" s="283" t="n"/>
      <c r="Q151" s="283" t="n"/>
      <c r="R151" s="283" t="n"/>
      <c r="S151" s="283" t="n"/>
      <c r="T151" s="283" t="n"/>
      <c r="U151" s="283" t="n"/>
      <c r="V151" s="283" t="n"/>
      <c r="W151" s="283" t="n"/>
      <c r="X151" s="283" t="n"/>
      <c r="Y151" s="283" t="n"/>
      <c r="Z151" s="283" t="n"/>
    </row>
    <row r="152">
      <c r="A152" s="283" t="n"/>
      <c r="B152" s="283" t="n"/>
      <c r="C152" s="283" t="n"/>
      <c r="D152" s="283" t="n"/>
      <c r="E152" s="283" t="n"/>
      <c r="F152" s="283" t="n"/>
      <c r="G152" s="283" t="n"/>
      <c r="H152" s="283" t="n"/>
      <c r="I152" s="283" t="n"/>
      <c r="J152" s="283" t="n"/>
      <c r="K152" s="283" t="n"/>
      <c r="L152" s="283" t="n"/>
      <c r="M152" s="283" t="n"/>
      <c r="N152" s="380" t="n"/>
      <c r="O152" s="380" t="n"/>
      <c r="P152" s="283" t="n"/>
      <c r="Q152" s="283" t="n"/>
      <c r="R152" s="283" t="n"/>
      <c r="S152" s="283" t="n"/>
      <c r="T152" s="283" t="n"/>
      <c r="U152" s="283" t="n"/>
      <c r="V152" s="283" t="n"/>
      <c r="W152" s="283" t="n"/>
      <c r="X152" s="283" t="n"/>
      <c r="Y152" s="283" t="n"/>
      <c r="Z152" s="283" t="n"/>
    </row>
    <row r="153">
      <c r="A153" s="283" t="n"/>
      <c r="B153" s="283" t="n"/>
      <c r="C153" s="283" t="n"/>
      <c r="D153" s="283" t="n"/>
      <c r="E153" s="283" t="n"/>
      <c r="F153" s="283" t="n"/>
      <c r="G153" s="283" t="n"/>
      <c r="H153" s="283" t="n"/>
      <c r="I153" s="283" t="n"/>
      <c r="J153" s="283" t="n"/>
      <c r="K153" s="283" t="n"/>
      <c r="L153" s="283" t="n"/>
      <c r="M153" s="283" t="n"/>
      <c r="N153" s="380" t="n"/>
      <c r="O153" s="380" t="n"/>
      <c r="P153" s="283" t="n"/>
      <c r="Q153" s="283" t="n"/>
      <c r="R153" s="283" t="n"/>
      <c r="S153" s="283" t="n"/>
      <c r="T153" s="283" t="n"/>
      <c r="U153" s="283" t="n"/>
      <c r="V153" s="283" t="n"/>
      <c r="W153" s="283" t="n"/>
      <c r="X153" s="283" t="n"/>
      <c r="Y153" s="283" t="n"/>
      <c r="Z153" s="283" t="n"/>
    </row>
    <row r="154">
      <c r="A154" s="283" t="n"/>
      <c r="B154" s="283" t="n"/>
      <c r="C154" s="283" t="n"/>
      <c r="D154" s="283" t="n"/>
      <c r="E154" s="283" t="n"/>
      <c r="F154" s="283" t="n"/>
      <c r="G154" s="283" t="n"/>
      <c r="H154" s="283" t="n"/>
      <c r="I154" s="283" t="n"/>
      <c r="J154" s="283" t="n"/>
      <c r="K154" s="283" t="n"/>
      <c r="L154" s="283" t="n"/>
      <c r="M154" s="283" t="n"/>
      <c r="N154" s="380" t="n"/>
      <c r="O154" s="380" t="n"/>
      <c r="P154" s="283" t="n"/>
      <c r="Q154" s="283" t="n"/>
      <c r="R154" s="283" t="n"/>
      <c r="S154" s="283" t="n"/>
      <c r="T154" s="283" t="n"/>
      <c r="U154" s="283" t="n"/>
      <c r="V154" s="283" t="n"/>
      <c r="W154" s="283" t="n"/>
      <c r="X154" s="283" t="n"/>
      <c r="Y154" s="283" t="n"/>
      <c r="Z154" s="283" t="n"/>
    </row>
    <row r="155">
      <c r="A155" s="283" t="n"/>
      <c r="B155" s="283" t="n"/>
      <c r="C155" s="283" t="n"/>
      <c r="D155" s="283" t="n"/>
      <c r="E155" s="283" t="n"/>
      <c r="F155" s="283" t="n"/>
      <c r="G155" s="283" t="n"/>
      <c r="H155" s="283" t="n"/>
      <c r="I155" s="283" t="n"/>
      <c r="J155" s="283" t="n"/>
      <c r="K155" s="283" t="n"/>
      <c r="L155" s="283" t="n"/>
      <c r="M155" s="283" t="n"/>
      <c r="N155" s="380" t="n"/>
      <c r="O155" s="380" t="n"/>
      <c r="P155" s="283" t="n"/>
      <c r="Q155" s="283" t="n"/>
      <c r="R155" s="283" t="n"/>
      <c r="S155" s="283" t="n"/>
      <c r="T155" s="283" t="n"/>
      <c r="U155" s="283" t="n"/>
      <c r="V155" s="283" t="n"/>
      <c r="W155" s="283" t="n"/>
      <c r="X155" s="283" t="n"/>
      <c r="Y155" s="283" t="n"/>
      <c r="Z155" s="283" t="n"/>
    </row>
    <row r="156">
      <c r="A156" s="283" t="n"/>
      <c r="B156" s="283" t="n"/>
      <c r="C156" s="283" t="n"/>
      <c r="D156" s="283" t="n"/>
      <c r="E156" s="283" t="n"/>
      <c r="F156" s="283" t="n"/>
      <c r="G156" s="283" t="n"/>
      <c r="H156" s="283" t="n"/>
      <c r="I156" s="283" t="n"/>
      <c r="J156" s="283" t="n"/>
      <c r="K156" s="283" t="n"/>
      <c r="L156" s="283" t="n"/>
      <c r="M156" s="283" t="n"/>
      <c r="N156" s="380" t="n"/>
      <c r="O156" s="380" t="n"/>
      <c r="P156" s="283" t="n"/>
      <c r="Q156" s="283" t="n"/>
      <c r="R156" s="283" t="n"/>
      <c r="S156" s="283" t="n"/>
      <c r="T156" s="283" t="n"/>
      <c r="U156" s="283" t="n"/>
      <c r="V156" s="283" t="n"/>
      <c r="W156" s="283" t="n"/>
      <c r="X156" s="283" t="n"/>
      <c r="Y156" s="283" t="n"/>
      <c r="Z156" s="283" t="n"/>
    </row>
    <row r="157">
      <c r="A157" s="283" t="n"/>
      <c r="B157" s="283" t="n"/>
      <c r="C157" s="283" t="n"/>
      <c r="D157" s="283" t="n"/>
      <c r="E157" s="283" t="n"/>
      <c r="F157" s="283" t="n"/>
      <c r="G157" s="283" t="n"/>
      <c r="H157" s="283" t="n"/>
      <c r="I157" s="283" t="n"/>
      <c r="J157" s="283" t="n"/>
      <c r="K157" s="283" t="n"/>
      <c r="L157" s="283" t="n"/>
      <c r="M157" s="283" t="n"/>
      <c r="N157" s="380" t="n"/>
      <c r="O157" s="380" t="n"/>
      <c r="P157" s="283" t="n"/>
      <c r="Q157" s="283" t="n"/>
      <c r="R157" s="283" t="n"/>
      <c r="S157" s="283" t="n"/>
      <c r="T157" s="283" t="n"/>
      <c r="U157" s="283" t="n"/>
      <c r="V157" s="283" t="n"/>
      <c r="W157" s="283" t="n"/>
      <c r="X157" s="283" t="n"/>
      <c r="Y157" s="283" t="n"/>
      <c r="Z157" s="283" t="n"/>
    </row>
    <row r="158">
      <c r="A158" s="283" t="n"/>
      <c r="B158" s="283" t="n"/>
      <c r="C158" s="283" t="n"/>
      <c r="D158" s="283" t="n"/>
      <c r="E158" s="283" t="n"/>
      <c r="F158" s="283" t="n"/>
      <c r="G158" s="283" t="n"/>
      <c r="H158" s="283" t="n"/>
      <c r="I158" s="283" t="n"/>
      <c r="J158" s="283" t="n"/>
      <c r="K158" s="283" t="n"/>
      <c r="L158" s="283" t="n"/>
      <c r="M158" s="283" t="n"/>
      <c r="N158" s="380" t="n"/>
      <c r="O158" s="380" t="n"/>
      <c r="P158" s="283" t="n"/>
      <c r="Q158" s="283" t="n"/>
      <c r="R158" s="283" t="n"/>
      <c r="S158" s="283" t="n"/>
      <c r="T158" s="283" t="n"/>
      <c r="U158" s="283" t="n"/>
      <c r="V158" s="283" t="n"/>
      <c r="W158" s="283" t="n"/>
      <c r="X158" s="283" t="n"/>
      <c r="Y158" s="283" t="n"/>
      <c r="Z158" s="283" t="n"/>
    </row>
    <row r="159">
      <c r="A159" s="283" t="n"/>
      <c r="B159" s="283" t="n"/>
      <c r="C159" s="283" t="n"/>
      <c r="D159" s="283" t="n"/>
      <c r="E159" s="283" t="n"/>
      <c r="F159" s="283" t="n"/>
      <c r="G159" s="283" t="n"/>
      <c r="H159" s="283" t="n"/>
      <c r="I159" s="283" t="n"/>
      <c r="J159" s="283" t="n"/>
      <c r="K159" s="283" t="n"/>
      <c r="L159" s="283" t="n"/>
      <c r="M159" s="283" t="n"/>
      <c r="N159" s="380" t="n"/>
      <c r="O159" s="380" t="n"/>
      <c r="P159" s="283" t="n"/>
      <c r="Q159" s="283" t="n"/>
      <c r="R159" s="283" t="n"/>
      <c r="S159" s="283" t="n"/>
      <c r="T159" s="283" t="n"/>
      <c r="U159" s="283" t="n"/>
      <c r="V159" s="283" t="n"/>
      <c r="W159" s="283" t="n"/>
      <c r="X159" s="283" t="n"/>
      <c r="Y159" s="283" t="n"/>
      <c r="Z159" s="283" t="n"/>
    </row>
    <row r="160">
      <c r="A160" s="283" t="n"/>
      <c r="B160" s="283" t="n"/>
      <c r="C160" s="283" t="n"/>
      <c r="D160" s="283" t="n"/>
      <c r="E160" s="283" t="n"/>
      <c r="F160" s="283" t="n"/>
      <c r="G160" s="283" t="n"/>
      <c r="H160" s="283" t="n"/>
      <c r="I160" s="283" t="n"/>
      <c r="J160" s="283" t="n"/>
      <c r="K160" s="283" t="n"/>
      <c r="L160" s="283" t="n"/>
      <c r="M160" s="283" t="n"/>
      <c r="N160" s="380" t="n"/>
      <c r="O160" s="380" t="n"/>
      <c r="P160" s="283" t="n"/>
      <c r="Q160" s="283" t="n"/>
      <c r="R160" s="283" t="n"/>
      <c r="S160" s="283" t="n"/>
      <c r="T160" s="283" t="n"/>
      <c r="U160" s="283" t="n"/>
      <c r="V160" s="283" t="n"/>
      <c r="W160" s="283" t="n"/>
      <c r="X160" s="283" t="n"/>
      <c r="Y160" s="283" t="n"/>
      <c r="Z160" s="283" t="n"/>
    </row>
    <row r="161">
      <c r="A161" s="283" t="n"/>
      <c r="B161" s="283" t="n"/>
      <c r="C161" s="283" t="n"/>
      <c r="D161" s="283" t="n"/>
      <c r="E161" s="283" t="n"/>
      <c r="F161" s="283" t="n"/>
      <c r="G161" s="283" t="n"/>
      <c r="H161" s="283" t="n"/>
      <c r="I161" s="283" t="n"/>
      <c r="J161" s="283" t="n"/>
      <c r="K161" s="283" t="n"/>
      <c r="L161" s="283" t="n"/>
      <c r="M161" s="283" t="n"/>
      <c r="N161" s="380" t="n"/>
      <c r="O161" s="380" t="n"/>
      <c r="P161" s="283" t="n"/>
      <c r="Q161" s="283" t="n"/>
      <c r="R161" s="283" t="n"/>
      <c r="S161" s="283" t="n"/>
      <c r="T161" s="283" t="n"/>
      <c r="U161" s="283" t="n"/>
      <c r="V161" s="283" t="n"/>
      <c r="W161" s="283" t="n"/>
      <c r="X161" s="283" t="n"/>
      <c r="Y161" s="283" t="n"/>
      <c r="Z161" s="283" t="n"/>
    </row>
    <row r="162">
      <c r="A162" s="283" t="n"/>
      <c r="B162" s="283" t="n"/>
      <c r="C162" s="283" t="n"/>
      <c r="D162" s="283" t="n"/>
      <c r="E162" s="283" t="n"/>
      <c r="F162" s="283" t="n"/>
      <c r="G162" s="283" t="n"/>
      <c r="H162" s="283" t="n"/>
      <c r="I162" s="283" t="n"/>
      <c r="J162" s="283" t="n"/>
      <c r="K162" s="283" t="n"/>
      <c r="L162" s="283" t="n"/>
      <c r="M162" s="283" t="n"/>
      <c r="N162" s="380" t="n"/>
      <c r="O162" s="380" t="n"/>
      <c r="P162" s="283" t="n"/>
      <c r="Q162" s="283" t="n"/>
      <c r="R162" s="283" t="n"/>
      <c r="S162" s="283" t="n"/>
      <c r="T162" s="283" t="n"/>
      <c r="U162" s="283" t="n"/>
      <c r="V162" s="283" t="n"/>
      <c r="W162" s="283" t="n"/>
      <c r="X162" s="283" t="n"/>
      <c r="Y162" s="283" t="n"/>
      <c r="Z162" s="283" t="n"/>
    </row>
    <row r="163">
      <c r="A163" s="283" t="n"/>
      <c r="B163" s="283" t="n"/>
      <c r="C163" s="283" t="n"/>
      <c r="D163" s="283" t="n"/>
      <c r="E163" s="283" t="n"/>
      <c r="F163" s="283" t="n"/>
      <c r="G163" s="283" t="n"/>
      <c r="H163" s="283" t="n"/>
      <c r="I163" s="283" t="n"/>
      <c r="J163" s="283" t="n"/>
      <c r="K163" s="283" t="n"/>
      <c r="L163" s="283" t="n"/>
      <c r="M163" s="283" t="n"/>
      <c r="N163" s="380" t="n"/>
      <c r="O163" s="380" t="n"/>
      <c r="P163" s="283" t="n"/>
      <c r="Q163" s="283" t="n"/>
      <c r="R163" s="283" t="n"/>
      <c r="S163" s="283" t="n"/>
      <c r="T163" s="283" t="n"/>
      <c r="U163" s="283" t="n"/>
      <c r="V163" s="283" t="n"/>
      <c r="W163" s="283" t="n"/>
      <c r="X163" s="283" t="n"/>
      <c r="Y163" s="283" t="n"/>
      <c r="Z163" s="283" t="n"/>
    </row>
    <row r="164">
      <c r="A164" s="283" t="n"/>
      <c r="B164" s="283" t="n"/>
      <c r="C164" s="283" t="n"/>
      <c r="D164" s="283" t="n"/>
      <c r="E164" s="283" t="n"/>
      <c r="F164" s="283" t="n"/>
      <c r="G164" s="283" t="n"/>
      <c r="H164" s="283" t="n"/>
      <c r="I164" s="283" t="n"/>
      <c r="J164" s="283" t="n"/>
      <c r="K164" s="283" t="n"/>
      <c r="L164" s="283" t="n"/>
      <c r="M164" s="283" t="n"/>
      <c r="N164" s="380" t="n"/>
      <c r="O164" s="380" t="n"/>
      <c r="P164" s="283" t="n"/>
      <c r="Q164" s="283" t="n"/>
      <c r="R164" s="283" t="n"/>
      <c r="S164" s="283" t="n"/>
      <c r="T164" s="283" t="n"/>
      <c r="U164" s="283" t="n"/>
      <c r="V164" s="283" t="n"/>
      <c r="W164" s="283" t="n"/>
      <c r="X164" s="283" t="n"/>
      <c r="Y164" s="283" t="n"/>
      <c r="Z164" s="283" t="n"/>
    </row>
    <row r="165">
      <c r="A165" s="283" t="n"/>
      <c r="B165" s="283" t="n"/>
      <c r="C165" s="283" t="n"/>
      <c r="D165" s="283" t="n"/>
      <c r="E165" s="283" t="n"/>
      <c r="F165" s="283" t="n"/>
      <c r="G165" s="283" t="n"/>
      <c r="H165" s="283" t="n"/>
      <c r="I165" s="283" t="n"/>
      <c r="J165" s="283" t="n"/>
      <c r="K165" s="283" t="n"/>
      <c r="L165" s="283" t="n"/>
      <c r="M165" s="283" t="n"/>
      <c r="N165" s="380" t="n"/>
      <c r="O165" s="380" t="n"/>
      <c r="P165" s="283" t="n"/>
      <c r="Q165" s="283" t="n"/>
      <c r="R165" s="283" t="n"/>
      <c r="S165" s="283" t="n"/>
      <c r="T165" s="283" t="n"/>
      <c r="U165" s="283" t="n"/>
      <c r="V165" s="283" t="n"/>
      <c r="W165" s="283" t="n"/>
      <c r="X165" s="283" t="n"/>
      <c r="Y165" s="283" t="n"/>
      <c r="Z165" s="283" t="n"/>
    </row>
    <row r="166">
      <c r="A166" s="283" t="n"/>
      <c r="B166" s="283" t="n"/>
      <c r="C166" s="283" t="n"/>
      <c r="D166" s="283" t="n"/>
      <c r="E166" s="283" t="n"/>
      <c r="F166" s="283" t="n"/>
      <c r="G166" s="283" t="n"/>
      <c r="H166" s="283" t="n"/>
      <c r="I166" s="283" t="n"/>
      <c r="J166" s="283" t="n"/>
      <c r="K166" s="283" t="n"/>
      <c r="L166" s="283" t="n"/>
      <c r="M166" s="283" t="n"/>
      <c r="N166" s="380" t="n"/>
      <c r="O166" s="380" t="n"/>
      <c r="P166" s="283" t="n"/>
      <c r="Q166" s="283" t="n"/>
      <c r="R166" s="283" t="n"/>
      <c r="S166" s="283" t="n"/>
      <c r="T166" s="283" t="n"/>
      <c r="U166" s="283" t="n"/>
      <c r="V166" s="283" t="n"/>
      <c r="W166" s="283" t="n"/>
      <c r="X166" s="283" t="n"/>
      <c r="Y166" s="283" t="n"/>
      <c r="Z166" s="283" t="n"/>
    </row>
    <row r="167">
      <c r="A167" s="283" t="n"/>
      <c r="B167" s="283" t="n"/>
      <c r="C167" s="283" t="n"/>
      <c r="D167" s="283" t="n"/>
      <c r="E167" s="283" t="n"/>
      <c r="F167" s="283" t="n"/>
      <c r="G167" s="283" t="n"/>
      <c r="H167" s="283" t="n"/>
      <c r="I167" s="283" t="n"/>
      <c r="J167" s="283" t="n"/>
      <c r="K167" s="283" t="n"/>
      <c r="L167" s="283" t="n"/>
      <c r="M167" s="283" t="n"/>
      <c r="N167" s="380" t="n"/>
      <c r="O167" s="380" t="n"/>
      <c r="P167" s="283" t="n"/>
      <c r="Q167" s="283" t="n"/>
      <c r="R167" s="283" t="n"/>
      <c r="S167" s="283" t="n"/>
      <c r="T167" s="283" t="n"/>
      <c r="U167" s="283" t="n"/>
      <c r="V167" s="283" t="n"/>
      <c r="W167" s="283" t="n"/>
      <c r="X167" s="283" t="n"/>
      <c r="Y167" s="283" t="n"/>
      <c r="Z167" s="283" t="n"/>
    </row>
    <row r="168">
      <c r="A168" s="283" t="n"/>
      <c r="B168" s="283" t="n"/>
      <c r="C168" s="283" t="n"/>
      <c r="D168" s="283" t="n"/>
      <c r="E168" s="283" t="n"/>
      <c r="F168" s="283" t="n"/>
      <c r="G168" s="283" t="n"/>
      <c r="H168" s="283" t="n"/>
      <c r="I168" s="283" t="n"/>
      <c r="J168" s="283" t="n"/>
      <c r="K168" s="283" t="n"/>
      <c r="L168" s="283" t="n"/>
      <c r="M168" s="283" t="n"/>
      <c r="N168" s="380" t="n"/>
      <c r="O168" s="380" t="n"/>
      <c r="P168" s="283" t="n"/>
      <c r="Q168" s="283" t="n"/>
      <c r="R168" s="283" t="n"/>
      <c r="S168" s="283" t="n"/>
      <c r="T168" s="283" t="n"/>
      <c r="U168" s="283" t="n"/>
      <c r="V168" s="283" t="n"/>
      <c r="W168" s="283" t="n"/>
      <c r="X168" s="283" t="n"/>
      <c r="Y168" s="283" t="n"/>
      <c r="Z168" s="283" t="n"/>
    </row>
    <row r="169">
      <c r="A169" s="283" t="n"/>
      <c r="B169" s="283" t="n"/>
      <c r="C169" s="283" t="n"/>
      <c r="D169" s="283" t="n"/>
      <c r="E169" s="283" t="n"/>
      <c r="F169" s="283" t="n"/>
      <c r="G169" s="283" t="n"/>
      <c r="H169" s="283" t="n"/>
      <c r="I169" s="283" t="n"/>
      <c r="J169" s="283" t="n"/>
      <c r="K169" s="283" t="n"/>
      <c r="L169" s="283" t="n"/>
      <c r="M169" s="283" t="n"/>
      <c r="N169" s="380" t="n"/>
      <c r="O169" s="380" t="n"/>
      <c r="P169" s="283" t="n"/>
      <c r="Q169" s="283" t="n"/>
      <c r="R169" s="283" t="n"/>
      <c r="S169" s="283" t="n"/>
      <c r="T169" s="283" t="n"/>
      <c r="U169" s="283" t="n"/>
      <c r="V169" s="283" t="n"/>
      <c r="W169" s="283" t="n"/>
      <c r="X169" s="283" t="n"/>
      <c r="Y169" s="283" t="n"/>
      <c r="Z169" s="283" t="n"/>
    </row>
    <row r="170">
      <c r="A170" s="283" t="n"/>
      <c r="B170" s="283" t="n"/>
      <c r="C170" s="283" t="n"/>
      <c r="D170" s="283" t="n"/>
      <c r="E170" s="283" t="n"/>
      <c r="F170" s="283" t="n"/>
      <c r="G170" s="283" t="n"/>
      <c r="H170" s="283" t="n"/>
      <c r="I170" s="283" t="n"/>
      <c r="J170" s="283" t="n"/>
      <c r="K170" s="283" t="n"/>
      <c r="L170" s="283" t="n"/>
      <c r="M170" s="283" t="n"/>
      <c r="N170" s="380" t="n"/>
      <c r="O170" s="380" t="n"/>
      <c r="P170" s="283" t="n"/>
      <c r="Q170" s="283" t="n"/>
      <c r="R170" s="283" t="n"/>
      <c r="S170" s="283" t="n"/>
      <c r="T170" s="283" t="n"/>
      <c r="U170" s="283" t="n"/>
      <c r="V170" s="283" t="n"/>
      <c r="W170" s="283" t="n"/>
      <c r="X170" s="283" t="n"/>
      <c r="Y170" s="283" t="n"/>
      <c r="Z170" s="283" t="n"/>
    </row>
    <row r="171">
      <c r="A171" s="283" t="n"/>
      <c r="B171" s="283" t="n"/>
      <c r="C171" s="283" t="n"/>
      <c r="D171" s="283" t="n"/>
      <c r="E171" s="283" t="n"/>
      <c r="F171" s="283" t="n"/>
      <c r="G171" s="283" t="n"/>
      <c r="H171" s="283" t="n"/>
      <c r="I171" s="283" t="n"/>
      <c r="J171" s="283" t="n"/>
      <c r="K171" s="283" t="n"/>
      <c r="L171" s="283" t="n"/>
      <c r="M171" s="283" t="n"/>
      <c r="N171" s="380" t="n"/>
      <c r="O171" s="380" t="n"/>
      <c r="P171" s="283" t="n"/>
      <c r="Q171" s="283" t="n"/>
      <c r="R171" s="283" t="n"/>
      <c r="S171" s="283" t="n"/>
      <c r="T171" s="283" t="n"/>
      <c r="U171" s="283" t="n"/>
      <c r="V171" s="283" t="n"/>
      <c r="W171" s="283" t="n"/>
      <c r="X171" s="283" t="n"/>
      <c r="Y171" s="283" t="n"/>
      <c r="Z171" s="283" t="n"/>
    </row>
    <row r="172">
      <c r="A172" s="283" t="n"/>
      <c r="B172" s="283" t="n"/>
      <c r="C172" s="283" t="n"/>
      <c r="D172" s="283" t="n"/>
      <c r="E172" s="283" t="n"/>
      <c r="F172" s="283" t="n"/>
      <c r="G172" s="283" t="n"/>
      <c r="H172" s="283" t="n"/>
      <c r="I172" s="283" t="n"/>
      <c r="J172" s="283" t="n"/>
      <c r="K172" s="283" t="n"/>
      <c r="L172" s="283" t="n"/>
      <c r="M172" s="283" t="n"/>
      <c r="N172" s="380" t="n"/>
      <c r="O172" s="380" t="n"/>
      <c r="P172" s="283" t="n"/>
      <c r="Q172" s="283" t="n"/>
      <c r="R172" s="283" t="n"/>
      <c r="S172" s="283" t="n"/>
      <c r="T172" s="283" t="n"/>
      <c r="U172" s="283" t="n"/>
      <c r="V172" s="283" t="n"/>
      <c r="W172" s="283" t="n"/>
      <c r="X172" s="283" t="n"/>
      <c r="Y172" s="283" t="n"/>
      <c r="Z172" s="283" t="n"/>
    </row>
    <row r="173">
      <c r="A173" s="283" t="n"/>
      <c r="B173" s="283" t="n"/>
      <c r="C173" s="283" t="n"/>
      <c r="D173" s="283" t="n"/>
      <c r="E173" s="283" t="n"/>
      <c r="F173" s="283" t="n"/>
      <c r="G173" s="283" t="n"/>
      <c r="H173" s="283" t="n"/>
      <c r="I173" s="283" t="n"/>
      <c r="J173" s="283" t="n"/>
      <c r="K173" s="283" t="n"/>
      <c r="L173" s="283" t="n"/>
      <c r="M173" s="283" t="n"/>
      <c r="N173" s="380" t="n"/>
      <c r="O173" s="380" t="n"/>
      <c r="P173" s="283" t="n"/>
      <c r="Q173" s="283" t="n"/>
      <c r="R173" s="283" t="n"/>
      <c r="S173" s="283" t="n"/>
      <c r="T173" s="283" t="n"/>
      <c r="U173" s="283" t="n"/>
      <c r="V173" s="283" t="n"/>
      <c r="W173" s="283" t="n"/>
      <c r="X173" s="283" t="n"/>
      <c r="Y173" s="283" t="n"/>
      <c r="Z173" s="283" t="n"/>
    </row>
    <row r="174">
      <c r="A174" s="283" t="n"/>
      <c r="B174" s="283" t="n"/>
      <c r="C174" s="283" t="n"/>
      <c r="D174" s="283" t="n"/>
      <c r="E174" s="283" t="n"/>
      <c r="F174" s="283" t="n"/>
      <c r="G174" s="283" t="n"/>
      <c r="H174" s="283" t="n"/>
      <c r="I174" s="283" t="n"/>
      <c r="J174" s="283" t="n"/>
      <c r="K174" s="283" t="n"/>
      <c r="L174" s="283" t="n"/>
      <c r="M174" s="283" t="n"/>
      <c r="N174" s="380" t="n"/>
      <c r="O174" s="380" t="n"/>
      <c r="P174" s="283" t="n"/>
      <c r="Q174" s="283" t="n"/>
      <c r="R174" s="283" t="n"/>
      <c r="S174" s="283" t="n"/>
      <c r="T174" s="283" t="n"/>
      <c r="U174" s="283" t="n"/>
      <c r="V174" s="283" t="n"/>
      <c r="W174" s="283" t="n"/>
      <c r="X174" s="283" t="n"/>
      <c r="Y174" s="283" t="n"/>
      <c r="Z174" s="283" t="n"/>
    </row>
    <row r="175">
      <c r="A175" s="283" t="n"/>
      <c r="B175" s="283" t="n"/>
      <c r="C175" s="283" t="n"/>
      <c r="D175" s="283" t="n"/>
      <c r="E175" s="283" t="n"/>
      <c r="F175" s="283" t="n"/>
      <c r="G175" s="283" t="n"/>
      <c r="H175" s="283" t="n"/>
      <c r="I175" s="283" t="n"/>
      <c r="J175" s="283" t="n"/>
      <c r="K175" s="283" t="n"/>
      <c r="L175" s="283" t="n"/>
      <c r="M175" s="283" t="n"/>
      <c r="N175" s="380" t="n"/>
      <c r="O175" s="380" t="n"/>
      <c r="P175" s="283" t="n"/>
      <c r="Q175" s="283" t="n"/>
      <c r="R175" s="283" t="n"/>
      <c r="S175" s="283" t="n"/>
      <c r="T175" s="283" t="n"/>
      <c r="U175" s="283" t="n"/>
      <c r="V175" s="283" t="n"/>
      <c r="W175" s="283" t="n"/>
      <c r="X175" s="283" t="n"/>
      <c r="Y175" s="283" t="n"/>
      <c r="Z175" s="283" t="n"/>
    </row>
    <row r="176">
      <c r="A176" s="283" t="n"/>
      <c r="B176" s="283" t="n"/>
      <c r="C176" s="283" t="n"/>
      <c r="D176" s="283" t="n"/>
      <c r="E176" s="283" t="n"/>
      <c r="F176" s="283" t="n"/>
      <c r="G176" s="283" t="n"/>
      <c r="H176" s="283" t="n"/>
      <c r="I176" s="283" t="n"/>
      <c r="J176" s="283" t="n"/>
      <c r="K176" s="283" t="n"/>
      <c r="L176" s="283" t="n"/>
      <c r="M176" s="283" t="n"/>
      <c r="N176" s="380" t="n"/>
      <c r="O176" s="380" t="n"/>
      <c r="P176" s="283" t="n"/>
      <c r="Q176" s="283" t="n"/>
      <c r="R176" s="283" t="n"/>
      <c r="S176" s="283" t="n"/>
      <c r="T176" s="283" t="n"/>
      <c r="U176" s="283" t="n"/>
      <c r="V176" s="283" t="n"/>
      <c r="W176" s="283" t="n"/>
      <c r="X176" s="283" t="n"/>
      <c r="Y176" s="283" t="n"/>
      <c r="Z176" s="283" t="n"/>
    </row>
    <row r="177">
      <c r="A177" s="283" t="n"/>
      <c r="B177" s="283" t="n"/>
      <c r="C177" s="283" t="n"/>
      <c r="D177" s="283" t="n"/>
      <c r="E177" s="283" t="n"/>
      <c r="F177" s="283" t="n"/>
      <c r="G177" s="283" t="n"/>
      <c r="H177" s="283" t="n"/>
      <c r="I177" s="283" t="n"/>
      <c r="J177" s="283" t="n"/>
      <c r="K177" s="283" t="n"/>
      <c r="L177" s="283" t="n"/>
      <c r="M177" s="283" t="n"/>
      <c r="N177" s="380" t="n"/>
      <c r="O177" s="380" t="n"/>
      <c r="P177" s="283" t="n"/>
      <c r="Q177" s="283" t="n"/>
      <c r="R177" s="283" t="n"/>
      <c r="S177" s="283" t="n"/>
      <c r="T177" s="283" t="n"/>
      <c r="U177" s="283" t="n"/>
      <c r="V177" s="283" t="n"/>
      <c r="W177" s="283" t="n"/>
      <c r="X177" s="283" t="n"/>
      <c r="Y177" s="283" t="n"/>
      <c r="Z177" s="283" t="n"/>
    </row>
    <row r="178">
      <c r="A178" s="283" t="n"/>
      <c r="B178" s="283" t="n"/>
      <c r="C178" s="283" t="n"/>
      <c r="D178" s="283" t="n"/>
      <c r="E178" s="283" t="n"/>
      <c r="F178" s="283" t="n"/>
      <c r="G178" s="283" t="n"/>
      <c r="H178" s="283" t="n"/>
      <c r="I178" s="283" t="n"/>
      <c r="J178" s="283" t="n"/>
      <c r="K178" s="283" t="n"/>
      <c r="L178" s="283" t="n"/>
      <c r="M178" s="283" t="n"/>
      <c r="N178" s="380" t="n"/>
      <c r="O178" s="380" t="n"/>
      <c r="P178" s="283" t="n"/>
      <c r="Q178" s="283" t="n"/>
      <c r="R178" s="283" t="n"/>
      <c r="S178" s="283" t="n"/>
      <c r="T178" s="283" t="n"/>
      <c r="U178" s="283" t="n"/>
      <c r="V178" s="283" t="n"/>
      <c r="W178" s="283" t="n"/>
      <c r="X178" s="283" t="n"/>
      <c r="Y178" s="283" t="n"/>
      <c r="Z178" s="283" t="n"/>
    </row>
    <row r="179">
      <c r="A179" s="283" t="n"/>
      <c r="B179" s="283" t="n"/>
      <c r="C179" s="283" t="n"/>
      <c r="D179" s="283" t="n"/>
      <c r="E179" s="283" t="n"/>
      <c r="F179" s="283" t="n"/>
      <c r="G179" s="283" t="n"/>
      <c r="H179" s="283" t="n"/>
      <c r="I179" s="283" t="n"/>
      <c r="J179" s="283" t="n"/>
      <c r="K179" s="283" t="n"/>
      <c r="L179" s="283" t="n"/>
      <c r="M179" s="283" t="n"/>
      <c r="N179" s="380" t="n"/>
      <c r="O179" s="380" t="n"/>
      <c r="P179" s="283" t="n"/>
      <c r="Q179" s="283" t="n"/>
      <c r="R179" s="283" t="n"/>
      <c r="S179" s="283" t="n"/>
      <c r="T179" s="283" t="n"/>
      <c r="U179" s="283" t="n"/>
      <c r="V179" s="283" t="n"/>
      <c r="W179" s="283" t="n"/>
      <c r="X179" s="283" t="n"/>
      <c r="Y179" s="283" t="n"/>
      <c r="Z179" s="283" t="n"/>
    </row>
    <row r="180">
      <c r="A180" s="283" t="n"/>
      <c r="B180" s="283" t="n"/>
      <c r="C180" s="283" t="n"/>
      <c r="D180" s="283" t="n"/>
      <c r="E180" s="283" t="n"/>
      <c r="F180" s="283" t="n"/>
      <c r="G180" s="283" t="n"/>
      <c r="H180" s="283" t="n"/>
      <c r="I180" s="283" t="n"/>
      <c r="J180" s="283" t="n"/>
      <c r="K180" s="283" t="n"/>
      <c r="L180" s="283" t="n"/>
      <c r="M180" s="283" t="n"/>
      <c r="N180" s="380" t="n"/>
      <c r="O180" s="380" t="n"/>
      <c r="P180" s="283" t="n"/>
      <c r="Q180" s="283" t="n"/>
      <c r="R180" s="283" t="n"/>
      <c r="S180" s="283" t="n"/>
      <c r="T180" s="283" t="n"/>
      <c r="U180" s="283" t="n"/>
      <c r="V180" s="283" t="n"/>
      <c r="W180" s="283" t="n"/>
      <c r="X180" s="283" t="n"/>
      <c r="Y180" s="283" t="n"/>
      <c r="Z180" s="283" t="n"/>
    </row>
    <row r="181">
      <c r="A181" s="283" t="n"/>
      <c r="B181" s="283" t="n"/>
      <c r="C181" s="283" t="n"/>
      <c r="D181" s="283" t="n"/>
      <c r="E181" s="283" t="n"/>
      <c r="F181" s="283" t="n"/>
      <c r="G181" s="283" t="n"/>
      <c r="H181" s="283" t="n"/>
      <c r="I181" s="283" t="n"/>
      <c r="J181" s="283" t="n"/>
      <c r="K181" s="283" t="n"/>
      <c r="L181" s="283" t="n"/>
      <c r="M181" s="283" t="n"/>
      <c r="N181" s="380" t="n"/>
      <c r="O181" s="380" t="n"/>
      <c r="P181" s="283" t="n"/>
      <c r="Q181" s="283" t="n"/>
      <c r="R181" s="283" t="n"/>
      <c r="S181" s="283" t="n"/>
      <c r="T181" s="283" t="n"/>
      <c r="U181" s="283" t="n"/>
      <c r="V181" s="283" t="n"/>
      <c r="W181" s="283" t="n"/>
      <c r="X181" s="283" t="n"/>
      <c r="Y181" s="283" t="n"/>
      <c r="Z181" s="283" t="n"/>
    </row>
    <row r="182">
      <c r="A182" s="283" t="n"/>
      <c r="B182" s="283" t="n"/>
      <c r="C182" s="283" t="n"/>
      <c r="D182" s="283" t="n"/>
      <c r="E182" s="283" t="n"/>
      <c r="F182" s="283" t="n"/>
      <c r="G182" s="283" t="n"/>
      <c r="H182" s="283" t="n"/>
      <c r="I182" s="283" t="n"/>
      <c r="J182" s="283" t="n"/>
      <c r="K182" s="283" t="n"/>
      <c r="L182" s="283" t="n"/>
      <c r="M182" s="283" t="n"/>
      <c r="N182" s="380" t="n"/>
      <c r="O182" s="380" t="n"/>
      <c r="P182" s="283" t="n"/>
      <c r="Q182" s="283" t="n"/>
      <c r="R182" s="283" t="n"/>
      <c r="S182" s="283" t="n"/>
      <c r="T182" s="283" t="n"/>
      <c r="U182" s="283" t="n"/>
      <c r="V182" s="283" t="n"/>
      <c r="W182" s="283" t="n"/>
      <c r="X182" s="283" t="n"/>
      <c r="Y182" s="283" t="n"/>
      <c r="Z182" s="283" t="n"/>
    </row>
    <row r="183">
      <c r="A183" s="283" t="n"/>
      <c r="B183" s="283" t="n"/>
      <c r="C183" s="283" t="n"/>
      <c r="D183" s="283" t="n"/>
      <c r="E183" s="283" t="n"/>
      <c r="F183" s="283" t="n"/>
      <c r="G183" s="283" t="n"/>
      <c r="H183" s="283" t="n"/>
      <c r="I183" s="283" t="n"/>
      <c r="J183" s="283" t="n"/>
      <c r="K183" s="283" t="n"/>
      <c r="L183" s="283" t="n"/>
      <c r="M183" s="283" t="n"/>
      <c r="N183" s="380" t="n"/>
      <c r="O183" s="380" t="n"/>
      <c r="P183" s="283" t="n"/>
      <c r="Q183" s="283" t="n"/>
      <c r="R183" s="283" t="n"/>
      <c r="S183" s="283" t="n"/>
      <c r="T183" s="283" t="n"/>
      <c r="U183" s="283" t="n"/>
      <c r="V183" s="283" t="n"/>
      <c r="W183" s="283" t="n"/>
      <c r="X183" s="283" t="n"/>
      <c r="Y183" s="283" t="n"/>
      <c r="Z183" s="283" t="n"/>
    </row>
    <row r="184">
      <c r="A184" s="283" t="n"/>
      <c r="B184" s="283" t="n"/>
      <c r="C184" s="283" t="n"/>
      <c r="D184" s="283" t="n"/>
      <c r="E184" s="283" t="n"/>
      <c r="F184" s="283" t="n"/>
      <c r="G184" s="283" t="n"/>
      <c r="H184" s="283" t="n"/>
      <c r="I184" s="283" t="n"/>
      <c r="J184" s="283" t="n"/>
      <c r="K184" s="283" t="n"/>
      <c r="L184" s="283" t="n"/>
      <c r="M184" s="283" t="n"/>
      <c r="N184" s="380" t="n"/>
      <c r="O184" s="380" t="n"/>
      <c r="P184" s="283" t="n"/>
      <c r="Q184" s="283" t="n"/>
      <c r="R184" s="283" t="n"/>
      <c r="S184" s="283" t="n"/>
      <c r="T184" s="283" t="n"/>
      <c r="U184" s="283" t="n"/>
      <c r="V184" s="283" t="n"/>
      <c r="W184" s="283" t="n"/>
      <c r="X184" s="283" t="n"/>
      <c r="Y184" s="283" t="n"/>
      <c r="Z184" s="283" t="n"/>
    </row>
    <row r="185">
      <c r="A185" s="283" t="n"/>
      <c r="B185" s="283" t="n"/>
      <c r="C185" s="283" t="n"/>
      <c r="D185" s="283" t="n"/>
      <c r="E185" s="283" t="n"/>
      <c r="F185" s="283" t="n"/>
      <c r="G185" s="283" t="n"/>
      <c r="H185" s="283" t="n"/>
      <c r="I185" s="283" t="n"/>
      <c r="J185" s="283" t="n"/>
      <c r="K185" s="283" t="n"/>
      <c r="L185" s="283" t="n"/>
      <c r="M185" s="283" t="n"/>
      <c r="N185" s="380" t="n"/>
      <c r="O185" s="380" t="n"/>
      <c r="P185" s="283" t="n"/>
      <c r="Q185" s="283" t="n"/>
      <c r="R185" s="283" t="n"/>
      <c r="S185" s="283" t="n"/>
      <c r="T185" s="283" t="n"/>
      <c r="U185" s="283" t="n"/>
      <c r="V185" s="283" t="n"/>
      <c r="W185" s="283" t="n"/>
      <c r="X185" s="283" t="n"/>
      <c r="Y185" s="283" t="n"/>
      <c r="Z185" s="283" t="n"/>
    </row>
    <row r="186">
      <c r="A186" s="283" t="n"/>
      <c r="B186" s="283" t="n"/>
      <c r="C186" s="283" t="n"/>
      <c r="D186" s="283" t="n"/>
      <c r="E186" s="283" t="n"/>
      <c r="F186" s="283" t="n"/>
      <c r="G186" s="283" t="n"/>
      <c r="H186" s="283" t="n"/>
      <c r="I186" s="283" t="n"/>
      <c r="J186" s="283" t="n"/>
      <c r="K186" s="283" t="n"/>
      <c r="L186" s="283" t="n"/>
      <c r="M186" s="283" t="n"/>
      <c r="N186" s="380" t="n"/>
      <c r="O186" s="380" t="n"/>
      <c r="P186" s="283" t="n"/>
      <c r="Q186" s="283" t="n"/>
      <c r="R186" s="283" t="n"/>
      <c r="S186" s="283" t="n"/>
      <c r="T186" s="283" t="n"/>
      <c r="U186" s="283" t="n"/>
      <c r="V186" s="283" t="n"/>
      <c r="W186" s="283" t="n"/>
      <c r="X186" s="283" t="n"/>
      <c r="Y186" s="283" t="n"/>
      <c r="Z186" s="283" t="n"/>
    </row>
    <row r="187">
      <c r="A187" s="283" t="n"/>
      <c r="B187" s="283" t="n"/>
      <c r="C187" s="283" t="n"/>
      <c r="D187" s="283" t="n"/>
      <c r="E187" s="283" t="n"/>
      <c r="F187" s="283" t="n"/>
      <c r="G187" s="283" t="n"/>
      <c r="H187" s="283" t="n"/>
      <c r="I187" s="283" t="n"/>
      <c r="J187" s="283" t="n"/>
      <c r="K187" s="283" t="n"/>
      <c r="L187" s="283" t="n"/>
      <c r="M187" s="283" t="n"/>
      <c r="N187" s="380" t="n"/>
      <c r="O187" s="380" t="n"/>
      <c r="P187" s="283" t="n"/>
      <c r="Q187" s="283" t="n"/>
      <c r="R187" s="283" t="n"/>
      <c r="S187" s="283" t="n"/>
      <c r="T187" s="283" t="n"/>
      <c r="U187" s="283" t="n"/>
      <c r="V187" s="283" t="n"/>
      <c r="W187" s="283" t="n"/>
      <c r="X187" s="283" t="n"/>
      <c r="Y187" s="283" t="n"/>
      <c r="Z187" s="283" t="n"/>
    </row>
    <row r="188">
      <c r="A188" s="283" t="n"/>
      <c r="B188" s="283" t="n"/>
      <c r="C188" s="283" t="n"/>
      <c r="D188" s="283" t="n"/>
      <c r="E188" s="283" t="n"/>
      <c r="F188" s="283" t="n"/>
      <c r="G188" s="283" t="n"/>
      <c r="H188" s="283" t="n"/>
      <c r="I188" s="283" t="n"/>
      <c r="J188" s="283" t="n"/>
      <c r="K188" s="283" t="n"/>
      <c r="L188" s="283" t="n"/>
      <c r="M188" s="283" t="n"/>
      <c r="N188" s="380" t="n"/>
      <c r="O188" s="380" t="n"/>
      <c r="P188" s="283" t="n"/>
      <c r="Q188" s="283" t="n"/>
      <c r="R188" s="283" t="n"/>
      <c r="S188" s="283" t="n"/>
      <c r="T188" s="283" t="n"/>
      <c r="U188" s="283" t="n"/>
      <c r="V188" s="283" t="n"/>
      <c r="W188" s="283" t="n"/>
      <c r="X188" s="283" t="n"/>
      <c r="Y188" s="283" t="n"/>
      <c r="Z188" s="283" t="n"/>
    </row>
    <row r="189">
      <c r="A189" s="283" t="n"/>
      <c r="B189" s="283" t="n"/>
      <c r="C189" s="283" t="n"/>
      <c r="D189" s="283" t="n"/>
      <c r="E189" s="283" t="n"/>
      <c r="F189" s="283" t="n"/>
      <c r="G189" s="283" t="n"/>
      <c r="H189" s="283" t="n"/>
      <c r="I189" s="283" t="n"/>
      <c r="J189" s="283" t="n"/>
      <c r="K189" s="283" t="n"/>
      <c r="L189" s="283" t="n"/>
      <c r="M189" s="283" t="n"/>
      <c r="N189" s="380" t="n"/>
      <c r="O189" s="380" t="n"/>
      <c r="P189" s="283" t="n"/>
      <c r="Q189" s="283" t="n"/>
      <c r="R189" s="283" t="n"/>
      <c r="S189" s="283" t="n"/>
      <c r="T189" s="283" t="n"/>
      <c r="U189" s="283" t="n"/>
      <c r="V189" s="283" t="n"/>
      <c r="W189" s="283" t="n"/>
      <c r="X189" s="283" t="n"/>
      <c r="Y189" s="283" t="n"/>
      <c r="Z189" s="283" t="n"/>
    </row>
    <row r="190">
      <c r="A190" s="283" t="n"/>
      <c r="B190" s="283" t="n"/>
      <c r="C190" s="283" t="n"/>
      <c r="D190" s="283" t="n"/>
      <c r="E190" s="283" t="n"/>
      <c r="F190" s="283" t="n"/>
      <c r="G190" s="283" t="n"/>
      <c r="H190" s="283" t="n"/>
      <c r="I190" s="283" t="n"/>
      <c r="J190" s="283" t="n"/>
      <c r="K190" s="283" t="n"/>
      <c r="L190" s="283" t="n"/>
      <c r="M190" s="283" t="n"/>
      <c r="N190" s="380" t="n"/>
      <c r="O190" s="380" t="n"/>
      <c r="P190" s="283" t="n"/>
      <c r="Q190" s="283" t="n"/>
      <c r="R190" s="283" t="n"/>
      <c r="S190" s="283" t="n"/>
      <c r="T190" s="283" t="n"/>
      <c r="U190" s="283" t="n"/>
      <c r="V190" s="283" t="n"/>
      <c r="W190" s="283" t="n"/>
      <c r="X190" s="283" t="n"/>
      <c r="Y190" s="283" t="n"/>
      <c r="Z190" s="283" t="n"/>
    </row>
    <row r="191">
      <c r="A191" s="283" t="n"/>
      <c r="B191" s="283" t="n"/>
      <c r="C191" s="283" t="n"/>
      <c r="D191" s="283" t="n"/>
      <c r="E191" s="283" t="n"/>
      <c r="F191" s="283" t="n"/>
      <c r="G191" s="283" t="n"/>
      <c r="H191" s="283" t="n"/>
      <c r="I191" s="283" t="n"/>
      <c r="J191" s="283" t="n"/>
      <c r="K191" s="283" t="n"/>
      <c r="L191" s="283" t="n"/>
      <c r="M191" s="283" t="n"/>
      <c r="N191" s="380" t="n"/>
      <c r="O191" s="380" t="n"/>
      <c r="P191" s="283" t="n"/>
      <c r="Q191" s="283" t="n"/>
      <c r="R191" s="283" t="n"/>
      <c r="S191" s="283" t="n"/>
      <c r="T191" s="283" t="n"/>
      <c r="U191" s="283" t="n"/>
      <c r="V191" s="283" t="n"/>
      <c r="W191" s="283" t="n"/>
      <c r="X191" s="283" t="n"/>
      <c r="Y191" s="283" t="n"/>
      <c r="Z191" s="283" t="n"/>
    </row>
    <row r="192">
      <c r="A192" s="283" t="n"/>
      <c r="B192" s="283" t="n"/>
      <c r="C192" s="283" t="n"/>
      <c r="D192" s="283" t="n"/>
      <c r="E192" s="283" t="n"/>
      <c r="F192" s="283" t="n"/>
      <c r="G192" s="283" t="n"/>
      <c r="H192" s="283" t="n"/>
      <c r="I192" s="283" t="n"/>
      <c r="J192" s="283" t="n"/>
      <c r="K192" s="283" t="n"/>
      <c r="L192" s="283" t="n"/>
      <c r="M192" s="283" t="n"/>
      <c r="N192" s="380" t="n"/>
      <c r="O192" s="380" t="n"/>
      <c r="P192" s="283" t="n"/>
      <c r="Q192" s="283" t="n"/>
      <c r="R192" s="283" t="n"/>
      <c r="S192" s="283" t="n"/>
      <c r="T192" s="283" t="n"/>
      <c r="U192" s="283" t="n"/>
      <c r="V192" s="283" t="n"/>
      <c r="W192" s="283" t="n"/>
      <c r="X192" s="283" t="n"/>
      <c r="Y192" s="283" t="n"/>
      <c r="Z192" s="283" t="n"/>
    </row>
    <row r="193">
      <c r="A193" s="283" t="n"/>
      <c r="B193" s="283" t="n"/>
      <c r="C193" s="283" t="n"/>
      <c r="D193" s="283" t="n"/>
      <c r="E193" s="283" t="n"/>
      <c r="F193" s="283" t="n"/>
      <c r="G193" s="283" t="n"/>
      <c r="H193" s="283" t="n"/>
      <c r="I193" s="283" t="n"/>
      <c r="J193" s="283" t="n"/>
      <c r="K193" s="283" t="n"/>
      <c r="L193" s="283" t="n"/>
      <c r="M193" s="283" t="n"/>
      <c r="N193" s="380" t="n"/>
      <c r="O193" s="380" t="n"/>
      <c r="P193" s="283" t="n"/>
      <c r="Q193" s="283" t="n"/>
      <c r="R193" s="283" t="n"/>
      <c r="S193" s="283" t="n"/>
      <c r="T193" s="283" t="n"/>
      <c r="U193" s="283" t="n"/>
      <c r="V193" s="283" t="n"/>
      <c r="W193" s="283" t="n"/>
      <c r="X193" s="283" t="n"/>
      <c r="Y193" s="283" t="n"/>
      <c r="Z193" s="283" t="n"/>
    </row>
    <row r="194">
      <c r="A194" s="283" t="n"/>
      <c r="B194" s="283" t="n"/>
      <c r="C194" s="283" t="n"/>
      <c r="D194" s="283" t="n"/>
      <c r="E194" s="283" t="n"/>
      <c r="F194" s="283" t="n"/>
      <c r="G194" s="283" t="n"/>
      <c r="H194" s="283" t="n"/>
      <c r="I194" s="283" t="n"/>
      <c r="J194" s="283" t="n"/>
      <c r="K194" s="283" t="n"/>
      <c r="L194" s="283" t="n"/>
      <c r="M194" s="283" t="n"/>
      <c r="N194" s="380" t="n"/>
      <c r="O194" s="380" t="n"/>
      <c r="P194" s="283" t="n"/>
      <c r="Q194" s="283" t="n"/>
      <c r="R194" s="283" t="n"/>
      <c r="S194" s="283" t="n"/>
      <c r="T194" s="283" t="n"/>
      <c r="U194" s="283" t="n"/>
      <c r="V194" s="283" t="n"/>
      <c r="W194" s="283" t="n"/>
      <c r="X194" s="283" t="n"/>
      <c r="Y194" s="283" t="n"/>
      <c r="Z194" s="283" t="n"/>
    </row>
    <row r="195">
      <c r="A195" s="283" t="n"/>
      <c r="B195" s="283" t="n"/>
      <c r="C195" s="283" t="n"/>
      <c r="D195" s="283" t="n"/>
      <c r="E195" s="283" t="n"/>
      <c r="F195" s="283" t="n"/>
      <c r="G195" s="283" t="n"/>
      <c r="H195" s="283" t="n"/>
      <c r="I195" s="283" t="n"/>
      <c r="J195" s="283" t="n"/>
      <c r="K195" s="283" t="n"/>
      <c r="L195" s="283" t="n"/>
      <c r="M195" s="283" t="n"/>
      <c r="N195" s="380" t="n"/>
      <c r="O195" s="380" t="n"/>
      <c r="P195" s="283" t="n"/>
      <c r="Q195" s="283" t="n"/>
      <c r="R195" s="283" t="n"/>
      <c r="S195" s="283" t="n"/>
      <c r="T195" s="283" t="n"/>
      <c r="U195" s="283" t="n"/>
      <c r="V195" s="283" t="n"/>
      <c r="W195" s="283" t="n"/>
      <c r="X195" s="283" t="n"/>
      <c r="Y195" s="283" t="n"/>
      <c r="Z195" s="283" t="n"/>
    </row>
    <row r="196">
      <c r="A196" s="283" t="n"/>
      <c r="B196" s="283" t="n"/>
      <c r="C196" s="283" t="n"/>
      <c r="D196" s="283" t="n"/>
      <c r="E196" s="283" t="n"/>
      <c r="F196" s="283" t="n"/>
      <c r="G196" s="283" t="n"/>
      <c r="H196" s="283" t="n"/>
      <c r="I196" s="283" t="n"/>
      <c r="J196" s="283" t="n"/>
      <c r="K196" s="283" t="n"/>
      <c r="L196" s="283" t="n"/>
      <c r="M196" s="283" t="n"/>
      <c r="N196" s="380" t="n"/>
      <c r="O196" s="380" t="n"/>
      <c r="P196" s="283" t="n"/>
      <c r="Q196" s="283" t="n"/>
      <c r="R196" s="283" t="n"/>
      <c r="S196" s="283" t="n"/>
      <c r="T196" s="283" t="n"/>
      <c r="U196" s="283" t="n"/>
      <c r="V196" s="283" t="n"/>
      <c r="W196" s="283" t="n"/>
      <c r="X196" s="283" t="n"/>
      <c r="Y196" s="283" t="n"/>
      <c r="Z196" s="283" t="n"/>
    </row>
    <row r="197">
      <c r="A197" s="283" t="n"/>
      <c r="B197" s="283" t="n"/>
      <c r="C197" s="283" t="n"/>
      <c r="D197" s="283" t="n"/>
      <c r="E197" s="283" t="n"/>
      <c r="F197" s="283" t="n"/>
      <c r="G197" s="283" t="n"/>
      <c r="H197" s="283" t="n"/>
      <c r="I197" s="283" t="n"/>
      <c r="J197" s="283" t="n"/>
      <c r="K197" s="283" t="n"/>
      <c r="L197" s="283" t="n"/>
      <c r="M197" s="283" t="n"/>
      <c r="N197" s="380" t="n"/>
      <c r="O197" s="380" t="n"/>
      <c r="P197" s="283" t="n"/>
      <c r="Q197" s="283" t="n"/>
      <c r="R197" s="283" t="n"/>
      <c r="S197" s="283" t="n"/>
      <c r="T197" s="283" t="n"/>
      <c r="U197" s="283" t="n"/>
      <c r="V197" s="283" t="n"/>
      <c r="W197" s="283" t="n"/>
      <c r="X197" s="283" t="n"/>
      <c r="Y197" s="283" t="n"/>
      <c r="Z197" s="283" t="n"/>
    </row>
    <row r="198">
      <c r="A198" s="283" t="n"/>
      <c r="B198" s="283" t="n"/>
      <c r="C198" s="283" t="n"/>
      <c r="D198" s="283" t="n"/>
      <c r="E198" s="283" t="n"/>
      <c r="F198" s="283" t="n"/>
      <c r="G198" s="283" t="n"/>
      <c r="H198" s="283" t="n"/>
      <c r="I198" s="283" t="n"/>
      <c r="J198" s="283" t="n"/>
      <c r="K198" s="283" t="n"/>
      <c r="L198" s="283" t="n"/>
      <c r="M198" s="283" t="n"/>
      <c r="N198" s="380" t="n"/>
      <c r="O198" s="380" t="n"/>
      <c r="P198" s="283" t="n"/>
      <c r="Q198" s="283" t="n"/>
      <c r="R198" s="283" t="n"/>
      <c r="S198" s="283" t="n"/>
      <c r="T198" s="283" t="n"/>
      <c r="U198" s="283" t="n"/>
      <c r="V198" s="283" t="n"/>
      <c r="W198" s="283" t="n"/>
      <c r="X198" s="283" t="n"/>
      <c r="Y198" s="283" t="n"/>
      <c r="Z198" s="283" t="n"/>
    </row>
    <row r="199">
      <c r="A199" s="283" t="n"/>
      <c r="B199" s="283" t="n"/>
      <c r="C199" s="283" t="n"/>
      <c r="D199" s="283" t="n"/>
      <c r="E199" s="283" t="n"/>
      <c r="F199" s="283" t="n"/>
      <c r="G199" s="283" t="n"/>
      <c r="H199" s="283" t="n"/>
      <c r="I199" s="283" t="n"/>
      <c r="J199" s="283" t="n"/>
      <c r="K199" s="283" t="n"/>
      <c r="L199" s="283" t="n"/>
      <c r="M199" s="283" t="n"/>
      <c r="N199" s="380" t="n"/>
      <c r="O199" s="380" t="n"/>
      <c r="P199" s="283" t="n"/>
      <c r="Q199" s="283" t="n"/>
      <c r="R199" s="283" t="n"/>
      <c r="S199" s="283" t="n"/>
      <c r="T199" s="283" t="n"/>
      <c r="U199" s="283" t="n"/>
      <c r="V199" s="283" t="n"/>
      <c r="W199" s="283" t="n"/>
      <c r="X199" s="283" t="n"/>
      <c r="Y199" s="283" t="n"/>
      <c r="Z199" s="283" t="n"/>
    </row>
    <row r="200">
      <c r="A200" s="283" t="n"/>
      <c r="B200" s="283" t="n"/>
      <c r="C200" s="283" t="n"/>
      <c r="D200" s="283" t="n"/>
      <c r="E200" s="283" t="n"/>
      <c r="F200" s="283" t="n"/>
      <c r="G200" s="283" t="n"/>
      <c r="H200" s="283" t="n"/>
      <c r="I200" s="283" t="n"/>
      <c r="J200" s="283" t="n"/>
      <c r="K200" s="283" t="n"/>
      <c r="L200" s="283" t="n"/>
      <c r="M200" s="283" t="n"/>
      <c r="N200" s="380" t="n"/>
      <c r="O200" s="380" t="n"/>
      <c r="P200" s="283" t="n"/>
      <c r="Q200" s="283" t="n"/>
      <c r="R200" s="283" t="n"/>
      <c r="S200" s="283" t="n"/>
      <c r="T200" s="283" t="n"/>
      <c r="U200" s="283" t="n"/>
      <c r="V200" s="283" t="n"/>
      <c r="W200" s="283" t="n"/>
      <c r="X200" s="283" t="n"/>
      <c r="Y200" s="283" t="n"/>
      <c r="Z200" s="283" t="n"/>
    </row>
    <row r="201">
      <c r="A201" s="283" t="n"/>
      <c r="B201" s="283" t="n"/>
      <c r="C201" s="283" t="n"/>
      <c r="D201" s="283" t="n"/>
      <c r="E201" s="283" t="n"/>
      <c r="F201" s="283" t="n"/>
      <c r="G201" s="283" t="n"/>
      <c r="H201" s="283" t="n"/>
      <c r="I201" s="283" t="n"/>
      <c r="J201" s="283" t="n"/>
      <c r="K201" s="283" t="n"/>
      <c r="L201" s="283" t="n"/>
      <c r="M201" s="283" t="n"/>
      <c r="N201" s="380" t="n"/>
      <c r="O201" s="380" t="n"/>
      <c r="P201" s="283" t="n"/>
      <c r="Q201" s="283" t="n"/>
      <c r="R201" s="283" t="n"/>
      <c r="S201" s="283" t="n"/>
      <c r="T201" s="283" t="n"/>
      <c r="U201" s="283" t="n"/>
      <c r="V201" s="283" t="n"/>
      <c r="W201" s="283" t="n"/>
      <c r="X201" s="283" t="n"/>
      <c r="Y201" s="283" t="n"/>
      <c r="Z201" s="283" t="n"/>
    </row>
    <row r="202">
      <c r="A202" s="283" t="n"/>
      <c r="B202" s="283" t="n"/>
      <c r="C202" s="283" t="n"/>
      <c r="D202" s="283" t="n"/>
      <c r="E202" s="283" t="n"/>
      <c r="F202" s="283" t="n"/>
      <c r="G202" s="283" t="n"/>
      <c r="H202" s="283" t="n"/>
      <c r="I202" s="283" t="n"/>
      <c r="J202" s="283" t="n"/>
      <c r="K202" s="283" t="n"/>
      <c r="L202" s="283" t="n"/>
      <c r="M202" s="283" t="n"/>
      <c r="N202" s="380" t="n"/>
      <c r="O202" s="380" t="n"/>
      <c r="P202" s="283" t="n"/>
      <c r="Q202" s="283" t="n"/>
      <c r="R202" s="283" t="n"/>
      <c r="S202" s="283" t="n"/>
      <c r="T202" s="283" t="n"/>
      <c r="U202" s="283" t="n"/>
      <c r="V202" s="283" t="n"/>
      <c r="W202" s="283" t="n"/>
      <c r="X202" s="283" t="n"/>
      <c r="Y202" s="283" t="n"/>
      <c r="Z202" s="283" t="n"/>
    </row>
    <row r="203">
      <c r="A203" s="283" t="n"/>
      <c r="B203" s="283" t="n"/>
      <c r="C203" s="283" t="n"/>
      <c r="D203" s="283" t="n"/>
      <c r="E203" s="283" t="n"/>
      <c r="F203" s="283" t="n"/>
      <c r="G203" s="283" t="n"/>
      <c r="H203" s="283" t="n"/>
      <c r="I203" s="283" t="n"/>
      <c r="J203" s="283" t="n"/>
      <c r="K203" s="283" t="n"/>
      <c r="L203" s="283" t="n"/>
      <c r="M203" s="283" t="n"/>
      <c r="N203" s="380" t="n"/>
      <c r="O203" s="380" t="n"/>
      <c r="P203" s="283" t="n"/>
      <c r="Q203" s="283" t="n"/>
      <c r="R203" s="283" t="n"/>
      <c r="S203" s="283" t="n"/>
      <c r="T203" s="283" t="n"/>
      <c r="U203" s="283" t="n"/>
      <c r="V203" s="283" t="n"/>
      <c r="W203" s="283" t="n"/>
      <c r="X203" s="283" t="n"/>
      <c r="Y203" s="283" t="n"/>
      <c r="Z203" s="283" t="n"/>
    </row>
    <row r="204">
      <c r="A204" s="283" t="n"/>
      <c r="B204" s="283" t="n"/>
      <c r="C204" s="283" t="n"/>
      <c r="D204" s="283" t="n"/>
      <c r="E204" s="283" t="n"/>
      <c r="F204" s="283" t="n"/>
      <c r="G204" s="283" t="n"/>
      <c r="H204" s="283" t="n"/>
      <c r="I204" s="283" t="n"/>
      <c r="J204" s="283" t="n"/>
      <c r="K204" s="283" t="n"/>
      <c r="L204" s="283" t="n"/>
      <c r="M204" s="283" t="n"/>
      <c r="N204" s="380" t="n"/>
      <c r="O204" s="380" t="n"/>
      <c r="P204" s="283" t="n"/>
      <c r="Q204" s="283" t="n"/>
      <c r="R204" s="283" t="n"/>
      <c r="S204" s="283" t="n"/>
      <c r="T204" s="283" t="n"/>
      <c r="U204" s="283" t="n"/>
      <c r="V204" s="283" t="n"/>
      <c r="W204" s="283" t="n"/>
      <c r="X204" s="283" t="n"/>
      <c r="Y204" s="283" t="n"/>
      <c r="Z204" s="283" t="n"/>
    </row>
    <row r="205">
      <c r="A205" s="283" t="n"/>
      <c r="B205" s="283" t="n"/>
      <c r="C205" s="283" t="n"/>
      <c r="D205" s="283" t="n"/>
      <c r="E205" s="283" t="n"/>
      <c r="F205" s="283" t="n"/>
      <c r="G205" s="283" t="n"/>
      <c r="H205" s="283" t="n"/>
      <c r="I205" s="283" t="n"/>
      <c r="J205" s="283" t="n"/>
      <c r="K205" s="283" t="n"/>
      <c r="L205" s="283" t="n"/>
      <c r="M205" s="283" t="n"/>
      <c r="N205" s="380" t="n"/>
      <c r="O205" s="380" t="n"/>
      <c r="P205" s="283" t="n"/>
      <c r="Q205" s="283" t="n"/>
      <c r="R205" s="283" t="n"/>
      <c r="S205" s="283" t="n"/>
      <c r="T205" s="283" t="n"/>
      <c r="U205" s="283" t="n"/>
      <c r="V205" s="283" t="n"/>
      <c r="W205" s="283" t="n"/>
      <c r="X205" s="283" t="n"/>
      <c r="Y205" s="283" t="n"/>
      <c r="Z205" s="283" t="n"/>
    </row>
    <row r="206">
      <c r="A206" s="283" t="n"/>
      <c r="B206" s="283" t="n"/>
      <c r="C206" s="283" t="n"/>
      <c r="D206" s="283" t="n"/>
      <c r="E206" s="283" t="n"/>
      <c r="F206" s="283" t="n"/>
      <c r="G206" s="283" t="n"/>
      <c r="H206" s="283" t="n"/>
      <c r="I206" s="283" t="n"/>
      <c r="J206" s="283" t="n"/>
      <c r="K206" s="283" t="n"/>
      <c r="L206" s="283" t="n"/>
      <c r="M206" s="283" t="n"/>
      <c r="N206" s="380" t="n"/>
      <c r="O206" s="380" t="n"/>
      <c r="P206" s="283" t="n"/>
      <c r="Q206" s="283" t="n"/>
      <c r="R206" s="283" t="n"/>
      <c r="S206" s="283" t="n"/>
      <c r="T206" s="283" t="n"/>
      <c r="U206" s="283" t="n"/>
      <c r="V206" s="283" t="n"/>
      <c r="W206" s="283" t="n"/>
      <c r="X206" s="283" t="n"/>
      <c r="Y206" s="283" t="n"/>
      <c r="Z206" s="283" t="n"/>
    </row>
    <row r="207">
      <c r="A207" s="283" t="n"/>
      <c r="B207" s="283" t="n"/>
      <c r="C207" s="283" t="n"/>
      <c r="D207" s="283" t="n"/>
      <c r="E207" s="283" t="n"/>
      <c r="F207" s="283" t="n"/>
      <c r="G207" s="283" t="n"/>
      <c r="H207" s="283" t="n"/>
      <c r="I207" s="283" t="n"/>
      <c r="J207" s="283" t="n"/>
      <c r="K207" s="283" t="n"/>
      <c r="L207" s="283" t="n"/>
      <c r="M207" s="283" t="n"/>
      <c r="N207" s="380" t="n"/>
      <c r="O207" s="380" t="n"/>
      <c r="P207" s="283" t="n"/>
      <c r="Q207" s="283" t="n"/>
      <c r="R207" s="283" t="n"/>
      <c r="S207" s="283" t="n"/>
      <c r="T207" s="283" t="n"/>
      <c r="U207" s="283" t="n"/>
      <c r="V207" s="283" t="n"/>
      <c r="W207" s="283" t="n"/>
      <c r="X207" s="283" t="n"/>
      <c r="Y207" s="283" t="n"/>
      <c r="Z207" s="283" t="n"/>
    </row>
    <row r="208">
      <c r="A208" s="283" t="n"/>
      <c r="B208" s="283" t="n"/>
      <c r="C208" s="283" t="n"/>
      <c r="D208" s="283" t="n"/>
      <c r="E208" s="283" t="n"/>
      <c r="F208" s="283" t="n"/>
      <c r="G208" s="283" t="n"/>
      <c r="H208" s="283" t="n"/>
      <c r="I208" s="283" t="n"/>
      <c r="J208" s="283" t="n"/>
      <c r="K208" s="283" t="n"/>
      <c r="L208" s="283" t="n"/>
      <c r="M208" s="283" t="n"/>
      <c r="N208" s="380" t="n"/>
      <c r="O208" s="380" t="n"/>
      <c r="P208" s="283" t="n"/>
      <c r="Q208" s="283" t="n"/>
      <c r="R208" s="283" t="n"/>
      <c r="S208" s="283" t="n"/>
      <c r="T208" s="283" t="n"/>
      <c r="U208" s="283" t="n"/>
      <c r="V208" s="283" t="n"/>
      <c r="W208" s="283" t="n"/>
      <c r="X208" s="283" t="n"/>
      <c r="Y208" s="283" t="n"/>
      <c r="Z208" s="283" t="n"/>
    </row>
    <row r="209">
      <c r="A209" s="283" t="n"/>
      <c r="B209" s="283" t="n"/>
      <c r="C209" s="283" t="n"/>
      <c r="D209" s="283" t="n"/>
      <c r="E209" s="283" t="n"/>
      <c r="F209" s="283" t="n"/>
      <c r="G209" s="283" t="n"/>
      <c r="H209" s="283" t="n"/>
      <c r="I209" s="283" t="n"/>
      <c r="J209" s="283" t="n"/>
      <c r="K209" s="283" t="n"/>
      <c r="L209" s="283" t="n"/>
      <c r="M209" s="283" t="n"/>
      <c r="N209" s="380" t="n"/>
      <c r="O209" s="380" t="n"/>
      <c r="P209" s="283" t="n"/>
      <c r="Q209" s="283" t="n"/>
      <c r="R209" s="283" t="n"/>
      <c r="S209" s="283" t="n"/>
      <c r="T209" s="283" t="n"/>
      <c r="U209" s="283" t="n"/>
      <c r="V209" s="283" t="n"/>
      <c r="W209" s="283" t="n"/>
      <c r="X209" s="283" t="n"/>
      <c r="Y209" s="283" t="n"/>
      <c r="Z209" s="283" t="n"/>
    </row>
    <row r="210">
      <c r="A210" s="283" t="n"/>
      <c r="B210" s="283" t="n"/>
      <c r="C210" s="283" t="n"/>
      <c r="D210" s="283" t="n"/>
      <c r="E210" s="283" t="n"/>
      <c r="F210" s="283" t="n"/>
      <c r="G210" s="283" t="n"/>
      <c r="H210" s="283" t="n"/>
      <c r="I210" s="283" t="n"/>
      <c r="J210" s="283" t="n"/>
      <c r="K210" s="283" t="n"/>
      <c r="L210" s="283" t="n"/>
      <c r="M210" s="283" t="n"/>
      <c r="N210" s="380" t="n"/>
      <c r="O210" s="380" t="n"/>
      <c r="P210" s="283" t="n"/>
      <c r="Q210" s="283" t="n"/>
      <c r="R210" s="283" t="n"/>
      <c r="S210" s="283" t="n"/>
      <c r="T210" s="283" t="n"/>
      <c r="U210" s="283" t="n"/>
      <c r="V210" s="283" t="n"/>
      <c r="W210" s="283" t="n"/>
      <c r="X210" s="283" t="n"/>
      <c r="Y210" s="283" t="n"/>
      <c r="Z210" s="283" t="n"/>
    </row>
    <row r="211">
      <c r="A211" s="283" t="n"/>
      <c r="B211" s="283" t="n"/>
      <c r="C211" s="283" t="n"/>
      <c r="D211" s="283" t="n"/>
      <c r="E211" s="283" t="n"/>
      <c r="F211" s="283" t="n"/>
      <c r="G211" s="283" t="n"/>
      <c r="H211" s="283" t="n"/>
      <c r="I211" s="283" t="n"/>
      <c r="J211" s="283" t="n"/>
      <c r="K211" s="283" t="n"/>
      <c r="L211" s="283" t="n"/>
      <c r="M211" s="283" t="n"/>
      <c r="N211" s="380" t="n"/>
      <c r="O211" s="380" t="n"/>
      <c r="P211" s="283" t="n"/>
      <c r="Q211" s="283" t="n"/>
      <c r="R211" s="283" t="n"/>
      <c r="S211" s="283" t="n"/>
      <c r="T211" s="283" t="n"/>
      <c r="U211" s="283" t="n"/>
      <c r="V211" s="283" t="n"/>
      <c r="W211" s="283" t="n"/>
      <c r="X211" s="283" t="n"/>
      <c r="Y211" s="283" t="n"/>
      <c r="Z211" s="283" t="n"/>
    </row>
  </sheetData>
  <sheetProtection selectLockedCells="0" selectUnlockedCells="0" sheet="1" objects="1" insertRows="1" insertHyperlinks="1" autoFilter="1" scenarios="1" formatColumns="1" deleteColumns="1" insertColumns="1" pivotTables="1" deleteRows="1" formatCells="1" formatRows="1" sort="1"/>
  <mergeCells count="13">
    <mergeCell ref="A4:B4"/>
    <mergeCell ref="A2:F2"/>
    <mergeCell ref="G1:H1"/>
    <mergeCell ref="G2:H3"/>
    <mergeCell ref="J2:J3"/>
    <mergeCell ref="A1:F1"/>
    <mergeCell ref="G4:M4"/>
    <mergeCell ref="M2:M3"/>
    <mergeCell ref="D4:E4"/>
    <mergeCell ref="I10:K12"/>
    <mergeCell ref="K2:K3"/>
    <mergeCell ref="I2:I3"/>
    <mergeCell ref="L2:L3"/>
  </mergeCells>
  <conditionalFormatting sqref="D15:D19">
    <cfRule type="cellIs" priority="1" operator="equal" dxfId="9" stopIfTrue="1">
      <formula>0</formula>
    </cfRule>
    <cfRule type="dataBar" priority="2">
      <dataBar>
        <cfvo type="num" val="0"/>
        <cfvo type="formula" val="$B29"/>
        <color rgb="FFC8D8C4"/>
      </dataBar>
    </cfRule>
    <cfRule type="cellIs" priority="3" operator="lessThan" dxfId="8">
      <formula>0</formula>
    </cfRule>
  </conditionalFormatting>
  <conditionalFormatting sqref="D24:D31">
    <cfRule type="cellIs" priority="4" operator="equal" dxfId="9" stopIfTrue="1">
      <formula>0</formula>
    </cfRule>
    <cfRule type="dataBar" priority="5">
      <dataBar>
        <cfvo type="num" val="0"/>
        <cfvo type="formula" val="$B47"/>
        <color rgb="FFC8D8C4"/>
      </dataBar>
    </cfRule>
    <cfRule type="cellIs" priority="6" operator="lessThan" dxfId="8">
      <formula>0</formula>
    </cfRule>
  </conditionalFormatting>
  <conditionalFormatting sqref="D36:D43">
    <cfRule type="cellIs" priority="7" operator="equal" dxfId="9" stopIfTrue="1">
      <formula>0</formula>
    </cfRule>
    <cfRule type="dataBar" priority="8">
      <dataBar>
        <cfvo type="num" val="0"/>
        <cfvo type="formula" val="$B71"/>
        <color rgb="FFC8D8C4"/>
      </dataBar>
    </cfRule>
    <cfRule type="cellIs" priority="9" operator="lessThan" dxfId="8">
      <formula>0</formula>
    </cfRule>
  </conditionalFormatting>
  <conditionalFormatting sqref="D48:D52">
    <cfRule type="cellIs" priority="10" operator="equal" dxfId="9" stopIfTrue="1">
      <formula>0</formula>
    </cfRule>
    <cfRule type="dataBar" priority="11">
      <dataBar>
        <cfvo type="num" val="0"/>
        <cfvo type="formula" val="$B95"/>
        <color rgb="FFC8D8C4"/>
      </dataBar>
    </cfRule>
    <cfRule type="cellIs" priority="12" operator="lessThan" dxfId="8">
      <formula>0</formula>
    </cfRule>
  </conditionalFormatting>
  <conditionalFormatting sqref="D57:D60">
    <cfRule type="cellIs" priority="13" operator="equal" dxfId="9" stopIfTrue="1">
      <formula>0</formula>
    </cfRule>
    <cfRule type="dataBar" priority="14">
      <dataBar>
        <cfvo type="num" val="0"/>
        <cfvo type="formula" val="$B113"/>
        <color rgb="FFC8D8C4"/>
      </dataBar>
    </cfRule>
    <cfRule type="cellIs" priority="15" operator="lessThan" dxfId="8">
      <formula>0</formula>
    </cfRule>
  </conditionalFormatting>
  <dataValidations count="4">
    <dataValidation sqref="B8" showDropDown="0" showInputMessage="1" showErrorMessage="1" allowBlank="1" type="list">
      <formula1>CurrencyList</formula1>
    </dataValidation>
    <dataValidation sqref="B6" showDropDown="0" showInputMessage="1" showErrorMessage="1" allowBlank="1" type="list">
      <formula1>PayFrequencyList</formula1>
    </dataValidation>
    <dataValidation sqref="E15:E19 E24:E31 E36:E43 E48:E52 E57:E60" showDropDown="0" showInputMessage="1" showErrorMessage="1" allowBlank="1" type="list">
      <formula1>"✓,​"</formula1>
    </dataValidation>
    <dataValidation sqref="B5 B7" showDropDown="0" showInputMessage="1" showErrorMessage="1" allowBlank="1" errorTitle="That's not a valid date" error="Please type a real date using your Excel's normal date format (any date through 2030)." promptTitle="Type a date" prompt="Use your Excel's normal date format. Any date through 2030 works."/>
  </dataValidations>
  <pageMargins left="0.7" right="0.7" top="0.75" bottom="0.75" header="0.3" footer="0.3"/>
  <pageSetup orientation="landscape" paperSize="9" scale="44" horizontalDpi="300" verticalDpi="0" copies="0"/>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tabColor rgb="00D9D0E8"/>
    <outlinePr summaryBelow="1" summaryRight="1"/>
    <pageSetUpPr/>
  </sheetPr>
  <dimension ref="A1:A29"/>
  <sheetViews>
    <sheetView showGridLines="0" topLeftCell="A18" workbookViewId="0">
      <selection activeCell="A20" sqref="A20"/>
    </sheetView>
  </sheetViews>
  <sheetFormatPr baseColWidth="8" defaultRowHeight="15"/>
  <cols>
    <col width="116" customWidth="1" style="232" min="1" max="1"/>
  </cols>
  <sheetData>
    <row r="1" ht="48" customHeight="1" s="232">
      <c r="A1" s="249" t="inlineStr">
        <is>
          <t>Notes &amp; FAQ</t>
        </is>
      </c>
    </row>
    <row r="2" ht="30" customHeight="1" s="232">
      <c r="A2" s="533" t="inlineStr">
        <is>
          <t>A few common questions, answered in plain language. If something still looks off, compare it to the Example tab, it shows exactly how a working month should look.</t>
        </is>
      </c>
    </row>
    <row r="3">
      <c r="A3" s="237" t="n"/>
    </row>
    <row r="4" ht="25" customHeight="1" s="232">
      <c r="A4" s="534" t="inlineStr">
        <is>
          <t>Why can't I edit this cell?</t>
        </is>
      </c>
    </row>
    <row r="5" ht="76" customHeight="1" s="232">
      <c r="A5" s="241" t="inlineStr">
        <is>
          <t>Most cells in this planner are locked on purpose. They hold formulas that do the math for you, and locking them stops accidental typing from breaking a calculation. Any cell with a soft cream/yellow fill is meant for you to type in. If you truly need to edit a locked cell, go to the Review tab in Excel and choose "Unprotect Sheet" (no password needed), but we'd recommend copying the Example tab's formula instead.</t>
        </is>
      </c>
    </row>
    <row r="6">
      <c r="A6" s="237" t="n"/>
    </row>
    <row r="7" ht="25" customHeight="1" s="232">
      <c r="A7" s="535" t="inlineStr">
        <is>
          <t>How do I add a new category (bill, expense, saving, debt, or income)?</t>
        </is>
      </c>
    </row>
    <row r="8" ht="76" customHeight="1" s="232">
      <c r="A8" s="241" t="inlineStr">
        <is>
          <t>Open the Settings tab (right-click any tab and choose "Unhide" if you don't see it) and add your new category name in the next empty row, next to the matching type (Bill, Expense, Saving, Debt, or Income). Then add a matching row to the same Budget vs. Actual table on the Paycheck Budget and Flexible Income Budget tabs. Every category lives in exactly one table, so nothing ever gets counted twice.</t>
        </is>
      </c>
    </row>
    <row r="9">
      <c r="A9" s="237" t="n"/>
    </row>
    <row r="10" ht="25" customHeight="1" s="232">
      <c r="A10" s="536" t="inlineStr">
        <is>
          <t>Why is my "Amount Left to Spend" showing a number I don't expect?</t>
        </is>
      </c>
    </row>
    <row r="11" ht="59" customHeight="1" s="232">
      <c r="A11" s="241" t="inlineStr">
        <is>
          <t>This number only counts transactions dated between your Start Date and Budget Period End on the Paycheck Budget (or Flexible Income Budget) tab. If a transaction's date falls outside that range, it won't show up in this period's totals, double-check those two dates first.</t>
        </is>
      </c>
    </row>
    <row r="12">
      <c r="A12" s="237" t="n"/>
    </row>
    <row r="13" ht="25" customHeight="1" s="232">
      <c r="A13" s="537" t="inlineStr">
        <is>
          <t>Why doesn't a bill I entered show up on the Bill Calendar?</t>
        </is>
      </c>
    </row>
    <row r="14" ht="42" customHeight="1" s="232">
      <c r="A14" s="241" t="inlineStr">
        <is>
          <t>The Bill Calendar only shows transactions logged with Type "Bill" in the Transactions Log, and only for the Month and Year currently selected at the top of the calendar. Make sure both match your transaction's date.</t>
        </is>
      </c>
    </row>
    <row r="15">
      <c r="A15" s="237" t="n"/>
    </row>
    <row r="16" ht="25" customHeight="1" s="232">
      <c r="A16" s="538" t="inlineStr">
        <is>
          <t>Where do I log my subscriptions: the Transactions Log or the Subscription Tracker?</t>
        </is>
      </c>
    </row>
    <row r="17" ht="42" customHeight="1" s="232">
      <c r="A17" s="241" t="inlineStr">
        <is>
          <t>The Subscription Tracker only, not both. List each subscription there once, and its monthly total flows into your Bill Tracker automatically. Logging it in the Transactions Log too would count it twice.</t>
        </is>
      </c>
    </row>
    <row r="18">
      <c r="A18" s="237" t="n"/>
    </row>
    <row r="19" ht="25" customHeight="1" s="232">
      <c r="A19" s="534" t="inlineStr">
        <is>
          <t>How do I add a new savings or debt goal?</t>
        </is>
      </c>
    </row>
    <row r="20" ht="59" customHeight="1" s="232">
      <c r="A20" s="241" t="inlineStr">
        <is>
          <t>Go to the Savings &amp; Debt Goal Tracker tab and type your goal's name into the next empty row in either table (up to 8 savings goals and 8 debt goals are built in). Fill in the goal amount and starting point, then log contributions or payments at the bottom, your progress bar updates automatically.</t>
        </is>
      </c>
    </row>
    <row r="21">
      <c r="A21" s="237" t="n"/>
    </row>
    <row r="22" ht="25" customHeight="1" s="232">
      <c r="A22" s="535" t="inlineStr">
        <is>
          <t>Can I use this on my phone or tablet?</t>
        </is>
      </c>
    </row>
    <row r="23" ht="42" customHeight="1" s="232">
      <c r="A23" s="241" t="inlineStr">
        <is>
          <t>Yes, in the Excel mobile app. Everything works the same way, though wider tabs like the Bill Calendar and Habit Tracker are easiest to read on a bigger screen, turn your device sideways for a better view.</t>
        </is>
      </c>
    </row>
    <row r="24">
      <c r="A24" s="237" t="n"/>
    </row>
    <row r="25" ht="25" customHeight="1" s="232">
      <c r="A25" s="536" t="inlineStr">
        <is>
          <t>Will this work in Google Sheets?</t>
        </is>
      </c>
    </row>
    <row r="26" ht="59" customHeight="1" s="232">
      <c r="A26" s="241" t="inlineStr">
        <is>
          <t>Yes. Upload the file in Google Sheets (File &gt; Import &gt; Upload) and all the formulas, dropdowns, and tables will keep working. A few colors and conditional formatting effects may look slightly different, since Google Sheets renders some formatting differently than Excel.</t>
        </is>
      </c>
    </row>
    <row r="27">
      <c r="A27" s="237" t="n"/>
    </row>
    <row r="28" ht="25" customHeight="1" s="232">
      <c r="A28" s="537" t="inlineStr">
        <is>
          <t>I typed something and now I see an error like #REF! or #VALUE!. What do I do?</t>
        </is>
      </c>
    </row>
    <row r="29" ht="59" customHeight="1" s="232">
      <c r="A29" s="241" t="inlineStr">
        <is>
          <t>This usually means a formula cell got overwritten. Compare the cell to the same spot on the Example tab, and re-enter the same formula. If you're not sure, undo (Ctrl+Z) right away, that fixes it in one step almost every time.</t>
        </is>
      </c>
    </row>
  </sheetData>
  <sheetProtection selectLockedCells="0" selectUnlockedCells="0" sheet="1" objects="1" insertRows="1" insertHyperlinks="1" autoFilter="0" scenarios="1" formatColumns="1" deleteColumns="1" insertColumns="1" pivotTables="1" deleteRows="1" formatCells="0" formatRows="1" sort="0"/>
  <mergeCells count="1">
    <mergeCell ref="A1"/>
  </mergeCells>
  <pageMargins left="0.7" right="0.7" top="0.75" bottom="0.75" header="0.3" footer="0.3"/>
</worksheet>
</file>

<file path=xl/worksheets/sheet17.xml><?xml version="1.0" encoding="utf-8"?>
<worksheet xmlns="http://schemas.openxmlformats.org/spreadsheetml/2006/main">
  <sheetPr>
    <tabColor rgb="00FBF6EF"/>
    <outlinePr summaryBelow="1" summaryRight="1"/>
    <pageSetUpPr/>
  </sheetPr>
  <dimension ref="A1:Z82"/>
  <sheetViews>
    <sheetView showGridLines="0" workbookViewId="0">
      <selection activeCell="A1" sqref="A1"/>
    </sheetView>
  </sheetViews>
  <sheetFormatPr baseColWidth="8" defaultRowHeight="15"/>
  <cols>
    <col width="28.5703125" customWidth="1" style="232" min="1" max="1"/>
    <col width="15.28515625" customWidth="1" style="232" min="2" max="2"/>
    <col width="15.28515625" customWidth="1" style="232" min="4" max="4"/>
    <col width="17.140625" customWidth="1" style="232" min="6" max="6"/>
    <col width="13.28515625" customWidth="1" style="232" min="8" max="8"/>
    <col width="16.140625" customWidth="1" style="232" min="10" max="10"/>
    <col width="15.28515625" customWidth="1" style="232" min="12" max="12"/>
    <col width="19" customWidth="1" style="232" min="14" max="14"/>
    <col width="11.42578125" customWidth="1" style="232" min="16" max="16"/>
    <col width="11.42578125" customWidth="1" style="232" min="18" max="18"/>
    <col width="24.7109375" customWidth="1" style="232" min="20" max="20"/>
    <col width="16" customWidth="1" style="232" min="22" max="22"/>
    <col width="16" customWidth="1" style="232" min="24" max="24"/>
    <col width="16" customWidth="1" style="232" min="26" max="26"/>
  </cols>
  <sheetData>
    <row r="1" ht="25" customHeight="1" s="232">
      <c r="A1" s="539" t="inlineStr">
        <is>
          <t>Settings</t>
        </is>
      </c>
      <c r="B1" s="285" t="n"/>
      <c r="C1" s="285" t="n"/>
      <c r="D1" s="285" t="n"/>
      <c r="E1" s="285" t="n"/>
      <c r="F1" s="285" t="n"/>
      <c r="G1" s="285" t="n"/>
      <c r="H1" s="285" t="n"/>
      <c r="I1" s="285" t="n"/>
      <c r="J1" s="285" t="n"/>
      <c r="K1" s="285" t="n"/>
      <c r="L1" s="285" t="n"/>
      <c r="M1" s="285" t="n"/>
      <c r="N1" s="285" t="n"/>
      <c r="O1" s="285" t="n"/>
      <c r="P1" s="285" t="n"/>
      <c r="Q1" s="285" t="n"/>
      <c r="R1" s="285" t="n"/>
      <c r="S1" s="285" t="n"/>
      <c r="T1" s="285" t="n"/>
    </row>
    <row r="2">
      <c r="A2" s="406" t="inlineStr">
        <is>
          <t>Category</t>
        </is>
      </c>
      <c r="B2" s="406" t="inlineStr">
        <is>
          <t>Type</t>
        </is>
      </c>
      <c r="C2" s="285" t="n"/>
      <c r="D2" s="406" t="inlineStr">
        <is>
          <t>Type List</t>
        </is>
      </c>
      <c r="E2" s="285" t="n"/>
      <c r="F2" s="406" t="inlineStr">
        <is>
          <t>Pay Frequency</t>
        </is>
      </c>
      <c r="G2" s="285" t="n"/>
      <c r="H2" s="406" t="inlineStr">
        <is>
          <t>Currency</t>
        </is>
      </c>
      <c r="I2" s="285" t="n"/>
      <c r="J2" s="406" t="inlineStr">
        <is>
          <t>Month</t>
        </is>
      </c>
      <c r="K2" s="285" t="n"/>
      <c r="L2" s="406" t="inlineStr">
        <is>
          <t>Week Start</t>
        </is>
      </c>
      <c r="M2" s="285" t="n"/>
      <c r="N2" s="406" t="inlineStr">
        <is>
          <t>Billing Frequency</t>
        </is>
      </c>
      <c r="O2" s="285" t="n"/>
      <c r="P2" s="406" t="inlineStr">
        <is>
          <t>Year</t>
        </is>
      </c>
      <c r="Q2" s="285" t="n"/>
      <c r="R2" s="406" t="inlineStr">
        <is>
          <t>Yes/No</t>
        </is>
      </c>
      <c r="S2" s="285" t="n"/>
      <c r="T2" s="406" t="inlineStr">
        <is>
          <t>Subscription Category</t>
        </is>
      </c>
      <c r="V2" s="540" t="inlineStr">
        <is>
          <t>Doom Trigger</t>
        </is>
      </c>
      <c r="X2" s="540" t="inlineStr">
        <is>
          <t>Doom Feeling</t>
        </is>
      </c>
      <c r="Z2" s="540" t="inlineStr">
        <is>
          <t>Pause Decision</t>
        </is>
      </c>
    </row>
    <row r="3">
      <c r="A3" s="541" t="inlineStr">
        <is>
          <t>Paycheck</t>
        </is>
      </c>
      <c r="B3" s="541" t="inlineStr">
        <is>
          <t>Income</t>
        </is>
      </c>
      <c r="C3" s="285" t="n"/>
      <c r="D3" s="285" t="inlineStr">
        <is>
          <t>Income</t>
        </is>
      </c>
      <c r="E3" s="285" t="n"/>
      <c r="F3" s="285" t="inlineStr">
        <is>
          <t>Weekly</t>
        </is>
      </c>
      <c r="G3" s="285" t="n"/>
      <c r="H3" s="285" t="inlineStr">
        <is>
          <t>USD</t>
        </is>
      </c>
      <c r="I3" s="285" t="n"/>
      <c r="J3" s="285" t="inlineStr">
        <is>
          <t>January</t>
        </is>
      </c>
      <c r="K3" s="285" t="n"/>
      <c r="L3" s="285" t="inlineStr">
        <is>
          <t>Monday</t>
        </is>
      </c>
      <c r="M3" s="285" t="n"/>
      <c r="N3" s="285" t="inlineStr">
        <is>
          <t>Monthly</t>
        </is>
      </c>
      <c r="O3" s="285" t="n"/>
      <c r="P3" s="285" t="n">
        <v>2024</v>
      </c>
      <c r="Q3" s="285" t="n"/>
      <c r="R3" s="285" t="inlineStr">
        <is>
          <t>Yes</t>
        </is>
      </c>
      <c r="S3" s="285" t="n"/>
      <c r="T3" s="541" t="inlineStr">
        <is>
          <t>Streaming</t>
        </is>
      </c>
      <c r="V3" s="542" t="inlineStr">
        <is>
          <t>Boredom</t>
        </is>
      </c>
      <c r="X3" s="542" t="inlineStr">
        <is>
          <t>Fine</t>
        </is>
      </c>
      <c r="Z3" s="542" t="inlineStr">
        <is>
          <t>Bought</t>
        </is>
      </c>
    </row>
    <row r="4">
      <c r="A4" s="541" t="inlineStr">
        <is>
          <t>Side Income</t>
        </is>
      </c>
      <c r="B4" s="541" t="inlineStr">
        <is>
          <t>Income</t>
        </is>
      </c>
      <c r="C4" s="285" t="n"/>
      <c r="D4" s="285" t="inlineStr">
        <is>
          <t>Bill</t>
        </is>
      </c>
      <c r="E4" s="285" t="n"/>
      <c r="F4" s="285" t="inlineStr">
        <is>
          <t>Biweekly</t>
        </is>
      </c>
      <c r="G4" s="285" t="n"/>
      <c r="H4" s="285" t="inlineStr">
        <is>
          <t>EUR</t>
        </is>
      </c>
      <c r="I4" s="285" t="n"/>
      <c r="J4" s="285" t="inlineStr">
        <is>
          <t>February</t>
        </is>
      </c>
      <c r="K4" s="285" t="n"/>
      <c r="L4" s="285" t="inlineStr">
        <is>
          <t>Sunday</t>
        </is>
      </c>
      <c r="M4" s="285" t="n"/>
      <c r="N4" s="285" t="inlineStr">
        <is>
          <t>Quarterly</t>
        </is>
      </c>
      <c r="O4" s="285" t="n"/>
      <c r="P4" s="285" t="n">
        <v>2025</v>
      </c>
      <c r="Q4" s="285" t="n"/>
      <c r="R4" s="285" t="inlineStr">
        <is>
          <t>No</t>
        </is>
      </c>
      <c r="S4" s="285" t="n"/>
      <c r="T4" s="541" t="inlineStr">
        <is>
          <t>Software &amp; Apps</t>
        </is>
      </c>
      <c r="V4" s="542" t="inlineStr">
        <is>
          <t>Stress</t>
        </is>
      </c>
      <c r="X4" s="542" t="inlineStr">
        <is>
          <t>Neutral</t>
        </is>
      </c>
      <c r="Z4" s="542" t="inlineStr">
        <is>
          <t>Waited</t>
        </is>
      </c>
    </row>
    <row r="5">
      <c r="A5" s="541" t="inlineStr">
        <is>
          <t>Freelance Income</t>
        </is>
      </c>
      <c r="B5" s="541" t="inlineStr">
        <is>
          <t>Income</t>
        </is>
      </c>
      <c r="C5" s="285" t="n"/>
      <c r="D5" s="285" t="inlineStr">
        <is>
          <t>Expense</t>
        </is>
      </c>
      <c r="E5" s="285" t="n"/>
      <c r="F5" s="285" t="inlineStr">
        <is>
          <t>Semi-Monthly</t>
        </is>
      </c>
      <c r="G5" s="285" t="n"/>
      <c r="H5" s="285" t="inlineStr">
        <is>
          <t>GBP</t>
        </is>
      </c>
      <c r="I5" s="285" t="n"/>
      <c r="J5" s="285" t="inlineStr">
        <is>
          <t>March</t>
        </is>
      </c>
      <c r="K5" s="285" t="n"/>
      <c r="L5" s="285" t="n"/>
      <c r="M5" s="285" t="n"/>
      <c r="N5" s="285" t="inlineStr">
        <is>
          <t>Annually</t>
        </is>
      </c>
      <c r="O5" s="285" t="n"/>
      <c r="P5" s="285" t="n">
        <v>2026</v>
      </c>
      <c r="Q5" s="285" t="n"/>
      <c r="R5" s="285" t="n"/>
      <c r="S5" s="285" t="n"/>
      <c r="T5" s="541" t="inlineStr">
        <is>
          <t>Music</t>
        </is>
      </c>
      <c r="V5" s="542" t="inlineStr">
        <is>
          <t>Scrolling</t>
        </is>
      </c>
      <c r="X5" s="542" t="inlineStr">
        <is>
          <t>Regret</t>
        </is>
      </c>
      <c r="Z5" s="542" t="inlineStr">
        <is>
          <t>Skipped</t>
        </is>
      </c>
    </row>
    <row r="6">
      <c r="A6" s="541" t="inlineStr">
        <is>
          <t>Bonus</t>
        </is>
      </c>
      <c r="B6" s="541" t="inlineStr">
        <is>
          <t>Income</t>
        </is>
      </c>
      <c r="C6" s="285" t="n"/>
      <c r="D6" s="285" t="inlineStr">
        <is>
          <t>Saving</t>
        </is>
      </c>
      <c r="E6" s="285" t="n"/>
      <c r="F6" s="285" t="inlineStr">
        <is>
          <t>Monthly</t>
        </is>
      </c>
      <c r="G6" s="285" t="n"/>
      <c r="H6" s="285" t="inlineStr">
        <is>
          <t>CAD</t>
        </is>
      </c>
      <c r="I6" s="285" t="n"/>
      <c r="J6" s="285" t="inlineStr">
        <is>
          <t>April</t>
        </is>
      </c>
      <c r="K6" s="285" t="n"/>
      <c r="L6" s="285" t="n"/>
      <c r="M6" s="285" t="n"/>
      <c r="N6" s="285" t="n"/>
      <c r="O6" s="285" t="n"/>
      <c r="P6" s="285" t="n">
        <v>2027</v>
      </c>
      <c r="Q6" s="285" t="n"/>
      <c r="R6" s="285" t="n"/>
      <c r="S6" s="285" t="n"/>
      <c r="T6" s="541" t="inlineStr">
        <is>
          <t>News &amp; Reading</t>
        </is>
      </c>
      <c r="V6" s="542" t="inlineStr">
        <is>
          <t>Social pressure</t>
        </is>
      </c>
    </row>
    <row r="7">
      <c r="A7" s="541" t="inlineStr">
        <is>
          <t>Other Income</t>
        </is>
      </c>
      <c r="B7" s="541" t="inlineStr">
        <is>
          <t>Income</t>
        </is>
      </c>
      <c r="C7" s="285" t="n"/>
      <c r="D7" s="285" t="inlineStr">
        <is>
          <t>Debt</t>
        </is>
      </c>
      <c r="E7" s="285" t="n"/>
      <c r="F7" s="285" t="n"/>
      <c r="G7" s="285" t="n"/>
      <c r="H7" s="285" t="inlineStr">
        <is>
          <t>AUD</t>
        </is>
      </c>
      <c r="I7" s="285" t="n"/>
      <c r="J7" s="285" t="inlineStr">
        <is>
          <t>May</t>
        </is>
      </c>
      <c r="K7" s="285" t="n"/>
      <c r="L7" s="285" t="n"/>
      <c r="M7" s="285" t="n"/>
      <c r="N7" s="285" t="n"/>
      <c r="O7" s="285" t="n"/>
      <c r="P7" s="285" t="n">
        <v>2028</v>
      </c>
      <c r="Q7" s="285" t="n"/>
      <c r="R7" s="285" t="n"/>
      <c r="S7" s="285" t="n"/>
      <c r="T7" s="541" t="inlineStr">
        <is>
          <t>Gaming</t>
        </is>
      </c>
      <c r="V7" s="542" t="inlineStr">
        <is>
          <t>Celebration</t>
        </is>
      </c>
    </row>
    <row r="8">
      <c r="A8" s="541" t="inlineStr">
        <is>
          <t>Rent or Mortgage</t>
        </is>
      </c>
      <c r="B8" s="541" t="inlineStr">
        <is>
          <t>Bill</t>
        </is>
      </c>
      <c r="C8" s="285" t="n"/>
      <c r="D8" s="285" t="n"/>
      <c r="E8" s="285" t="n"/>
      <c r="F8" s="285" t="n"/>
      <c r="G8" s="285" t="n"/>
      <c r="H8" s="285" t="n"/>
      <c r="I8" s="285" t="n"/>
      <c r="J8" s="285" t="inlineStr">
        <is>
          <t>June</t>
        </is>
      </c>
      <c r="K8" s="285" t="n"/>
      <c r="L8" s="285" t="n"/>
      <c r="M8" s="285" t="n"/>
      <c r="N8" s="285" t="n"/>
      <c r="O8" s="285" t="n"/>
      <c r="P8" s="285" t="n">
        <v>2029</v>
      </c>
      <c r="Q8" s="285" t="n"/>
      <c r="R8" s="285" t="n"/>
      <c r="S8" s="285" t="n"/>
      <c r="T8" s="541" t="inlineStr">
        <is>
          <t>Fitness &amp; Wellness</t>
        </is>
      </c>
      <c r="V8" s="542" t="inlineStr">
        <is>
          <t>Other</t>
        </is>
      </c>
    </row>
    <row r="9">
      <c r="A9" s="541" t="inlineStr">
        <is>
          <t>Electricity</t>
        </is>
      </c>
      <c r="B9" s="541" t="inlineStr">
        <is>
          <t>Bill</t>
        </is>
      </c>
      <c r="C9" s="285" t="n"/>
      <c r="D9" s="285" t="n"/>
      <c r="E9" s="285" t="n"/>
      <c r="F9" s="285" t="n"/>
      <c r="G9" s="285" t="n"/>
      <c r="H9" s="285" t="n"/>
      <c r="I9" s="285" t="n"/>
      <c r="J9" s="285" t="inlineStr">
        <is>
          <t>July</t>
        </is>
      </c>
      <c r="K9" s="285" t="n"/>
      <c r="L9" s="285" t="n"/>
      <c r="M9" s="285" t="n"/>
      <c r="N9" s="285" t="n"/>
      <c r="O9" s="285" t="n"/>
      <c r="P9" s="285" t="n">
        <v>2030</v>
      </c>
      <c r="Q9" s="285" t="n"/>
      <c r="R9" s="285" t="n"/>
      <c r="S9" s="285" t="n"/>
      <c r="T9" s="541" t="inlineStr">
        <is>
          <t>Memberships</t>
        </is>
      </c>
    </row>
    <row r="10">
      <c r="A10" s="541" t="inlineStr">
        <is>
          <t>Water</t>
        </is>
      </c>
      <c r="B10" s="541" t="inlineStr">
        <is>
          <t>Bill</t>
        </is>
      </c>
      <c r="C10" s="285" t="n"/>
      <c r="D10" s="285" t="n"/>
      <c r="E10" s="285" t="n"/>
      <c r="F10" s="285" t="n"/>
      <c r="G10" s="285" t="n"/>
      <c r="H10" s="285" t="n"/>
      <c r="I10" s="285" t="n"/>
      <c r="J10" s="285" t="inlineStr">
        <is>
          <t>August</t>
        </is>
      </c>
      <c r="K10" s="285" t="n"/>
      <c r="L10" s="285" t="n"/>
      <c r="M10" s="285" t="n"/>
      <c r="N10" s="285" t="n"/>
      <c r="O10" s="285" t="n"/>
      <c r="P10" s="285" t="n"/>
      <c r="Q10" s="285" t="n"/>
      <c r="R10" s="285" t="n"/>
      <c r="S10" s="285" t="n"/>
      <c r="T10" s="541" t="inlineStr">
        <is>
          <t>Other</t>
        </is>
      </c>
    </row>
    <row r="11">
      <c r="A11" s="541" t="inlineStr">
        <is>
          <t>Internet</t>
        </is>
      </c>
      <c r="B11" s="541" t="inlineStr">
        <is>
          <t>Bill</t>
        </is>
      </c>
      <c r="C11" s="285" t="n"/>
      <c r="D11" s="285" t="n"/>
      <c r="E11" s="285" t="n"/>
      <c r="F11" s="285" t="n"/>
      <c r="G11" s="285" t="n"/>
      <c r="H11" s="285" t="n"/>
      <c r="I11" s="285" t="n"/>
      <c r="J11" s="285" t="inlineStr">
        <is>
          <t>September</t>
        </is>
      </c>
      <c r="K11" s="285" t="n"/>
      <c r="L11" s="285" t="n"/>
      <c r="M11" s="285" t="n"/>
      <c r="N11" s="285" t="n"/>
      <c r="O11" s="285" t="n"/>
      <c r="P11" s="285" t="n"/>
      <c r="Q11" s="285" t="n"/>
      <c r="R11" s="285" t="n"/>
      <c r="S11" s="285" t="n"/>
      <c r="T11" s="285" t="n"/>
    </row>
    <row r="12">
      <c r="A12" s="541" t="inlineStr">
        <is>
          <t>Phone</t>
        </is>
      </c>
      <c r="B12" s="541" t="inlineStr">
        <is>
          <t>Bill</t>
        </is>
      </c>
      <c r="C12" s="285" t="n"/>
      <c r="D12" s="285" t="n"/>
      <c r="E12" s="285" t="n"/>
      <c r="F12" s="285" t="n"/>
      <c r="G12" s="285" t="n"/>
      <c r="H12" s="285" t="n"/>
      <c r="I12" s="285" t="n"/>
      <c r="J12" s="285" t="inlineStr">
        <is>
          <t>October</t>
        </is>
      </c>
      <c r="K12" s="285" t="n"/>
      <c r="L12" s="285" t="n"/>
      <c r="M12" s="285" t="n"/>
      <c r="N12" s="285" t="n"/>
      <c r="O12" s="285" t="n"/>
      <c r="P12" s="285" t="n"/>
      <c r="Q12" s="285" t="n"/>
      <c r="R12" s="285" t="n"/>
      <c r="S12" s="285" t="n"/>
      <c r="T12" s="285" t="n"/>
    </row>
    <row r="13">
      <c r="A13" s="541" t="inlineStr">
        <is>
          <t>Car Payment</t>
        </is>
      </c>
      <c r="B13" s="541" t="inlineStr">
        <is>
          <t>Bill</t>
        </is>
      </c>
      <c r="C13" s="285" t="n"/>
      <c r="D13" s="285" t="n"/>
      <c r="E13" s="285" t="n"/>
      <c r="F13" s="285" t="n"/>
      <c r="G13" s="285" t="n"/>
      <c r="H13" s="285" t="n"/>
      <c r="I13" s="285" t="n"/>
      <c r="J13" s="285" t="inlineStr">
        <is>
          <t>November</t>
        </is>
      </c>
      <c r="K13" s="285" t="n"/>
      <c r="L13" s="285" t="n"/>
      <c r="M13" s="285" t="n"/>
      <c r="N13" s="285" t="n"/>
      <c r="O13" s="285" t="n"/>
      <c r="P13" s="285" t="n"/>
      <c r="Q13" s="285" t="n"/>
      <c r="R13" s="285" t="n"/>
      <c r="S13" s="285" t="n"/>
      <c r="T13" s="285" t="n"/>
    </row>
    <row r="14">
      <c r="A14" s="541" t="inlineStr">
        <is>
          <t>Insurance</t>
        </is>
      </c>
      <c r="B14" s="541" t="inlineStr">
        <is>
          <t>Bill</t>
        </is>
      </c>
      <c r="C14" s="285" t="n"/>
      <c r="D14" s="285" t="n"/>
      <c r="E14" s="285" t="n"/>
      <c r="F14" s="285" t="n"/>
      <c r="G14" s="285" t="n"/>
      <c r="H14" s="285" t="n"/>
      <c r="I14" s="285" t="n"/>
      <c r="J14" s="285" t="inlineStr">
        <is>
          <t>December</t>
        </is>
      </c>
      <c r="K14" s="285" t="n"/>
      <c r="L14" s="285" t="n"/>
      <c r="M14" s="285" t="n"/>
      <c r="N14" s="285" t="n"/>
      <c r="O14" s="285" t="n"/>
      <c r="P14" s="285" t="n"/>
      <c r="Q14" s="285" t="n"/>
      <c r="R14" s="285" t="n"/>
      <c r="S14" s="285" t="n"/>
      <c r="T14" s="285" t="n"/>
    </row>
    <row r="15">
      <c r="A15" s="541" t="inlineStr">
        <is>
          <t>Subscriptions</t>
        </is>
      </c>
      <c r="B15" s="541" t="inlineStr">
        <is>
          <t>Bill</t>
        </is>
      </c>
      <c r="C15" s="285" t="n"/>
      <c r="D15" s="285" t="n"/>
      <c r="E15" s="285" t="n"/>
      <c r="F15" s="285" t="n"/>
      <c r="G15" s="285" t="n"/>
      <c r="H15" s="285" t="n"/>
      <c r="I15" s="285" t="n"/>
      <c r="J15" s="285" t="n"/>
      <c r="K15" s="285" t="n"/>
      <c r="L15" s="285" t="n"/>
      <c r="M15" s="285" t="n"/>
      <c r="N15" s="285" t="n"/>
      <c r="O15" s="285" t="n"/>
      <c r="P15" s="285" t="n"/>
      <c r="Q15" s="285" t="n"/>
      <c r="R15" s="285" t="n"/>
      <c r="S15" s="285" t="n"/>
      <c r="T15" s="285" t="n"/>
    </row>
    <row r="16">
      <c r="A16" s="541" t="inlineStr">
        <is>
          <t>Groceries</t>
        </is>
      </c>
      <c r="B16" s="541" t="inlineStr">
        <is>
          <t>Expense</t>
        </is>
      </c>
      <c r="C16" s="285" t="n"/>
      <c r="D16" s="285" t="n"/>
      <c r="E16" s="285" t="n"/>
      <c r="F16" s="285" t="n"/>
      <c r="G16" s="285" t="n"/>
      <c r="H16" s="285" t="n"/>
      <c r="I16" s="285" t="n"/>
      <c r="J16" s="285" t="n"/>
      <c r="K16" s="285" t="n"/>
      <c r="L16" s="285" t="n"/>
      <c r="M16" s="285" t="n"/>
      <c r="N16" s="285" t="n"/>
      <c r="O16" s="285" t="n"/>
      <c r="P16" s="285" t="n"/>
      <c r="Q16" s="285" t="n"/>
      <c r="R16" s="285" t="n"/>
      <c r="S16" s="285" t="n"/>
      <c r="T16" s="285" t="n"/>
    </row>
    <row r="17">
      <c r="A17" s="541" t="inlineStr">
        <is>
          <t>Dining Out</t>
        </is>
      </c>
      <c r="B17" s="541" t="inlineStr">
        <is>
          <t>Expense</t>
        </is>
      </c>
      <c r="C17" s="285" t="n"/>
      <c r="D17" s="285" t="n"/>
      <c r="E17" s="285" t="n"/>
      <c r="F17" s="285" t="n"/>
      <c r="G17" s="285" t="n"/>
      <c r="H17" s="285" t="n"/>
      <c r="I17" s="285" t="n"/>
      <c r="J17" s="285" t="n"/>
      <c r="K17" s="285" t="n"/>
      <c r="L17" s="285" t="n"/>
      <c r="M17" s="285" t="n"/>
      <c r="N17" s="285" t="n"/>
      <c r="O17" s="285" t="n"/>
      <c r="P17" s="285" t="n"/>
      <c r="Q17" s="285" t="n"/>
      <c r="R17" s="285" t="n"/>
      <c r="S17" s="285" t="n"/>
      <c r="T17" s="285" t="n"/>
    </row>
    <row r="18">
      <c r="A18" s="541" t="inlineStr">
        <is>
          <t>Transportation</t>
        </is>
      </c>
      <c r="B18" s="541" t="inlineStr">
        <is>
          <t>Expense</t>
        </is>
      </c>
      <c r="C18" s="285" t="n"/>
      <c r="D18" s="285" t="n"/>
      <c r="E18" s="285" t="n"/>
      <c r="F18" s="285" t="n"/>
      <c r="G18" s="285" t="n"/>
      <c r="H18" s="285" t="n"/>
      <c r="I18" s="285" t="n"/>
      <c r="J18" s="285" t="n"/>
      <c r="K18" s="285" t="n"/>
      <c r="L18" s="285" t="n"/>
      <c r="M18" s="285" t="n"/>
      <c r="N18" s="285" t="n"/>
      <c r="O18" s="285" t="n"/>
      <c r="P18" s="285" t="n"/>
      <c r="Q18" s="285" t="n"/>
      <c r="R18" s="285" t="n"/>
      <c r="S18" s="285" t="n"/>
      <c r="T18" s="285" t="n"/>
    </row>
    <row r="19">
      <c r="A19" s="541" t="inlineStr">
        <is>
          <t>Entertainment</t>
        </is>
      </c>
      <c r="B19" s="541" t="inlineStr">
        <is>
          <t>Expense</t>
        </is>
      </c>
      <c r="C19" s="285" t="n"/>
      <c r="D19" s="285" t="n"/>
      <c r="E19" s="285" t="n"/>
      <c r="F19" s="285" t="n"/>
      <c r="G19" s="285" t="n"/>
      <c r="H19" s="285" t="n"/>
      <c r="I19" s="285" t="n"/>
      <c r="J19" s="285" t="n"/>
      <c r="K19" s="285" t="n"/>
      <c r="L19" s="285" t="n"/>
      <c r="M19" s="285" t="n"/>
      <c r="N19" s="285" t="n"/>
      <c r="O19" s="285" t="n"/>
      <c r="P19" s="285" t="n"/>
      <c r="Q19" s="285" t="n"/>
      <c r="R19" s="285" t="n"/>
      <c r="S19" s="285" t="n"/>
      <c r="T19" s="285" t="n"/>
    </row>
    <row r="20">
      <c r="A20" s="541" t="inlineStr">
        <is>
          <t>Shopping</t>
        </is>
      </c>
      <c r="B20" s="541" t="inlineStr">
        <is>
          <t>Expense</t>
        </is>
      </c>
      <c r="C20" s="285" t="n"/>
      <c r="D20" s="285" t="n"/>
      <c r="E20" s="285" t="n"/>
      <c r="F20" s="285" t="n"/>
      <c r="G20" s="285" t="n"/>
      <c r="H20" s="285" t="n"/>
      <c r="I20" s="285" t="n"/>
      <c r="J20" s="285" t="n"/>
      <c r="K20" s="285" t="n"/>
      <c r="L20" s="285" t="n"/>
      <c r="M20" s="285" t="n"/>
      <c r="N20" s="285" t="n"/>
      <c r="O20" s="285" t="n"/>
      <c r="P20" s="285" t="n"/>
      <c r="Q20" s="285" t="n"/>
      <c r="R20" s="285" t="n"/>
      <c r="S20" s="285" t="n"/>
      <c r="T20" s="285" t="n"/>
    </row>
    <row r="21">
      <c r="A21" s="541" t="inlineStr">
        <is>
          <t>Personal Care</t>
        </is>
      </c>
      <c r="B21" s="541" t="inlineStr">
        <is>
          <t>Expense</t>
        </is>
      </c>
      <c r="C21" s="285" t="n"/>
      <c r="D21" s="285" t="n"/>
      <c r="E21" s="285" t="n"/>
      <c r="F21" s="285" t="n"/>
      <c r="G21" s="285" t="n"/>
      <c r="H21" s="285" t="n"/>
      <c r="I21" s="285" t="n"/>
      <c r="J21" s="285" t="n"/>
      <c r="K21" s="285" t="n"/>
      <c r="L21" s="285" t="n"/>
      <c r="M21" s="285" t="n"/>
      <c r="N21" s="285" t="n"/>
      <c r="O21" s="285" t="n"/>
      <c r="P21" s="285" t="n"/>
      <c r="Q21" s="285" t="n"/>
      <c r="R21" s="285" t="n"/>
      <c r="S21" s="285" t="n"/>
      <c r="T21" s="285" t="n"/>
    </row>
    <row r="22">
      <c r="A22" s="541" t="inlineStr">
        <is>
          <t>Household Supplies</t>
        </is>
      </c>
      <c r="B22" s="541" t="inlineStr">
        <is>
          <t>Expense</t>
        </is>
      </c>
      <c r="C22" s="285" t="n"/>
      <c r="D22" s="285" t="n"/>
      <c r="E22" s="285" t="n"/>
      <c r="F22" s="285" t="n"/>
      <c r="G22" s="285" t="n"/>
      <c r="H22" s="285" t="n"/>
      <c r="I22" s="285" t="n"/>
      <c r="J22" s="285" t="n"/>
      <c r="K22" s="285" t="n"/>
      <c r="L22" s="285" t="n"/>
      <c r="M22" s="285" t="n"/>
      <c r="N22" s="285" t="n"/>
      <c r="O22" s="285" t="n"/>
      <c r="P22" s="285" t="n"/>
      <c r="Q22" s="285" t="n"/>
      <c r="R22" s="285" t="n"/>
      <c r="S22" s="285" t="n"/>
      <c r="T22" s="285" t="n"/>
    </row>
    <row r="23">
      <c r="A23" s="541" t="inlineStr">
        <is>
          <t>Miscellaneous</t>
        </is>
      </c>
      <c r="B23" s="541" t="inlineStr">
        <is>
          <t>Expense</t>
        </is>
      </c>
      <c r="C23" s="285" t="n"/>
      <c r="D23" s="285" t="n"/>
      <c r="E23" s="285" t="n"/>
      <c r="F23" s="285" t="n"/>
      <c r="G23" s="285" t="n"/>
      <c r="H23" s="285" t="n"/>
      <c r="I23" s="285" t="n"/>
      <c r="J23" s="285" t="n"/>
      <c r="K23" s="285" t="n"/>
      <c r="L23" s="285" t="n"/>
      <c r="M23" s="285" t="n"/>
      <c r="N23" s="285" t="n"/>
      <c r="O23" s="285" t="n"/>
      <c r="P23" s="285" t="n"/>
      <c r="Q23" s="285" t="n"/>
      <c r="R23" s="285" t="n"/>
      <c r="S23" s="285" t="n"/>
      <c r="T23" s="285" t="n"/>
    </row>
    <row r="24">
      <c r="A24" s="541" t="inlineStr">
        <is>
          <t>Emergency Fund</t>
        </is>
      </c>
      <c r="B24" s="541" t="inlineStr">
        <is>
          <t>Saving</t>
        </is>
      </c>
      <c r="C24" s="285" t="n"/>
      <c r="D24" s="285" t="n"/>
      <c r="E24" s="285" t="n"/>
      <c r="F24" s="285" t="n"/>
      <c r="G24" s="285" t="n"/>
      <c r="H24" s="285" t="n"/>
      <c r="I24" s="285" t="n"/>
      <c r="J24" s="285" t="n"/>
      <c r="K24" s="285" t="n"/>
      <c r="L24" s="285" t="n"/>
      <c r="M24" s="285" t="n"/>
      <c r="N24" s="285" t="n"/>
      <c r="O24" s="285" t="n"/>
      <c r="P24" s="285" t="n"/>
      <c r="Q24" s="285" t="n"/>
      <c r="R24" s="285" t="n"/>
      <c r="S24" s="285" t="n"/>
      <c r="T24" s="285" t="n"/>
    </row>
    <row r="25">
      <c r="A25" s="541" t="inlineStr">
        <is>
          <t>Vacation Fund</t>
        </is>
      </c>
      <c r="B25" s="541" t="inlineStr">
        <is>
          <t>Saving</t>
        </is>
      </c>
      <c r="C25" s="285" t="n"/>
      <c r="D25" s="285" t="n"/>
      <c r="E25" s="285" t="n"/>
      <c r="F25" s="285" t="n"/>
      <c r="G25" s="285" t="n"/>
      <c r="H25" s="285" t="n"/>
      <c r="I25" s="285" t="n"/>
      <c r="J25" s="285" t="n"/>
      <c r="K25" s="285" t="n"/>
      <c r="L25" s="285" t="n"/>
      <c r="M25" s="285" t="n"/>
      <c r="N25" s="285" t="n"/>
      <c r="O25" s="285" t="n"/>
      <c r="P25" s="285" t="n"/>
      <c r="Q25" s="285" t="n"/>
      <c r="R25" s="285" t="n"/>
      <c r="S25" s="285" t="n"/>
      <c r="T25" s="285" t="n"/>
    </row>
    <row r="26">
      <c r="A26" s="541" t="inlineStr">
        <is>
          <t>Holiday Fund</t>
        </is>
      </c>
      <c r="B26" s="541" t="inlineStr">
        <is>
          <t>Saving</t>
        </is>
      </c>
      <c r="C26" s="285" t="n"/>
      <c r="D26" s="285" t="n"/>
      <c r="E26" s="285" t="n"/>
      <c r="F26" s="285" t="n"/>
      <c r="G26" s="285" t="n"/>
      <c r="H26" s="285" t="n"/>
      <c r="I26" s="285" t="n"/>
      <c r="J26" s="285" t="n"/>
      <c r="K26" s="285" t="n"/>
      <c r="L26" s="285" t="n"/>
      <c r="M26" s="285" t="n"/>
      <c r="N26" s="285" t="n"/>
      <c r="O26" s="285" t="n"/>
      <c r="P26" s="285" t="n"/>
      <c r="Q26" s="285" t="n"/>
      <c r="R26" s="285" t="n"/>
      <c r="S26" s="285" t="n"/>
      <c r="T26" s="285" t="n"/>
    </row>
    <row r="27">
      <c r="A27" s="541" t="inlineStr">
        <is>
          <t>Retirement Savings</t>
        </is>
      </c>
      <c r="B27" s="541" t="inlineStr">
        <is>
          <t>Saving</t>
        </is>
      </c>
      <c r="C27" s="285" t="n"/>
      <c r="D27" s="285" t="n"/>
      <c r="E27" s="285" t="n"/>
      <c r="F27" s="285" t="n"/>
      <c r="G27" s="285" t="n"/>
      <c r="H27" s="285" t="n"/>
      <c r="I27" s="285" t="n"/>
      <c r="J27" s="285" t="n"/>
      <c r="K27" s="285" t="n"/>
      <c r="L27" s="285" t="n"/>
      <c r="M27" s="285" t="n"/>
      <c r="N27" s="285" t="n"/>
      <c r="O27" s="285" t="n"/>
      <c r="P27" s="285" t="n"/>
      <c r="Q27" s="285" t="n"/>
      <c r="R27" s="285" t="n"/>
      <c r="S27" s="285" t="n"/>
      <c r="T27" s="285" t="n"/>
    </row>
    <row r="28">
      <c r="A28" s="541" t="inlineStr">
        <is>
          <t>General Savings</t>
        </is>
      </c>
      <c r="B28" s="541" t="inlineStr">
        <is>
          <t>Saving</t>
        </is>
      </c>
      <c r="C28" s="285" t="n"/>
      <c r="D28" s="285" t="n"/>
      <c r="E28" s="285" t="n"/>
      <c r="F28" s="285" t="n"/>
      <c r="G28" s="285" t="n"/>
      <c r="H28" s="285" t="n"/>
      <c r="I28" s="285" t="n"/>
      <c r="J28" s="285" t="n"/>
      <c r="K28" s="285" t="n"/>
      <c r="L28" s="285" t="n"/>
      <c r="M28" s="285" t="n"/>
      <c r="N28" s="285" t="n"/>
      <c r="O28" s="285" t="n"/>
      <c r="P28" s="285" t="n"/>
      <c r="Q28" s="285" t="n"/>
      <c r="R28" s="285" t="n"/>
      <c r="S28" s="285" t="n"/>
      <c r="T28" s="285" t="n"/>
    </row>
    <row r="29">
      <c r="A29" s="541" t="inlineStr">
        <is>
          <t>Credit Card</t>
        </is>
      </c>
      <c r="B29" s="541" t="inlineStr">
        <is>
          <t>Debt</t>
        </is>
      </c>
      <c r="C29" s="285" t="n"/>
      <c r="D29" s="285" t="n"/>
      <c r="E29" s="285" t="n"/>
      <c r="F29" s="285" t="n"/>
      <c r="G29" s="285" t="n"/>
      <c r="H29" s="285" t="n"/>
      <c r="I29" s="285" t="n"/>
      <c r="J29" s="285" t="n"/>
      <c r="K29" s="285" t="n"/>
      <c r="L29" s="285" t="n"/>
      <c r="M29" s="285" t="n"/>
      <c r="N29" s="285" t="n"/>
      <c r="O29" s="285" t="n"/>
      <c r="P29" s="285" t="n"/>
      <c r="Q29" s="285" t="n"/>
      <c r="R29" s="285" t="n"/>
      <c r="S29" s="285" t="n"/>
      <c r="T29" s="285" t="n"/>
    </row>
    <row r="30">
      <c r="A30" s="541" t="inlineStr">
        <is>
          <t>Student Loan</t>
        </is>
      </c>
      <c r="B30" s="541" t="inlineStr">
        <is>
          <t>Debt</t>
        </is>
      </c>
      <c r="C30" s="285" t="n"/>
      <c r="D30" s="285" t="n"/>
      <c r="E30" s="285" t="n"/>
      <c r="F30" s="285" t="n"/>
      <c r="G30" s="285" t="n"/>
      <c r="H30" s="285" t="n"/>
      <c r="I30" s="285" t="n"/>
      <c r="J30" s="285" t="n"/>
      <c r="K30" s="285" t="n"/>
      <c r="L30" s="285" t="n"/>
      <c r="M30" s="285" t="n"/>
      <c r="N30" s="285" t="n"/>
      <c r="O30" s="285" t="n"/>
      <c r="P30" s="285" t="n"/>
      <c r="Q30" s="285" t="n"/>
      <c r="R30" s="285" t="n"/>
      <c r="S30" s="285" t="n"/>
      <c r="T30" s="285" t="n"/>
    </row>
    <row r="31">
      <c r="A31" s="541" t="inlineStr">
        <is>
          <t>Personal Loan</t>
        </is>
      </c>
      <c r="B31" s="541" t="inlineStr">
        <is>
          <t>Debt</t>
        </is>
      </c>
      <c r="C31" s="285" t="n"/>
      <c r="D31" s="285" t="n"/>
      <c r="E31" s="285" t="n"/>
      <c r="F31" s="285" t="n"/>
      <c r="G31" s="285" t="n"/>
      <c r="H31" s="285" t="n"/>
      <c r="I31" s="285" t="n"/>
      <c r="J31" s="285" t="n"/>
      <c r="K31" s="285" t="n"/>
      <c r="L31" s="285" t="n"/>
      <c r="M31" s="285" t="n"/>
      <c r="N31" s="285" t="n"/>
      <c r="O31" s="285" t="n"/>
      <c r="P31" s="285" t="n"/>
      <c r="Q31" s="285" t="n"/>
      <c r="R31" s="285" t="n"/>
      <c r="S31" s="285" t="n"/>
      <c r="T31" s="285" t="n"/>
    </row>
    <row r="32">
      <c r="A32" s="541" t="inlineStr">
        <is>
          <t>Medical Debt</t>
        </is>
      </c>
      <c r="B32" s="541" t="inlineStr">
        <is>
          <t>Debt</t>
        </is>
      </c>
      <c r="C32" s="285" t="n"/>
      <c r="D32" s="285" t="n"/>
      <c r="E32" s="285" t="n"/>
      <c r="F32" s="285" t="n"/>
      <c r="G32" s="285" t="n"/>
      <c r="H32" s="285" t="n"/>
      <c r="I32" s="285" t="n"/>
      <c r="J32" s="285" t="n"/>
      <c r="K32" s="285" t="n"/>
      <c r="L32" s="285" t="n"/>
      <c r="M32" s="285" t="n"/>
      <c r="N32" s="285" t="n"/>
      <c r="O32" s="285" t="n"/>
      <c r="P32" s="285" t="n"/>
      <c r="Q32" s="285" t="n"/>
      <c r="R32" s="285" t="n"/>
      <c r="S32" s="285" t="n"/>
      <c r="T32" s="285" t="n"/>
    </row>
    <row r="33">
      <c r="A33" s="541" t="n"/>
      <c r="B33" s="541" t="n"/>
      <c r="C33" s="285" t="n"/>
      <c r="D33" s="285" t="n"/>
      <c r="E33" s="285" t="n"/>
      <c r="F33" s="285" t="n"/>
      <c r="G33" s="285" t="n"/>
      <c r="H33" s="285" t="n"/>
      <c r="I33" s="285" t="n"/>
      <c r="J33" s="285" t="n"/>
      <c r="K33" s="285" t="n"/>
      <c r="L33" s="285" t="n"/>
      <c r="M33" s="285" t="n"/>
      <c r="N33" s="285" t="n"/>
      <c r="O33" s="285" t="n"/>
      <c r="P33" s="285" t="n"/>
      <c r="Q33" s="285" t="n"/>
      <c r="R33" s="285" t="n"/>
      <c r="S33" s="285" t="n"/>
      <c r="T33" s="285" t="n"/>
    </row>
    <row r="34">
      <c r="A34" s="541" t="n"/>
      <c r="B34" s="541" t="n"/>
      <c r="C34" s="285" t="n"/>
      <c r="D34" s="285" t="n"/>
      <c r="E34" s="285" t="n"/>
      <c r="F34" s="285" t="n"/>
      <c r="G34" s="285" t="n"/>
      <c r="H34" s="285" t="n"/>
      <c r="I34" s="285" t="n"/>
      <c r="J34" s="285" t="n"/>
      <c r="K34" s="285" t="n"/>
      <c r="L34" s="285" t="n"/>
      <c r="M34" s="285" t="n"/>
      <c r="N34" s="285" t="n"/>
      <c r="O34" s="285" t="n"/>
      <c r="P34" s="285" t="n"/>
      <c r="Q34" s="285" t="n"/>
      <c r="R34" s="285" t="n"/>
      <c r="S34" s="285" t="n"/>
      <c r="T34" s="285" t="n"/>
    </row>
    <row r="35">
      <c r="A35" s="541" t="n"/>
      <c r="B35" s="541" t="n"/>
      <c r="C35" s="285" t="n"/>
      <c r="D35" s="285" t="n"/>
      <c r="E35" s="285" t="n"/>
      <c r="F35" s="285" t="n"/>
      <c r="G35" s="285" t="n"/>
      <c r="H35" s="285" t="n"/>
      <c r="I35" s="285" t="n"/>
      <c r="J35" s="285" t="n"/>
      <c r="K35" s="285" t="n"/>
      <c r="L35" s="285" t="n"/>
      <c r="M35" s="285" t="n"/>
      <c r="N35" s="285" t="n"/>
      <c r="O35" s="285" t="n"/>
      <c r="P35" s="285" t="n"/>
      <c r="Q35" s="285" t="n"/>
      <c r="R35" s="285" t="n"/>
      <c r="S35" s="285" t="n"/>
      <c r="T35" s="285" t="n"/>
    </row>
    <row r="36">
      <c r="A36" s="541" t="n"/>
      <c r="B36" s="541" t="n"/>
      <c r="C36" s="285" t="n"/>
      <c r="D36" s="285" t="n"/>
      <c r="E36" s="285" t="n"/>
      <c r="F36" s="285" t="n"/>
      <c r="G36" s="285" t="n"/>
      <c r="H36" s="285" t="n"/>
      <c r="I36" s="285" t="n"/>
      <c r="J36" s="285" t="n"/>
      <c r="K36" s="285" t="n"/>
      <c r="L36" s="285" t="n"/>
      <c r="M36" s="285" t="n"/>
      <c r="N36" s="285" t="n"/>
      <c r="O36" s="285" t="n"/>
      <c r="P36" s="285" t="n"/>
      <c r="Q36" s="285" t="n"/>
      <c r="R36" s="285" t="n"/>
      <c r="S36" s="285" t="n"/>
      <c r="T36" s="285" t="n"/>
    </row>
    <row r="37">
      <c r="A37" s="541" t="n"/>
      <c r="B37" s="541" t="n"/>
      <c r="C37" s="285" t="n"/>
      <c r="D37" s="285" t="n"/>
      <c r="E37" s="285" t="n"/>
      <c r="F37" s="285" t="n"/>
      <c r="G37" s="285" t="n"/>
      <c r="H37" s="285" t="n"/>
      <c r="I37" s="285" t="n"/>
      <c r="J37" s="285" t="n"/>
      <c r="K37" s="285" t="n"/>
      <c r="L37" s="285" t="n"/>
      <c r="M37" s="285" t="n"/>
      <c r="N37" s="285" t="n"/>
      <c r="O37" s="285" t="n"/>
      <c r="P37" s="285" t="n"/>
      <c r="Q37" s="285" t="n"/>
      <c r="R37" s="285" t="n"/>
      <c r="S37" s="285" t="n"/>
      <c r="T37" s="285" t="n"/>
    </row>
    <row r="38">
      <c r="A38" s="541" t="n"/>
      <c r="B38" s="541" t="n"/>
      <c r="C38" s="285" t="n"/>
      <c r="D38" s="285" t="n"/>
      <c r="E38" s="285" t="n"/>
      <c r="F38" s="285" t="n"/>
      <c r="G38" s="285" t="n"/>
      <c r="H38" s="285" t="n"/>
      <c r="I38" s="285" t="n"/>
      <c r="J38" s="285" t="n"/>
      <c r="K38" s="285" t="n"/>
      <c r="L38" s="285" t="n"/>
      <c r="M38" s="285" t="n"/>
      <c r="N38" s="285" t="n"/>
      <c r="O38" s="285" t="n"/>
      <c r="P38" s="285" t="n"/>
      <c r="Q38" s="285" t="n"/>
      <c r="R38" s="285" t="n"/>
      <c r="S38" s="285" t="n"/>
      <c r="T38" s="285" t="n"/>
    </row>
    <row r="39">
      <c r="A39" s="541" t="n"/>
      <c r="B39" s="541" t="n"/>
      <c r="C39" s="285" t="n"/>
      <c r="D39" s="285" t="n"/>
      <c r="E39" s="285" t="n"/>
      <c r="F39" s="285" t="n"/>
      <c r="G39" s="285" t="n"/>
      <c r="H39" s="285" t="n"/>
      <c r="I39" s="285" t="n"/>
      <c r="J39" s="285" t="n"/>
      <c r="K39" s="285" t="n"/>
      <c r="L39" s="285" t="n"/>
      <c r="M39" s="285" t="n"/>
      <c r="N39" s="285" t="n"/>
      <c r="O39" s="285" t="n"/>
      <c r="P39" s="285" t="n"/>
      <c r="Q39" s="285" t="n"/>
      <c r="R39" s="285" t="n"/>
      <c r="S39" s="285" t="n"/>
      <c r="T39" s="285" t="n"/>
    </row>
    <row r="40">
      <c r="A40" s="541" t="n"/>
      <c r="B40" s="541" t="n"/>
      <c r="C40" s="285" t="n"/>
      <c r="D40" s="285" t="n"/>
      <c r="E40" s="285" t="n"/>
      <c r="F40" s="285" t="n"/>
      <c r="G40" s="285" t="n"/>
      <c r="H40" s="285" t="n"/>
      <c r="I40" s="285" t="n"/>
      <c r="J40" s="285" t="n"/>
      <c r="K40" s="285" t="n"/>
      <c r="L40" s="285" t="n"/>
      <c r="M40" s="285" t="n"/>
      <c r="N40" s="285" t="n"/>
      <c r="O40" s="285" t="n"/>
      <c r="P40" s="285" t="n"/>
      <c r="Q40" s="285" t="n"/>
      <c r="R40" s="285" t="n"/>
      <c r="S40" s="285" t="n"/>
      <c r="T40" s="285" t="n"/>
    </row>
    <row r="41">
      <c r="A41" s="541" t="n"/>
      <c r="B41" s="541" t="n"/>
      <c r="C41" s="285" t="n"/>
      <c r="D41" s="285" t="n"/>
      <c r="E41" s="285" t="n"/>
      <c r="F41" s="285" t="n"/>
      <c r="G41" s="285" t="n"/>
      <c r="H41" s="285" t="n"/>
      <c r="I41" s="285" t="n"/>
      <c r="J41" s="285" t="n"/>
      <c r="K41" s="285" t="n"/>
      <c r="L41" s="285" t="n"/>
      <c r="M41" s="285" t="n"/>
      <c r="N41" s="285" t="n"/>
      <c r="O41" s="285" t="n"/>
      <c r="P41" s="285" t="n"/>
      <c r="Q41" s="285" t="n"/>
      <c r="R41" s="285" t="n"/>
      <c r="S41" s="285" t="n"/>
      <c r="T41" s="285" t="n"/>
    </row>
    <row r="42">
      <c r="A42" s="541" t="n"/>
      <c r="B42" s="541" t="n"/>
      <c r="C42" s="285" t="n"/>
      <c r="D42" s="285" t="n"/>
      <c r="E42" s="285" t="n"/>
      <c r="F42" s="285" t="n"/>
      <c r="G42" s="285" t="n"/>
      <c r="H42" s="285" t="n"/>
      <c r="I42" s="285" t="n"/>
      <c r="J42" s="285" t="n"/>
      <c r="K42" s="285" t="n"/>
      <c r="L42" s="285" t="n"/>
      <c r="M42" s="285" t="n"/>
      <c r="N42" s="285" t="n"/>
      <c r="O42" s="285" t="n"/>
      <c r="P42" s="285" t="n"/>
      <c r="Q42" s="285" t="n"/>
      <c r="R42" s="285" t="n"/>
      <c r="S42" s="285" t="n"/>
      <c r="T42" s="285" t="n"/>
    </row>
    <row r="43">
      <c r="A43" s="541" t="n"/>
      <c r="B43" s="541" t="n"/>
      <c r="C43" s="285" t="n"/>
      <c r="D43" s="285" t="n"/>
      <c r="E43" s="285" t="n"/>
      <c r="F43" s="285" t="n"/>
      <c r="G43" s="285" t="n"/>
      <c r="H43" s="285" t="n"/>
      <c r="I43" s="285" t="n"/>
      <c r="J43" s="285" t="n"/>
      <c r="K43" s="285" t="n"/>
      <c r="L43" s="285" t="n"/>
      <c r="M43" s="285" t="n"/>
      <c r="N43" s="285" t="n"/>
      <c r="O43" s="285" t="n"/>
      <c r="P43" s="285" t="n"/>
      <c r="Q43" s="285" t="n"/>
      <c r="R43" s="285" t="n"/>
      <c r="S43" s="285" t="n"/>
      <c r="T43" s="285" t="n"/>
    </row>
    <row r="44">
      <c r="A44" s="541" t="n"/>
      <c r="B44" s="541" t="n"/>
      <c r="C44" s="285" t="n"/>
      <c r="D44" s="285" t="n"/>
      <c r="E44" s="285" t="n"/>
      <c r="F44" s="285" t="n"/>
      <c r="G44" s="285" t="n"/>
      <c r="H44" s="285" t="n"/>
      <c r="I44" s="285" t="n"/>
      <c r="J44" s="285" t="n"/>
      <c r="K44" s="285" t="n"/>
      <c r="L44" s="285" t="n"/>
      <c r="M44" s="285" t="n"/>
      <c r="N44" s="285" t="n"/>
      <c r="O44" s="285" t="n"/>
      <c r="P44" s="285" t="n"/>
      <c r="Q44" s="285" t="n"/>
      <c r="R44" s="285" t="n"/>
      <c r="S44" s="285" t="n"/>
      <c r="T44" s="285" t="n"/>
    </row>
    <row r="45">
      <c r="A45" s="541" t="n"/>
      <c r="B45" s="541" t="n"/>
      <c r="C45" s="285" t="n"/>
      <c r="D45" s="285" t="n"/>
      <c r="E45" s="285" t="n"/>
      <c r="F45" s="285" t="n"/>
      <c r="G45" s="285" t="n"/>
      <c r="H45" s="285" t="n"/>
      <c r="I45" s="285" t="n"/>
      <c r="J45" s="285" t="n"/>
      <c r="K45" s="285" t="n"/>
      <c r="L45" s="285" t="n"/>
      <c r="M45" s="285" t="n"/>
      <c r="N45" s="285" t="n"/>
      <c r="O45" s="285" t="n"/>
      <c r="P45" s="285" t="n"/>
      <c r="Q45" s="285" t="n"/>
      <c r="R45" s="285" t="n"/>
      <c r="S45" s="285" t="n"/>
      <c r="T45" s="285" t="n"/>
    </row>
    <row r="46">
      <c r="A46" s="541" t="n"/>
      <c r="B46" s="541" t="n"/>
      <c r="C46" s="285" t="n"/>
      <c r="D46" s="285" t="n"/>
      <c r="E46" s="285" t="n"/>
      <c r="F46" s="285" t="n"/>
      <c r="G46" s="285" t="n"/>
      <c r="H46" s="285" t="n"/>
      <c r="I46" s="285" t="n"/>
      <c r="J46" s="285" t="n"/>
      <c r="K46" s="285" t="n"/>
      <c r="L46" s="285" t="n"/>
      <c r="M46" s="285" t="n"/>
      <c r="N46" s="285" t="n"/>
      <c r="O46" s="285" t="n"/>
      <c r="P46" s="285" t="n"/>
      <c r="Q46" s="285" t="n"/>
      <c r="R46" s="285" t="n"/>
      <c r="S46" s="285" t="n"/>
      <c r="T46" s="285" t="n"/>
    </row>
    <row r="47">
      <c r="A47" s="541" t="n"/>
      <c r="B47" s="541" t="n"/>
      <c r="C47" s="285" t="n"/>
      <c r="D47" s="285" t="n"/>
      <c r="E47" s="285" t="n"/>
      <c r="F47" s="285" t="n"/>
      <c r="G47" s="285" t="n"/>
      <c r="H47" s="285" t="n"/>
      <c r="I47" s="285" t="n"/>
      <c r="J47" s="285" t="n"/>
      <c r="K47" s="285" t="n"/>
      <c r="L47" s="285" t="n"/>
      <c r="M47" s="285" t="n"/>
      <c r="N47" s="285" t="n"/>
      <c r="O47" s="285" t="n"/>
      <c r="P47" s="285" t="n"/>
      <c r="Q47" s="285" t="n"/>
      <c r="R47" s="285" t="n"/>
      <c r="S47" s="285" t="n"/>
      <c r="T47" s="285" t="n"/>
    </row>
    <row r="48">
      <c r="A48" s="541" t="n"/>
      <c r="B48" s="541" t="n"/>
      <c r="C48" s="285" t="n"/>
      <c r="D48" s="285" t="n"/>
      <c r="E48" s="285" t="n"/>
      <c r="F48" s="285" t="n"/>
      <c r="G48" s="285" t="n"/>
      <c r="H48" s="285" t="n"/>
      <c r="I48" s="285" t="n"/>
      <c r="J48" s="285" t="n"/>
      <c r="K48" s="285" t="n"/>
      <c r="L48" s="285" t="n"/>
      <c r="M48" s="285" t="n"/>
      <c r="N48" s="285" t="n"/>
      <c r="O48" s="285" t="n"/>
      <c r="P48" s="285" t="n"/>
      <c r="Q48" s="285" t="n"/>
      <c r="R48" s="285" t="n"/>
      <c r="S48" s="285" t="n"/>
      <c r="T48" s="285" t="n"/>
    </row>
    <row r="49">
      <c r="A49" s="541" t="n"/>
      <c r="B49" s="541" t="n"/>
      <c r="C49" s="285" t="n"/>
      <c r="D49" s="285" t="n"/>
      <c r="E49" s="285" t="n"/>
      <c r="F49" s="285" t="n"/>
      <c r="G49" s="285" t="n"/>
      <c r="H49" s="285" t="n"/>
      <c r="I49" s="285" t="n"/>
      <c r="J49" s="285" t="n"/>
      <c r="K49" s="285" t="n"/>
      <c r="L49" s="285" t="n"/>
      <c r="M49" s="285" t="n"/>
      <c r="N49" s="285" t="n"/>
      <c r="O49" s="285" t="n"/>
      <c r="P49" s="285" t="n"/>
      <c r="Q49" s="285" t="n"/>
      <c r="R49" s="285" t="n"/>
      <c r="S49" s="285" t="n"/>
      <c r="T49" s="285" t="n"/>
    </row>
    <row r="50">
      <c r="A50" s="541" t="n"/>
      <c r="B50" s="541" t="n"/>
      <c r="C50" s="285" t="n"/>
      <c r="D50" s="285" t="n"/>
      <c r="E50" s="285" t="n"/>
      <c r="F50" s="285" t="n"/>
      <c r="G50" s="285" t="n"/>
      <c r="H50" s="285" t="n"/>
      <c r="I50" s="285" t="n"/>
      <c r="J50" s="285" t="n"/>
      <c r="K50" s="285" t="n"/>
      <c r="L50" s="285" t="n"/>
      <c r="M50" s="285" t="n"/>
      <c r="N50" s="285" t="n"/>
      <c r="O50" s="285" t="n"/>
      <c r="P50" s="285" t="n"/>
      <c r="Q50" s="285" t="n"/>
      <c r="R50" s="285" t="n"/>
      <c r="S50" s="285" t="n"/>
      <c r="T50" s="285" t="n"/>
    </row>
    <row r="51">
      <c r="A51" s="541" t="n"/>
      <c r="B51" s="541" t="n"/>
      <c r="C51" s="285" t="n"/>
      <c r="D51" s="285" t="n"/>
      <c r="E51" s="285" t="n"/>
      <c r="F51" s="285" t="n"/>
      <c r="G51" s="285" t="n"/>
      <c r="H51" s="285" t="n"/>
      <c r="I51" s="285" t="n"/>
      <c r="J51" s="285" t="n"/>
      <c r="K51" s="285" t="n"/>
      <c r="L51" s="285" t="n"/>
      <c r="M51" s="285" t="n"/>
      <c r="N51" s="285" t="n"/>
      <c r="O51" s="285" t="n"/>
      <c r="P51" s="285" t="n"/>
      <c r="Q51" s="285" t="n"/>
      <c r="R51" s="285" t="n"/>
      <c r="S51" s="285" t="n"/>
      <c r="T51" s="285" t="n"/>
    </row>
    <row r="52">
      <c r="A52" s="541" t="n"/>
      <c r="B52" s="541" t="n"/>
      <c r="C52" s="285" t="n"/>
      <c r="D52" s="285" t="n"/>
      <c r="E52" s="285" t="n"/>
      <c r="F52" s="285" t="n"/>
      <c r="G52" s="285" t="n"/>
      <c r="H52" s="285" t="n"/>
      <c r="I52" s="285" t="n"/>
      <c r="J52" s="285" t="n"/>
      <c r="K52" s="285" t="n"/>
      <c r="L52" s="285" t="n"/>
      <c r="M52" s="285" t="n"/>
      <c r="N52" s="285" t="n"/>
      <c r="O52" s="285" t="n"/>
      <c r="P52" s="285" t="n"/>
      <c r="Q52" s="285" t="n"/>
      <c r="R52" s="285" t="n"/>
      <c r="S52" s="285" t="n"/>
      <c r="T52" s="285" t="n"/>
    </row>
    <row r="53">
      <c r="A53" s="541" t="n"/>
      <c r="B53" s="541" t="n"/>
      <c r="C53" s="285" t="n"/>
      <c r="D53" s="285" t="n"/>
      <c r="E53" s="285" t="n"/>
      <c r="F53" s="285" t="n"/>
      <c r="G53" s="285" t="n"/>
      <c r="H53" s="285" t="n"/>
      <c r="I53" s="285" t="n"/>
      <c r="J53" s="285" t="n"/>
      <c r="K53" s="285" t="n"/>
      <c r="L53" s="285" t="n"/>
      <c r="M53" s="285" t="n"/>
      <c r="N53" s="285" t="n"/>
      <c r="O53" s="285" t="n"/>
      <c r="P53" s="285" t="n"/>
      <c r="Q53" s="285" t="n"/>
      <c r="R53" s="285" t="n"/>
      <c r="S53" s="285" t="n"/>
      <c r="T53" s="285" t="n"/>
    </row>
    <row r="54">
      <c r="A54" s="541" t="n"/>
      <c r="B54" s="541" t="n"/>
      <c r="C54" s="285" t="n"/>
      <c r="D54" s="285" t="n"/>
      <c r="E54" s="285" t="n"/>
      <c r="F54" s="285" t="n"/>
      <c r="G54" s="285" t="n"/>
      <c r="H54" s="285" t="n"/>
      <c r="I54" s="285" t="n"/>
      <c r="J54" s="285" t="n"/>
      <c r="K54" s="285" t="n"/>
      <c r="L54" s="285" t="n"/>
      <c r="M54" s="285" t="n"/>
      <c r="N54" s="285" t="n"/>
      <c r="O54" s="285" t="n"/>
      <c r="P54" s="285" t="n"/>
      <c r="Q54" s="285" t="n"/>
      <c r="R54" s="285" t="n"/>
      <c r="S54" s="285" t="n"/>
      <c r="T54" s="285" t="n"/>
    </row>
    <row r="55">
      <c r="A55" s="541" t="n"/>
      <c r="B55" s="541" t="n"/>
      <c r="C55" s="285" t="n"/>
      <c r="D55" s="285" t="n"/>
      <c r="E55" s="285" t="n"/>
      <c r="F55" s="285" t="n"/>
      <c r="G55" s="285" t="n"/>
      <c r="H55" s="285" t="n"/>
      <c r="I55" s="285" t="n"/>
      <c r="J55" s="285" t="n"/>
      <c r="K55" s="285" t="n"/>
      <c r="L55" s="285" t="n"/>
      <c r="M55" s="285" t="n"/>
      <c r="N55" s="285" t="n"/>
      <c r="O55" s="285" t="n"/>
      <c r="P55" s="285" t="n"/>
      <c r="Q55" s="285" t="n"/>
      <c r="R55" s="285" t="n"/>
      <c r="S55" s="285" t="n"/>
      <c r="T55" s="285" t="n"/>
    </row>
    <row r="56">
      <c r="A56" s="541" t="n"/>
      <c r="B56" s="541" t="n"/>
      <c r="C56" s="285" t="n"/>
      <c r="D56" s="285" t="n"/>
      <c r="E56" s="285" t="n"/>
      <c r="F56" s="285" t="n"/>
      <c r="G56" s="285" t="n"/>
      <c r="H56" s="285" t="n"/>
      <c r="I56" s="285" t="n"/>
      <c r="J56" s="285" t="n"/>
      <c r="K56" s="285" t="n"/>
      <c r="L56" s="285" t="n"/>
      <c r="M56" s="285" t="n"/>
      <c r="N56" s="285" t="n"/>
      <c r="O56" s="285" t="n"/>
      <c r="P56" s="285" t="n"/>
      <c r="Q56" s="285" t="n"/>
      <c r="R56" s="285" t="n"/>
      <c r="S56" s="285" t="n"/>
      <c r="T56" s="285" t="n"/>
    </row>
    <row r="57">
      <c r="A57" s="541" t="n"/>
      <c r="B57" s="541" t="n"/>
      <c r="C57" s="285" t="n"/>
      <c r="D57" s="285" t="n"/>
      <c r="E57" s="285" t="n"/>
      <c r="F57" s="285" t="n"/>
      <c r="G57" s="285" t="n"/>
      <c r="H57" s="285" t="n"/>
      <c r="I57" s="285" t="n"/>
      <c r="J57" s="285" t="n"/>
      <c r="K57" s="285" t="n"/>
      <c r="L57" s="285" t="n"/>
      <c r="M57" s="285" t="n"/>
      <c r="N57" s="285" t="n"/>
      <c r="O57" s="285" t="n"/>
      <c r="P57" s="285" t="n"/>
      <c r="Q57" s="285" t="n"/>
      <c r="R57" s="285" t="n"/>
      <c r="S57" s="285" t="n"/>
      <c r="T57" s="285" t="n"/>
    </row>
    <row r="58">
      <c r="A58" s="541" t="n"/>
      <c r="B58" s="541" t="n"/>
      <c r="C58" s="285" t="n"/>
      <c r="D58" s="285" t="n"/>
      <c r="E58" s="285" t="n"/>
      <c r="F58" s="285" t="n"/>
      <c r="G58" s="285" t="n"/>
      <c r="H58" s="285" t="n"/>
      <c r="I58" s="285" t="n"/>
      <c r="J58" s="285" t="n"/>
      <c r="K58" s="285" t="n"/>
      <c r="L58" s="285" t="n"/>
      <c r="M58" s="285" t="n"/>
      <c r="N58" s="285" t="n"/>
      <c r="O58" s="285" t="n"/>
      <c r="P58" s="285" t="n"/>
      <c r="Q58" s="285" t="n"/>
      <c r="R58" s="285" t="n"/>
      <c r="S58" s="285" t="n"/>
      <c r="T58" s="285" t="n"/>
    </row>
    <row r="59">
      <c r="A59" s="541" t="n"/>
      <c r="B59" s="541" t="n"/>
      <c r="C59" s="285" t="n"/>
      <c r="D59" s="285" t="n"/>
      <c r="E59" s="285" t="n"/>
      <c r="F59" s="285" t="n"/>
      <c r="G59" s="285" t="n"/>
      <c r="H59" s="285" t="n"/>
      <c r="I59" s="285" t="n"/>
      <c r="J59" s="285" t="n"/>
      <c r="K59" s="285" t="n"/>
      <c r="L59" s="285" t="n"/>
      <c r="M59" s="285" t="n"/>
      <c r="N59" s="285" t="n"/>
      <c r="O59" s="285" t="n"/>
      <c r="P59" s="285" t="n"/>
      <c r="Q59" s="285" t="n"/>
      <c r="R59" s="285" t="n"/>
      <c r="S59" s="285" t="n"/>
      <c r="T59" s="285" t="n"/>
    </row>
    <row r="60">
      <c r="A60" s="541" t="n"/>
      <c r="B60" s="541" t="n"/>
      <c r="C60" s="285" t="n"/>
      <c r="D60" s="285" t="n"/>
      <c r="E60" s="285" t="n"/>
      <c r="F60" s="285" t="n"/>
      <c r="G60" s="285" t="n"/>
      <c r="H60" s="285" t="n"/>
      <c r="I60" s="285" t="n"/>
      <c r="J60" s="285" t="n"/>
      <c r="K60" s="285" t="n"/>
      <c r="L60" s="285" t="n"/>
      <c r="M60" s="285" t="n"/>
      <c r="N60" s="285" t="n"/>
      <c r="O60" s="285" t="n"/>
      <c r="P60" s="285" t="n"/>
      <c r="Q60" s="285" t="n"/>
      <c r="R60" s="285" t="n"/>
      <c r="S60" s="285" t="n"/>
      <c r="T60" s="285" t="n"/>
    </row>
    <row r="61">
      <c r="A61" s="541" t="n"/>
      <c r="B61" s="541" t="n"/>
      <c r="C61" s="285" t="n"/>
      <c r="D61" s="285" t="n"/>
      <c r="E61" s="285" t="n"/>
      <c r="F61" s="285" t="n"/>
      <c r="G61" s="285" t="n"/>
      <c r="H61" s="285" t="n"/>
      <c r="I61" s="285" t="n"/>
      <c r="J61" s="285" t="n"/>
      <c r="K61" s="285" t="n"/>
      <c r="L61" s="285" t="n"/>
      <c r="M61" s="285" t="n"/>
      <c r="N61" s="285" t="n"/>
      <c r="O61" s="285" t="n"/>
      <c r="P61" s="285" t="n"/>
      <c r="Q61" s="285" t="n"/>
      <c r="R61" s="285" t="n"/>
      <c r="S61" s="285" t="n"/>
      <c r="T61" s="285" t="n"/>
    </row>
    <row r="62">
      <c r="A62" s="541" t="n"/>
      <c r="B62" s="541" t="n"/>
      <c r="C62" s="285" t="n"/>
      <c r="D62" s="285" t="n"/>
      <c r="E62" s="285" t="n"/>
      <c r="F62" s="285" t="n"/>
      <c r="G62" s="285" t="n"/>
      <c r="H62" s="285" t="n"/>
      <c r="I62" s="285" t="n"/>
      <c r="J62" s="285" t="n"/>
      <c r="K62" s="285" t="n"/>
      <c r="L62" s="285" t="n"/>
      <c r="M62" s="285" t="n"/>
      <c r="N62" s="285" t="n"/>
      <c r="O62" s="285" t="n"/>
      <c r="P62" s="285" t="n"/>
      <c r="Q62" s="285" t="n"/>
      <c r="R62" s="285" t="n"/>
      <c r="S62" s="285" t="n"/>
      <c r="T62" s="285" t="n"/>
    </row>
    <row r="63">
      <c r="A63" s="541" t="n"/>
      <c r="B63" s="541" t="n"/>
      <c r="C63" s="285" t="n"/>
      <c r="D63" s="285" t="n"/>
      <c r="E63" s="285" t="n"/>
      <c r="F63" s="285" t="n"/>
      <c r="G63" s="285" t="n"/>
      <c r="H63" s="285" t="n"/>
      <c r="I63" s="285" t="n"/>
      <c r="J63" s="285" t="n"/>
      <c r="K63" s="285" t="n"/>
      <c r="L63" s="285" t="n"/>
      <c r="M63" s="285" t="n"/>
      <c r="N63" s="285" t="n"/>
      <c r="O63" s="285" t="n"/>
      <c r="P63" s="285" t="n"/>
      <c r="Q63" s="285" t="n"/>
      <c r="R63" s="285" t="n"/>
      <c r="S63" s="285" t="n"/>
      <c r="T63" s="285" t="n"/>
    </row>
    <row r="64">
      <c r="A64" s="541" t="n"/>
      <c r="B64" s="541" t="n"/>
      <c r="C64" s="285" t="n"/>
      <c r="D64" s="285" t="n"/>
      <c r="E64" s="285" t="n"/>
      <c r="F64" s="285" t="n"/>
      <c r="G64" s="285" t="n"/>
      <c r="H64" s="285" t="n"/>
      <c r="I64" s="285" t="n"/>
      <c r="J64" s="285" t="n"/>
      <c r="K64" s="285" t="n"/>
      <c r="L64" s="285" t="n"/>
      <c r="M64" s="285" t="n"/>
      <c r="N64" s="285" t="n"/>
      <c r="O64" s="285" t="n"/>
      <c r="P64" s="285" t="n"/>
      <c r="Q64" s="285" t="n"/>
      <c r="R64" s="285" t="n"/>
      <c r="S64" s="285" t="n"/>
      <c r="T64" s="285" t="n"/>
    </row>
    <row r="65">
      <c r="A65" s="541" t="n"/>
      <c r="B65" s="541" t="n"/>
      <c r="C65" s="285" t="n"/>
      <c r="D65" s="285" t="n"/>
      <c r="E65" s="285" t="n"/>
      <c r="F65" s="285" t="n"/>
      <c r="G65" s="285" t="n"/>
      <c r="H65" s="285" t="n"/>
      <c r="I65" s="285" t="n"/>
      <c r="J65" s="285" t="n"/>
      <c r="K65" s="285" t="n"/>
      <c r="L65" s="285" t="n"/>
      <c r="M65" s="285" t="n"/>
      <c r="N65" s="285" t="n"/>
      <c r="O65" s="285" t="n"/>
      <c r="P65" s="285" t="n"/>
      <c r="Q65" s="285" t="n"/>
      <c r="R65" s="285" t="n"/>
      <c r="S65" s="285" t="n"/>
      <c r="T65" s="285" t="n"/>
    </row>
    <row r="66">
      <c r="A66" s="541" t="n"/>
      <c r="B66" s="541" t="n"/>
      <c r="C66" s="285" t="n"/>
      <c r="D66" s="285" t="n"/>
      <c r="E66" s="285" t="n"/>
      <c r="F66" s="285" t="n"/>
      <c r="G66" s="285" t="n"/>
      <c r="H66" s="285" t="n"/>
      <c r="I66" s="285" t="n"/>
      <c r="J66" s="285" t="n"/>
      <c r="K66" s="285" t="n"/>
      <c r="L66" s="285" t="n"/>
      <c r="M66" s="285" t="n"/>
      <c r="N66" s="285" t="n"/>
      <c r="O66" s="285" t="n"/>
      <c r="P66" s="285" t="n"/>
      <c r="Q66" s="285" t="n"/>
      <c r="R66" s="285" t="n"/>
      <c r="S66" s="285" t="n"/>
      <c r="T66" s="285" t="n"/>
    </row>
    <row r="67">
      <c r="A67" s="541" t="n"/>
      <c r="B67" s="541" t="n"/>
      <c r="C67" s="285" t="n"/>
      <c r="D67" s="285" t="n"/>
      <c r="E67" s="285" t="n"/>
      <c r="F67" s="285" t="n"/>
      <c r="G67" s="285" t="n"/>
      <c r="H67" s="285" t="n"/>
      <c r="I67" s="285" t="n"/>
      <c r="J67" s="285" t="n"/>
      <c r="K67" s="285" t="n"/>
      <c r="L67" s="285" t="n"/>
      <c r="M67" s="285" t="n"/>
      <c r="N67" s="285" t="n"/>
      <c r="O67" s="285" t="n"/>
      <c r="P67" s="285" t="n"/>
      <c r="Q67" s="285" t="n"/>
      <c r="R67" s="285" t="n"/>
      <c r="S67" s="285" t="n"/>
      <c r="T67" s="285" t="n"/>
    </row>
    <row r="68">
      <c r="A68" s="541" t="n"/>
      <c r="B68" s="541" t="n"/>
      <c r="C68" s="285" t="n"/>
      <c r="D68" s="285" t="n"/>
      <c r="E68" s="285" t="n"/>
      <c r="F68" s="285" t="n"/>
      <c r="G68" s="285" t="n"/>
      <c r="H68" s="285" t="n"/>
      <c r="I68" s="285" t="n"/>
      <c r="J68" s="285" t="n"/>
      <c r="K68" s="285" t="n"/>
      <c r="L68" s="285" t="n"/>
      <c r="M68" s="285" t="n"/>
      <c r="N68" s="285" t="n"/>
      <c r="O68" s="285" t="n"/>
      <c r="P68" s="285" t="n"/>
      <c r="Q68" s="285" t="n"/>
      <c r="R68" s="285" t="n"/>
      <c r="S68" s="285" t="n"/>
      <c r="T68" s="285" t="n"/>
    </row>
    <row r="69">
      <c r="A69" s="541" t="n"/>
      <c r="B69" s="541" t="n"/>
      <c r="C69" s="285" t="n"/>
      <c r="D69" s="285" t="n"/>
      <c r="E69" s="285" t="n"/>
      <c r="F69" s="285" t="n"/>
      <c r="G69" s="285" t="n"/>
      <c r="H69" s="285" t="n"/>
      <c r="I69" s="285" t="n"/>
      <c r="J69" s="285" t="n"/>
      <c r="K69" s="285" t="n"/>
      <c r="L69" s="285" t="n"/>
      <c r="M69" s="285" t="n"/>
      <c r="N69" s="285" t="n"/>
      <c r="O69" s="285" t="n"/>
      <c r="P69" s="285" t="n"/>
      <c r="Q69" s="285" t="n"/>
      <c r="R69" s="285" t="n"/>
      <c r="S69" s="285" t="n"/>
      <c r="T69" s="285" t="n"/>
    </row>
    <row r="70">
      <c r="A70" s="541" t="n"/>
      <c r="B70" s="541" t="n"/>
      <c r="C70" s="285" t="n"/>
      <c r="D70" s="285" t="n"/>
      <c r="E70" s="285" t="n"/>
      <c r="F70" s="285" t="n"/>
      <c r="G70" s="285" t="n"/>
      <c r="H70" s="285" t="n"/>
      <c r="I70" s="285" t="n"/>
      <c r="J70" s="285" t="n"/>
      <c r="K70" s="285" t="n"/>
      <c r="L70" s="285" t="n"/>
      <c r="M70" s="285" t="n"/>
      <c r="N70" s="285" t="n"/>
      <c r="O70" s="285" t="n"/>
      <c r="P70" s="285" t="n"/>
      <c r="Q70" s="285" t="n"/>
      <c r="R70" s="285" t="n"/>
      <c r="S70" s="285" t="n"/>
      <c r="T70" s="285" t="n"/>
    </row>
    <row r="71">
      <c r="A71" s="541" t="n"/>
      <c r="B71" s="541" t="n"/>
      <c r="C71" s="285" t="n"/>
      <c r="D71" s="285" t="n"/>
      <c r="E71" s="285" t="n"/>
      <c r="F71" s="285" t="n"/>
      <c r="G71" s="285" t="n"/>
      <c r="H71" s="285" t="n"/>
      <c r="I71" s="285" t="n"/>
      <c r="J71" s="285" t="n"/>
      <c r="K71" s="285" t="n"/>
      <c r="L71" s="285" t="n"/>
      <c r="M71" s="285" t="n"/>
      <c r="N71" s="285" t="n"/>
      <c r="O71" s="285" t="n"/>
      <c r="P71" s="285" t="n"/>
      <c r="Q71" s="285" t="n"/>
      <c r="R71" s="285" t="n"/>
      <c r="S71" s="285" t="n"/>
      <c r="T71" s="285" t="n"/>
    </row>
    <row r="72">
      <c r="A72" s="541" t="n"/>
      <c r="B72" s="541" t="n"/>
      <c r="C72" s="285" t="n"/>
      <c r="D72" s="285" t="n"/>
      <c r="E72" s="285" t="n"/>
      <c r="F72" s="285" t="n"/>
      <c r="G72" s="285" t="n"/>
      <c r="H72" s="285" t="n"/>
      <c r="I72" s="285" t="n"/>
      <c r="J72" s="285" t="n"/>
      <c r="K72" s="285" t="n"/>
      <c r="L72" s="285" t="n"/>
      <c r="M72" s="285" t="n"/>
      <c r="N72" s="285" t="n"/>
      <c r="O72" s="285" t="n"/>
      <c r="P72" s="285" t="n"/>
      <c r="Q72" s="285" t="n"/>
      <c r="R72" s="285" t="n"/>
      <c r="S72" s="285" t="n"/>
      <c r="T72" s="285" t="n"/>
    </row>
    <row r="73">
      <c r="A73" s="541" t="n"/>
      <c r="B73" s="541" t="n"/>
      <c r="C73" s="285" t="n"/>
      <c r="D73" s="285" t="n"/>
      <c r="E73" s="285" t="n"/>
      <c r="F73" s="285" t="n"/>
      <c r="G73" s="285" t="n"/>
      <c r="H73" s="285" t="n"/>
      <c r="I73" s="285" t="n"/>
      <c r="J73" s="285" t="n"/>
      <c r="K73" s="285" t="n"/>
      <c r="L73" s="285" t="n"/>
      <c r="M73" s="285" t="n"/>
      <c r="N73" s="285" t="n"/>
      <c r="O73" s="285" t="n"/>
      <c r="P73" s="285" t="n"/>
      <c r="Q73" s="285" t="n"/>
      <c r="R73" s="285" t="n"/>
      <c r="S73" s="285" t="n"/>
      <c r="T73" s="285" t="n"/>
    </row>
    <row r="74">
      <c r="A74" s="541" t="n"/>
      <c r="B74" s="541" t="n"/>
      <c r="C74" s="285" t="n"/>
      <c r="D74" s="285" t="n"/>
      <c r="E74" s="285" t="n"/>
      <c r="F74" s="285" t="n"/>
      <c r="G74" s="285" t="n"/>
      <c r="H74" s="285" t="n"/>
      <c r="I74" s="285" t="n"/>
      <c r="J74" s="285" t="n"/>
      <c r="K74" s="285" t="n"/>
      <c r="L74" s="285" t="n"/>
      <c r="M74" s="285" t="n"/>
      <c r="N74" s="285" t="n"/>
      <c r="O74" s="285" t="n"/>
      <c r="P74" s="285" t="n"/>
      <c r="Q74" s="285" t="n"/>
      <c r="R74" s="285" t="n"/>
      <c r="S74" s="285" t="n"/>
      <c r="T74" s="285" t="n"/>
    </row>
    <row r="75">
      <c r="A75" s="541" t="n"/>
      <c r="B75" s="541" t="n"/>
      <c r="C75" s="285" t="n"/>
      <c r="D75" s="285" t="n"/>
      <c r="E75" s="285" t="n"/>
      <c r="F75" s="285" t="n"/>
      <c r="G75" s="285" t="n"/>
      <c r="H75" s="285" t="n"/>
      <c r="I75" s="285" t="n"/>
      <c r="J75" s="285" t="n"/>
      <c r="K75" s="285" t="n"/>
      <c r="L75" s="285" t="n"/>
      <c r="M75" s="285" t="n"/>
      <c r="N75" s="285" t="n"/>
      <c r="O75" s="285" t="n"/>
      <c r="P75" s="285" t="n"/>
      <c r="Q75" s="285" t="n"/>
      <c r="R75" s="285" t="n"/>
      <c r="S75" s="285" t="n"/>
      <c r="T75" s="285" t="n"/>
    </row>
    <row r="76">
      <c r="A76" s="541" t="n"/>
      <c r="B76" s="541" t="n"/>
      <c r="C76" s="285" t="n"/>
      <c r="D76" s="285" t="n"/>
      <c r="E76" s="285" t="n"/>
      <c r="F76" s="285" t="n"/>
      <c r="G76" s="285" t="n"/>
      <c r="H76" s="285" t="n"/>
      <c r="I76" s="285" t="n"/>
      <c r="J76" s="285" t="n"/>
      <c r="K76" s="285" t="n"/>
      <c r="L76" s="285" t="n"/>
      <c r="M76" s="285" t="n"/>
      <c r="N76" s="285" t="n"/>
      <c r="O76" s="285" t="n"/>
      <c r="P76" s="285" t="n"/>
      <c r="Q76" s="285" t="n"/>
      <c r="R76" s="285" t="n"/>
      <c r="S76" s="285" t="n"/>
      <c r="T76" s="285" t="n"/>
    </row>
    <row r="77">
      <c r="A77" s="541" t="n"/>
      <c r="B77" s="541" t="n"/>
      <c r="C77" s="285" t="n"/>
      <c r="D77" s="285" t="n"/>
      <c r="E77" s="285" t="n"/>
      <c r="F77" s="285" t="n"/>
      <c r="G77" s="285" t="n"/>
      <c r="H77" s="285" t="n"/>
      <c r="I77" s="285" t="n"/>
      <c r="J77" s="285" t="n"/>
      <c r="K77" s="285" t="n"/>
      <c r="L77" s="285" t="n"/>
      <c r="M77" s="285" t="n"/>
      <c r="N77" s="285" t="n"/>
      <c r="O77" s="285" t="n"/>
      <c r="P77" s="285" t="n"/>
      <c r="Q77" s="285" t="n"/>
      <c r="R77" s="285" t="n"/>
      <c r="S77" s="285" t="n"/>
      <c r="T77" s="285" t="n"/>
    </row>
    <row r="78">
      <c r="A78" s="541" t="n"/>
      <c r="B78" s="541" t="n"/>
      <c r="C78" s="285" t="n"/>
      <c r="D78" s="285" t="n"/>
      <c r="E78" s="285" t="n"/>
      <c r="F78" s="285" t="n"/>
      <c r="G78" s="285" t="n"/>
      <c r="H78" s="285" t="n"/>
      <c r="I78" s="285" t="n"/>
      <c r="J78" s="285" t="n"/>
      <c r="K78" s="285" t="n"/>
      <c r="L78" s="285" t="n"/>
      <c r="M78" s="285" t="n"/>
      <c r="N78" s="285" t="n"/>
      <c r="O78" s="285" t="n"/>
      <c r="P78" s="285" t="n"/>
      <c r="Q78" s="285" t="n"/>
      <c r="R78" s="285" t="n"/>
      <c r="S78" s="285" t="n"/>
      <c r="T78" s="285" t="n"/>
    </row>
    <row r="79">
      <c r="A79" s="541" t="n"/>
      <c r="B79" s="541" t="n"/>
      <c r="C79" s="285" t="n"/>
      <c r="D79" s="285" t="n"/>
      <c r="E79" s="285" t="n"/>
      <c r="F79" s="285" t="n"/>
      <c r="G79" s="285" t="n"/>
      <c r="H79" s="285" t="n"/>
      <c r="I79" s="285" t="n"/>
      <c r="J79" s="285" t="n"/>
      <c r="K79" s="285" t="n"/>
      <c r="L79" s="285" t="n"/>
      <c r="M79" s="285" t="n"/>
      <c r="N79" s="285" t="n"/>
      <c r="O79" s="285" t="n"/>
      <c r="P79" s="285" t="n"/>
      <c r="Q79" s="285" t="n"/>
      <c r="R79" s="285" t="n"/>
      <c r="S79" s="285" t="n"/>
      <c r="T79" s="285" t="n"/>
    </row>
    <row r="80">
      <c r="A80" s="541" t="n"/>
      <c r="B80" s="541" t="n"/>
      <c r="C80" s="285" t="n"/>
      <c r="D80" s="285" t="n"/>
      <c r="E80" s="285" t="n"/>
      <c r="F80" s="285" t="n"/>
      <c r="G80" s="285" t="n"/>
      <c r="H80" s="285" t="n"/>
      <c r="I80" s="285" t="n"/>
      <c r="J80" s="285" t="n"/>
      <c r="K80" s="285" t="n"/>
      <c r="L80" s="285" t="n"/>
      <c r="M80" s="285" t="n"/>
      <c r="N80" s="285" t="n"/>
      <c r="O80" s="285" t="n"/>
      <c r="P80" s="285" t="n"/>
      <c r="Q80" s="285" t="n"/>
      <c r="R80" s="285" t="n"/>
      <c r="S80" s="285" t="n"/>
      <c r="T80" s="285" t="n"/>
    </row>
    <row r="81">
      <c r="A81" s="541" t="n"/>
      <c r="B81" s="541" t="n"/>
      <c r="C81" s="285" t="n"/>
      <c r="D81" s="285" t="n"/>
      <c r="E81" s="285" t="n"/>
      <c r="F81" s="285" t="n"/>
      <c r="G81" s="285" t="n"/>
      <c r="H81" s="285" t="n"/>
      <c r="I81" s="285" t="n"/>
      <c r="J81" s="285" t="n"/>
      <c r="K81" s="285" t="n"/>
      <c r="L81" s="285" t="n"/>
      <c r="M81" s="285" t="n"/>
      <c r="N81" s="285" t="n"/>
      <c r="O81" s="285" t="n"/>
      <c r="P81" s="285" t="n"/>
      <c r="Q81" s="285" t="n"/>
      <c r="R81" s="285" t="n"/>
      <c r="S81" s="285" t="n"/>
      <c r="T81" s="285" t="n"/>
    </row>
    <row r="82">
      <c r="A82" s="541" t="n"/>
      <c r="B82" s="541" t="n"/>
      <c r="C82" s="285" t="n"/>
      <c r="D82" s="285" t="n"/>
      <c r="E82" s="285" t="n"/>
      <c r="F82" s="285" t="n"/>
      <c r="G82" s="285" t="n"/>
      <c r="H82" s="285" t="n"/>
      <c r="I82" s="285" t="n"/>
      <c r="J82" s="285" t="n"/>
      <c r="K82" s="285" t="n"/>
      <c r="L82" s="285" t="n"/>
      <c r="M82" s="285" t="n"/>
      <c r="N82" s="285" t="n"/>
      <c r="O82" s="285" t="n"/>
      <c r="P82" s="285" t="n"/>
      <c r="Q82" s="285" t="n"/>
      <c r="R82" s="285" t="n"/>
      <c r="S82" s="285" t="n"/>
      <c r="T82" s="285" t="n"/>
    </row>
  </sheetData>
  <sheetProtection selectLockedCells="0" selectUnlockedCells="0" sheet="1" objects="1" insertRows="1" insertHyperlinks="1" autoFilter="1" scenarios="1" formatColumns="1" deleteColumns="1" insertColumns="1" pivotTables="1" deleteRows="1" formatCells="0" formatRows="1" sort="1"/>
  <mergeCells count="1">
    <mergeCell ref="A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Nina Graft</dc:creator>
  <dcterms:created xsi:type="dcterms:W3CDTF">2026-08-14T15:08:48Z</dcterms:created>
  <dcterms:modified xsi:type="dcterms:W3CDTF">2026-08-19T13:23:25Z</dcterms:modified>
  <cp:lastModifiedBy>Nina Graft</cp:lastModifiedBy>
</cp:coreProperties>
</file>