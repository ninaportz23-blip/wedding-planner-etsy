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tables/table2.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tables/table3.xml" ContentType="application/vnd.openxmlformats-officedocument.spreadsheetml.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TFS1\Home$\Nina.Graft\Documents\"/>
    </mc:Choice>
  </mc:AlternateContent>
  <xr:revisionPtr revIDLastSave="0" documentId="8_{3A75C482-844D-45A1-B4A5-C0BBC1CDA1C0}" xr6:coauthVersionLast="47" xr6:coauthVersionMax="47" xr10:uidLastSave="{00000000-0000-0000-0000-000000000000}"/>
  <bookViews>
    <workbookView xWindow="-120" yWindow="-120" windowWidth="23280" windowHeight="11880" tabRatio="887" firstSheet="3" activeTab="3" xr2:uid="{919F2973-5F93-49CB-9E7E-FB16452FDF32}"/>
  </bookViews>
  <sheets>
    <sheet name="Welcome" sheetId="1" r:id="rId1"/>
    <sheet name="Example" sheetId="12" r:id="rId2"/>
    <sheet name="Paycheck Budget" sheetId="3" r:id="rId3"/>
    <sheet name="Flexible Income Budget" sheetId="13" r:id="rId4"/>
    <sheet name="Transactions Log" sheetId="5" r:id="rId5"/>
    <sheet name="Bank Import" sheetId="14" r:id="rId6"/>
    <sheet name="Bill Calendar" sheetId="6" r:id="rId7"/>
    <sheet name="Subscription Tracker" sheetId="7" r:id="rId8"/>
    <sheet name="Savings &amp; Debt Goal Tracker" sheetId="8" r:id="rId9"/>
    <sheet name="Habit Tracker" sheetId="9" r:id="rId10"/>
    <sheet name="Notes FAQ" sheetId="10" r:id="rId11"/>
    <sheet name="Settings" sheetId="11" r:id="rId12"/>
  </sheets>
  <definedNames>
    <definedName name="_xlnm.Print_Area" localSheetId="1">Example!$A$1:$W$61</definedName>
    <definedName name="_xlnm.Print_Area" localSheetId="3">'Flexible Income Budget'!$A$1:$W$61</definedName>
    <definedName name="_xlnm.Print_Area" localSheetId="2">'Paycheck Budget'!$A$1:$W$61</definedName>
    <definedName name="AsOfDate" localSheetId="3">'Flexible Income Budget'!$B$66</definedName>
    <definedName name="BillingFrequencyList">Settings!$N$3:$N$5</definedName>
    <definedName name="CategoryList">Settings!$A$3:$A$82</definedName>
    <definedName name="CategoryTypeList">Settings!$B$3:$B$82</definedName>
    <definedName name="CurrencyList">Settings!$H$3:$H$7</definedName>
    <definedName name="GoalNameList" localSheetId="8">'Savings &amp; Debt Goal Tracker'!$J$6:$J$21</definedName>
    <definedName name="MonthList">Settings!$J$3:$J$14</definedName>
    <definedName name="PayFrequencyList">Settings!$F$3:$F$6</definedName>
    <definedName name="PeriodEnd" localSheetId="1">Example!$B$7</definedName>
    <definedName name="PeriodEnd" localSheetId="3">'Flexible Income Budget'!$B$7</definedName>
    <definedName name="PeriodEnd" localSheetId="2">'Paycheck Budget'!$B$7</definedName>
    <definedName name="PeriodStart" localSheetId="1">Example!$B$5</definedName>
    <definedName name="PeriodStart" localSheetId="3">'Flexible Income Budget'!$B$5</definedName>
    <definedName name="PeriodStart" localSheetId="2">'Paycheck Budget'!$B$5</definedName>
    <definedName name="SubCategoryList">Settings!$T$3:$T$10</definedName>
    <definedName name="TypeList">Settings!$D$3:$D$7</definedName>
    <definedName name="WeekStartList">Settings!$L$3:$L$4</definedName>
    <definedName name="YearList">Settings!$P$3:$P$9</definedName>
    <definedName name="YesNoList">Settings!$R$3:$R$4</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4" i="9" l="1"/>
  <c r="AL5" i="9" s="1"/>
  <c r="F10" i="14"/>
  <c r="H105" i="14"/>
  <c r="F105" i="14"/>
  <c r="G105" i="14" s="1"/>
  <c r="E105" i="14"/>
  <c r="D105" i="14" a="1"/>
  <c r="D105" i="14" s="1"/>
  <c r="H104" i="14"/>
  <c r="F104" i="14"/>
  <c r="G104" i="14" s="1"/>
  <c r="E104" i="14"/>
  <c r="D104" i="14" a="1"/>
  <c r="D104" i="14" s="1"/>
  <c r="H103" i="14"/>
  <c r="F103" i="14"/>
  <c r="G103" i="14" s="1"/>
  <c r="E103" i="14"/>
  <c r="D103" i="14" a="1"/>
  <c r="D103" i="14" s="1"/>
  <c r="H102" i="14"/>
  <c r="F102" i="14"/>
  <c r="G102" i="14" s="1"/>
  <c r="E102" i="14"/>
  <c r="D102" i="14" a="1"/>
  <c r="D102" i="14" s="1"/>
  <c r="H101" i="14"/>
  <c r="F101" i="14"/>
  <c r="G101" i="14" s="1"/>
  <c r="E101" i="14"/>
  <c r="D101" i="14" a="1"/>
  <c r="D101" i="14" s="1"/>
  <c r="H100" i="14"/>
  <c r="F100" i="14"/>
  <c r="G100" i="14" s="1"/>
  <c r="E100" i="14"/>
  <c r="D100" i="14" a="1"/>
  <c r="D100" i="14" s="1"/>
  <c r="H99" i="14"/>
  <c r="F99" i="14"/>
  <c r="G99" i="14" s="1"/>
  <c r="E99" i="14"/>
  <c r="D99" i="14" a="1"/>
  <c r="D99" i="14" s="1"/>
  <c r="H98" i="14"/>
  <c r="F98" i="14"/>
  <c r="G98" i="14" s="1"/>
  <c r="E98" i="14"/>
  <c r="D98" i="14" a="1"/>
  <c r="D98" i="14" s="1"/>
  <c r="H97" i="14"/>
  <c r="F97" i="14"/>
  <c r="G97" i="14" s="1"/>
  <c r="E97" i="14"/>
  <c r="D97" i="14" a="1"/>
  <c r="D97" i="14" s="1"/>
  <c r="H96" i="14"/>
  <c r="F96" i="14"/>
  <c r="G96" i="14" s="1"/>
  <c r="E96" i="14"/>
  <c r="D96" i="14" a="1"/>
  <c r="D96" i="14" s="1"/>
  <c r="H95" i="14"/>
  <c r="F95" i="14"/>
  <c r="G95" i="14" s="1"/>
  <c r="E95" i="14"/>
  <c r="D95" i="14" a="1"/>
  <c r="D95" i="14" s="1"/>
  <c r="H94" i="14"/>
  <c r="F94" i="14"/>
  <c r="G94" i="14" s="1"/>
  <c r="E94" i="14"/>
  <c r="D94" i="14" a="1"/>
  <c r="D94" i="14" s="1"/>
  <c r="H93" i="14"/>
  <c r="F93" i="14"/>
  <c r="G93" i="14" s="1"/>
  <c r="E93" i="14"/>
  <c r="D93" i="14" a="1"/>
  <c r="D93" i="14" s="1"/>
  <c r="H92" i="14"/>
  <c r="F92" i="14"/>
  <c r="G92" i="14" s="1"/>
  <c r="E92" i="14"/>
  <c r="D92" i="14" a="1"/>
  <c r="D92" i="14" s="1"/>
  <c r="H91" i="14"/>
  <c r="F91" i="14"/>
  <c r="G91" i="14" s="1"/>
  <c r="E91" i="14"/>
  <c r="D91" i="14" a="1"/>
  <c r="D91" i="14" s="1"/>
  <c r="H90" i="14"/>
  <c r="F90" i="14"/>
  <c r="G90" i="14" s="1"/>
  <c r="E90" i="14"/>
  <c r="D90" i="14" a="1"/>
  <c r="D90" i="14" s="1"/>
  <c r="H89" i="14"/>
  <c r="F89" i="14"/>
  <c r="G89" i="14" s="1"/>
  <c r="E89" i="14"/>
  <c r="D89" i="14" a="1"/>
  <c r="D89" i="14" s="1"/>
  <c r="H88" i="14"/>
  <c r="F88" i="14"/>
  <c r="G88" i="14" s="1"/>
  <c r="E88" i="14"/>
  <c r="D88" i="14" a="1"/>
  <c r="D88" i="14" s="1"/>
  <c r="H87" i="14"/>
  <c r="F87" i="14"/>
  <c r="G87" i="14" s="1"/>
  <c r="E87" i="14"/>
  <c r="D87" i="14" a="1"/>
  <c r="D87" i="14" s="1"/>
  <c r="H86" i="14"/>
  <c r="F86" i="14"/>
  <c r="G86" i="14" s="1"/>
  <c r="E86" i="14"/>
  <c r="D86" i="14" a="1"/>
  <c r="D86" i="14" s="1"/>
  <c r="H85" i="14"/>
  <c r="F85" i="14"/>
  <c r="G85" i="14" s="1"/>
  <c r="E85" i="14"/>
  <c r="D85" i="14" a="1"/>
  <c r="D85" i="14" s="1"/>
  <c r="H84" i="14"/>
  <c r="F84" i="14"/>
  <c r="G84" i="14" s="1"/>
  <c r="E84" i="14"/>
  <c r="D84" i="14" a="1"/>
  <c r="D84" i="14" s="1"/>
  <c r="H83" i="14"/>
  <c r="F83" i="14"/>
  <c r="G83" i="14" s="1"/>
  <c r="E83" i="14"/>
  <c r="D83" i="14" a="1"/>
  <c r="D83" i="14" s="1"/>
  <c r="H82" i="14"/>
  <c r="F82" i="14"/>
  <c r="G82" i="14" s="1"/>
  <c r="E82" i="14"/>
  <c r="D82" i="14" a="1"/>
  <c r="D82" i="14" s="1"/>
  <c r="H81" i="14"/>
  <c r="F81" i="14"/>
  <c r="G81" i="14" s="1"/>
  <c r="E81" i="14"/>
  <c r="D81" i="14" a="1"/>
  <c r="D81" i="14" s="1"/>
  <c r="H80" i="14"/>
  <c r="F80" i="14"/>
  <c r="G80" i="14" s="1"/>
  <c r="E80" i="14"/>
  <c r="D80" i="14" a="1"/>
  <c r="D80" i="14" s="1"/>
  <c r="H79" i="14"/>
  <c r="F79" i="14"/>
  <c r="G79" i="14" s="1"/>
  <c r="E79" i="14"/>
  <c r="D79" i="14" a="1"/>
  <c r="D79" i="14" s="1"/>
  <c r="H78" i="14"/>
  <c r="F78" i="14"/>
  <c r="G78" i="14" s="1"/>
  <c r="E78" i="14"/>
  <c r="D78" i="14" a="1"/>
  <c r="D78" i="14" s="1"/>
  <c r="H77" i="14"/>
  <c r="F77" i="14"/>
  <c r="G77" i="14" s="1"/>
  <c r="E77" i="14"/>
  <c r="D77" i="14" a="1"/>
  <c r="D77" i="14" s="1"/>
  <c r="H76" i="14"/>
  <c r="F76" i="14"/>
  <c r="G76" i="14" s="1"/>
  <c r="E76" i="14"/>
  <c r="D76" i="14" a="1"/>
  <c r="D76" i="14" s="1"/>
  <c r="H75" i="14"/>
  <c r="F75" i="14"/>
  <c r="G75" i="14" s="1"/>
  <c r="E75" i="14"/>
  <c r="D75" i="14" a="1"/>
  <c r="D75" i="14" s="1"/>
  <c r="H74" i="14"/>
  <c r="F74" i="14"/>
  <c r="G74" i="14" s="1"/>
  <c r="E74" i="14"/>
  <c r="D74" i="14" a="1"/>
  <c r="D74" i="14" s="1"/>
  <c r="H73" i="14"/>
  <c r="F73" i="14"/>
  <c r="G73" i="14" s="1"/>
  <c r="E73" i="14"/>
  <c r="D73" i="14" a="1"/>
  <c r="D73" i="14" s="1"/>
  <c r="H72" i="14"/>
  <c r="F72" i="14"/>
  <c r="G72" i="14" s="1"/>
  <c r="E72" i="14"/>
  <c r="D72" i="14" a="1"/>
  <c r="D72" i="14" s="1"/>
  <c r="H71" i="14"/>
  <c r="F71" i="14"/>
  <c r="G71" i="14" s="1"/>
  <c r="E71" i="14"/>
  <c r="D71" i="14" a="1"/>
  <c r="D71" i="14" s="1"/>
  <c r="H70" i="14"/>
  <c r="F70" i="14"/>
  <c r="G70" i="14" s="1"/>
  <c r="E70" i="14"/>
  <c r="D70" i="14" a="1"/>
  <c r="D70" i="14" s="1"/>
  <c r="H69" i="14"/>
  <c r="F69" i="14"/>
  <c r="G69" i="14" s="1"/>
  <c r="E69" i="14"/>
  <c r="D69" i="14" a="1"/>
  <c r="D69" i="14" s="1"/>
  <c r="H68" i="14"/>
  <c r="F68" i="14"/>
  <c r="G68" i="14" s="1"/>
  <c r="E68" i="14"/>
  <c r="D68" i="14" a="1"/>
  <c r="D68" i="14" s="1"/>
  <c r="H67" i="14"/>
  <c r="F67" i="14"/>
  <c r="G67" i="14" s="1"/>
  <c r="E67" i="14"/>
  <c r="D67" i="14" a="1"/>
  <c r="D67" i="14" s="1"/>
  <c r="H66" i="14"/>
  <c r="F66" i="14"/>
  <c r="G66" i="14" s="1"/>
  <c r="E66" i="14"/>
  <c r="D66" i="14" a="1"/>
  <c r="D66" i="14" s="1"/>
  <c r="H65" i="14"/>
  <c r="F65" i="14"/>
  <c r="G65" i="14" s="1"/>
  <c r="E65" i="14"/>
  <c r="D65" i="14" a="1"/>
  <c r="D65" i="14" s="1"/>
  <c r="H64" i="14"/>
  <c r="F64" i="14"/>
  <c r="G64" i="14" s="1"/>
  <c r="E64" i="14"/>
  <c r="D64" i="14" a="1"/>
  <c r="D64" i="14" s="1"/>
  <c r="H63" i="14"/>
  <c r="F63" i="14"/>
  <c r="G63" i="14" s="1"/>
  <c r="E63" i="14"/>
  <c r="D63" i="14" a="1"/>
  <c r="D63" i="14" s="1"/>
  <c r="H62" i="14"/>
  <c r="F62" i="14"/>
  <c r="G62" i="14" s="1"/>
  <c r="E62" i="14"/>
  <c r="D62" i="14" a="1"/>
  <c r="D62" i="14" s="1"/>
  <c r="H61" i="14"/>
  <c r="F61" i="14"/>
  <c r="G61" i="14" s="1"/>
  <c r="E61" i="14"/>
  <c r="D61" i="14" a="1"/>
  <c r="D61" i="14" s="1"/>
  <c r="H60" i="14"/>
  <c r="F60" i="14"/>
  <c r="G60" i="14" s="1"/>
  <c r="E60" i="14"/>
  <c r="D60" i="14" a="1"/>
  <c r="D60" i="14" s="1"/>
  <c r="H59" i="14"/>
  <c r="F59" i="14"/>
  <c r="G59" i="14" s="1"/>
  <c r="E59" i="14"/>
  <c r="D59" i="14" a="1"/>
  <c r="D59" i="14" s="1"/>
  <c r="H58" i="14"/>
  <c r="F58" i="14"/>
  <c r="G58" i="14" s="1"/>
  <c r="E58" i="14"/>
  <c r="D58" i="14" a="1"/>
  <c r="D58" i="14" s="1"/>
  <c r="H57" i="14"/>
  <c r="F57" i="14"/>
  <c r="G57" i="14" s="1"/>
  <c r="E57" i="14"/>
  <c r="D57" i="14" a="1"/>
  <c r="D57" i="14" s="1"/>
  <c r="H56" i="14"/>
  <c r="F56" i="14"/>
  <c r="G56" i="14" s="1"/>
  <c r="E56" i="14"/>
  <c r="D56" i="14" a="1"/>
  <c r="D56" i="14" s="1"/>
  <c r="H55" i="14"/>
  <c r="F55" i="14"/>
  <c r="G55" i="14" s="1"/>
  <c r="E55" i="14"/>
  <c r="D55" i="14" a="1"/>
  <c r="D55" i="14" s="1"/>
  <c r="H54" i="14"/>
  <c r="F54" i="14"/>
  <c r="G54" i="14" s="1"/>
  <c r="E54" i="14"/>
  <c r="D54" i="14" a="1"/>
  <c r="D54" i="14" s="1"/>
  <c r="H53" i="14"/>
  <c r="F53" i="14"/>
  <c r="G53" i="14" s="1"/>
  <c r="E53" i="14"/>
  <c r="D53" i="14" a="1"/>
  <c r="D53" i="14" s="1"/>
  <c r="H52" i="14"/>
  <c r="F52" i="14"/>
  <c r="G52" i="14" s="1"/>
  <c r="E52" i="14"/>
  <c r="D52" i="14" a="1"/>
  <c r="D52" i="14" s="1"/>
  <c r="H51" i="14"/>
  <c r="F51" i="14"/>
  <c r="G51" i="14" s="1"/>
  <c r="E51" i="14"/>
  <c r="D51" i="14" a="1"/>
  <c r="D51" i="14" s="1"/>
  <c r="H50" i="14"/>
  <c r="F50" i="14"/>
  <c r="G50" i="14" s="1"/>
  <c r="E50" i="14"/>
  <c r="D50" i="14" a="1"/>
  <c r="D50" i="14" s="1"/>
  <c r="H49" i="14"/>
  <c r="F49" i="14"/>
  <c r="G49" i="14" s="1"/>
  <c r="E49" i="14"/>
  <c r="D49" i="14" a="1"/>
  <c r="D49" i="14" s="1"/>
  <c r="H48" i="14"/>
  <c r="F48" i="14"/>
  <c r="G48" i="14" s="1"/>
  <c r="E48" i="14"/>
  <c r="D48" i="14" a="1"/>
  <c r="D48" i="14" s="1"/>
  <c r="H47" i="14"/>
  <c r="F47" i="14"/>
  <c r="G47" i="14" s="1"/>
  <c r="E47" i="14"/>
  <c r="D47" i="14" a="1"/>
  <c r="D47" i="14" s="1"/>
  <c r="H46" i="14"/>
  <c r="F46" i="14"/>
  <c r="G46" i="14" s="1"/>
  <c r="E46" i="14"/>
  <c r="D46" i="14" a="1"/>
  <c r="D46" i="14" s="1"/>
  <c r="H45" i="14"/>
  <c r="F45" i="14"/>
  <c r="G45" i="14" s="1"/>
  <c r="E45" i="14"/>
  <c r="D45" i="14" a="1"/>
  <c r="D45" i="14" s="1"/>
  <c r="H44" i="14"/>
  <c r="F44" i="14"/>
  <c r="G44" i="14" s="1"/>
  <c r="E44" i="14"/>
  <c r="D44" i="14" a="1"/>
  <c r="D44" i="14" s="1"/>
  <c r="H43" i="14"/>
  <c r="F43" i="14"/>
  <c r="G43" i="14" s="1"/>
  <c r="E43" i="14"/>
  <c r="D43" i="14" a="1"/>
  <c r="D43" i="14" s="1"/>
  <c r="H42" i="14"/>
  <c r="F42" i="14"/>
  <c r="G42" i="14" s="1"/>
  <c r="E42" i="14"/>
  <c r="D42" i="14" a="1"/>
  <c r="D42" i="14" s="1"/>
  <c r="H41" i="14"/>
  <c r="F41" i="14"/>
  <c r="G41" i="14" s="1"/>
  <c r="E41" i="14"/>
  <c r="D41" i="14" a="1"/>
  <c r="D41" i="14" s="1"/>
  <c r="H40" i="14"/>
  <c r="F40" i="14"/>
  <c r="G40" i="14" s="1"/>
  <c r="E40" i="14"/>
  <c r="D40" i="14" a="1"/>
  <c r="D40" i="14" s="1"/>
  <c r="H39" i="14"/>
  <c r="F39" i="14"/>
  <c r="G39" i="14" s="1"/>
  <c r="E39" i="14"/>
  <c r="D39" i="14" a="1"/>
  <c r="D39" i="14" s="1"/>
  <c r="H38" i="14"/>
  <c r="F38" i="14"/>
  <c r="G38" i="14" s="1"/>
  <c r="E38" i="14"/>
  <c r="D38" i="14" a="1"/>
  <c r="D38" i="14" s="1"/>
  <c r="H37" i="14"/>
  <c r="F37" i="14"/>
  <c r="G37" i="14" s="1"/>
  <c r="E37" i="14"/>
  <c r="D37" i="14" a="1"/>
  <c r="D37" i="14" s="1"/>
  <c r="H36" i="14"/>
  <c r="F36" i="14"/>
  <c r="G36" i="14" s="1"/>
  <c r="E36" i="14"/>
  <c r="D36" i="14" a="1"/>
  <c r="D36" i="14" s="1"/>
  <c r="H35" i="14"/>
  <c r="F35" i="14"/>
  <c r="G35" i="14" s="1"/>
  <c r="E35" i="14"/>
  <c r="D35" i="14" a="1"/>
  <c r="D35" i="14" s="1"/>
  <c r="H34" i="14"/>
  <c r="F34" i="14"/>
  <c r="G34" i="14" s="1"/>
  <c r="E34" i="14"/>
  <c r="D34" i="14" a="1"/>
  <c r="D34" i="14" s="1"/>
  <c r="H33" i="14"/>
  <c r="F33" i="14"/>
  <c r="G33" i="14" s="1"/>
  <c r="E33" i="14"/>
  <c r="D33" i="14" a="1"/>
  <c r="D33" i="14" s="1"/>
  <c r="H32" i="14"/>
  <c r="F32" i="14"/>
  <c r="G32" i="14" s="1"/>
  <c r="E32" i="14"/>
  <c r="D32" i="14" a="1"/>
  <c r="D32" i="14" s="1"/>
  <c r="H31" i="14"/>
  <c r="F31" i="14"/>
  <c r="G31" i="14" s="1"/>
  <c r="E31" i="14"/>
  <c r="D31" i="14" a="1"/>
  <c r="D31" i="14" s="1"/>
  <c r="H30" i="14"/>
  <c r="F30" i="14"/>
  <c r="G30" i="14" s="1"/>
  <c r="E30" i="14"/>
  <c r="D30" i="14" a="1"/>
  <c r="D30" i="14" s="1"/>
  <c r="H29" i="14"/>
  <c r="F29" i="14"/>
  <c r="G29" i="14" s="1"/>
  <c r="E29" i="14"/>
  <c r="D29" i="14" a="1"/>
  <c r="D29" i="14" s="1"/>
  <c r="H28" i="14"/>
  <c r="F28" i="14"/>
  <c r="G28" i="14" s="1"/>
  <c r="E28" i="14"/>
  <c r="D28" i="14" a="1"/>
  <c r="D28" i="14" s="1"/>
  <c r="H27" i="14"/>
  <c r="F27" i="14"/>
  <c r="G27" i="14" s="1"/>
  <c r="E27" i="14"/>
  <c r="D27" i="14" a="1"/>
  <c r="D27" i="14" s="1"/>
  <c r="H26" i="14"/>
  <c r="F26" i="14"/>
  <c r="G26" i="14" s="1"/>
  <c r="E26" i="14"/>
  <c r="D26" i="14" a="1"/>
  <c r="D26" i="14" s="1"/>
  <c r="H25" i="14"/>
  <c r="F25" i="14"/>
  <c r="G25" i="14" s="1"/>
  <c r="E25" i="14"/>
  <c r="D25" i="14" a="1"/>
  <c r="D25" i="14" s="1"/>
  <c r="H24" i="14"/>
  <c r="F24" i="14"/>
  <c r="G24" i="14" s="1"/>
  <c r="E24" i="14"/>
  <c r="D24" i="14" a="1"/>
  <c r="D24" i="14" s="1"/>
  <c r="H23" i="14"/>
  <c r="F23" i="14"/>
  <c r="G23" i="14" s="1"/>
  <c r="E23" i="14"/>
  <c r="D23" i="14" a="1"/>
  <c r="D23" i="14" s="1"/>
  <c r="H22" i="14"/>
  <c r="F22" i="14"/>
  <c r="G22" i="14" s="1"/>
  <c r="E22" i="14"/>
  <c r="D22" i="14" a="1"/>
  <c r="D22" i="14" s="1"/>
  <c r="H21" i="14"/>
  <c r="F21" i="14"/>
  <c r="G21" i="14" s="1"/>
  <c r="E21" i="14"/>
  <c r="D21" i="14" a="1"/>
  <c r="D21" i="14" s="1"/>
  <c r="H20" i="14"/>
  <c r="F20" i="14"/>
  <c r="G20" i="14" s="1"/>
  <c r="E20" i="14"/>
  <c r="D20" i="14" a="1"/>
  <c r="D20" i="14" s="1"/>
  <c r="H19" i="14"/>
  <c r="F19" i="14"/>
  <c r="G19" i="14" s="1"/>
  <c r="E19" i="14"/>
  <c r="D19" i="14" a="1"/>
  <c r="D19" i="14" s="1"/>
  <c r="H18" i="14"/>
  <c r="F18" i="14"/>
  <c r="G18" i="14" s="1"/>
  <c r="E18" i="14"/>
  <c r="D18" i="14" a="1"/>
  <c r="D18" i="14" s="1"/>
  <c r="H17" i="14"/>
  <c r="F17" i="14"/>
  <c r="G17" i="14" s="1"/>
  <c r="E17" i="14"/>
  <c r="D17" i="14" a="1"/>
  <c r="D17" i="14" s="1"/>
  <c r="H16" i="14"/>
  <c r="F16" i="14"/>
  <c r="G16" i="14" s="1"/>
  <c r="E16" i="14"/>
  <c r="D16" i="14" a="1"/>
  <c r="D16" i="14" s="1"/>
  <c r="H15" i="14"/>
  <c r="F15" i="14"/>
  <c r="G15" i="14" s="1"/>
  <c r="E15" i="14"/>
  <c r="D15" i="14" a="1"/>
  <c r="D15" i="14" s="1"/>
  <c r="H14" i="14"/>
  <c r="F14" i="14"/>
  <c r="G14" i="14" s="1"/>
  <c r="E14" i="14"/>
  <c r="D14" i="14" a="1"/>
  <c r="D14" i="14" s="1"/>
  <c r="H13" i="14"/>
  <c r="F13" i="14"/>
  <c r="G13" i="14" s="1"/>
  <c r="E13" i="14"/>
  <c r="D13" i="14" a="1"/>
  <c r="D13" i="14" s="1"/>
  <c r="H12" i="14"/>
  <c r="F12" i="14"/>
  <c r="G12" i="14" s="1"/>
  <c r="E12" i="14"/>
  <c r="D12" i="14" a="1"/>
  <c r="D12" i="14" s="1"/>
  <c r="H11" i="14"/>
  <c r="F11" i="14"/>
  <c r="G11" i="14" s="1"/>
  <c r="E11" i="14"/>
  <c r="D11" i="14" a="1"/>
  <c r="D11" i="14" s="1"/>
  <c r="H10" i="14"/>
  <c r="E10" i="14"/>
  <c r="D10" i="14" a="1"/>
  <c r="D10" i="14" s="1"/>
  <c r="G10" i="14" s="1"/>
  <c r="H9" i="14"/>
  <c r="E9" i="14"/>
  <c r="D9" i="14" a="1"/>
  <c r="D9" i="14" s="1"/>
  <c r="F9" i="14" s="1"/>
  <c r="G9" i="14" s="1"/>
  <c r="H8" i="14"/>
  <c r="E8" i="14"/>
  <c r="D8" i="14" a="1"/>
  <c r="D8" i="14" s="1"/>
  <c r="F8" i="14" s="1"/>
  <c r="G8" i="14" s="1"/>
  <c r="H7" i="14"/>
  <c r="E7" i="14"/>
  <c r="D7" i="14" a="1"/>
  <c r="D7" i="14" s="1"/>
  <c r="F7" i="14" s="1"/>
  <c r="G7" i="14" s="1"/>
  <c r="H6" i="14"/>
  <c r="E6" i="14"/>
  <c r="D6" i="14" a="1"/>
  <c r="D6" i="14"/>
  <c r="F6" i="14" s="1"/>
  <c r="G6" i="14" s="1"/>
  <c r="B18" i="6" a="1"/>
  <c r="B18" i="6"/>
  <c r="C18" i="6" a="1"/>
  <c r="C18" i="6"/>
  <c r="D18" i="6" a="1"/>
  <c r="D18" i="6"/>
  <c r="E18" i="6" a="1"/>
  <c r="E18" i="6"/>
  <c r="F18" i="6" a="1"/>
  <c r="F18" i="6"/>
  <c r="G18" i="6" a="1"/>
  <c r="G18" i="6"/>
  <c r="H18" i="6" a="1"/>
  <c r="H18" i="6"/>
  <c r="B16" i="6" a="1"/>
  <c r="B16" i="6"/>
  <c r="C16" i="6" a="1"/>
  <c r="C16" i="6"/>
  <c r="D16" i="6" a="1"/>
  <c r="D16" i="6"/>
  <c r="E16" i="6" a="1"/>
  <c r="E16" i="6"/>
  <c r="F16" i="6" a="1"/>
  <c r="F16" i="6"/>
  <c r="G16" i="6" a="1"/>
  <c r="G16" i="6"/>
  <c r="H16" i="6" a="1"/>
  <c r="H16" i="6"/>
  <c r="B14" i="6" a="1"/>
  <c r="B14" i="6"/>
  <c r="C14" i="6" a="1"/>
  <c r="C14" i="6"/>
  <c r="D14" i="6" a="1"/>
  <c r="D14" i="6"/>
  <c r="E14" i="6" a="1"/>
  <c r="E14" i="6"/>
  <c r="F14" i="6" a="1"/>
  <c r="F14" i="6"/>
  <c r="G14" i="6" a="1"/>
  <c r="G14" i="6"/>
  <c r="H14" i="6" a="1"/>
  <c r="H14" i="6"/>
  <c r="B12" i="6" a="1"/>
  <c r="B12" i="6"/>
  <c r="C12" i="6" a="1"/>
  <c r="C12" i="6"/>
  <c r="D12" i="6" a="1"/>
  <c r="D12" i="6"/>
  <c r="E12" i="6" a="1"/>
  <c r="E12" i="6"/>
  <c r="F12" i="6" a="1"/>
  <c r="F12" i="6"/>
  <c r="G12" i="6" a="1"/>
  <c r="G12" i="6"/>
  <c r="H12" i="6" a="1"/>
  <c r="H12" i="6"/>
  <c r="B10" i="6" a="1"/>
  <c r="B10" i="6"/>
  <c r="C10" i="6" a="1"/>
  <c r="C10" i="6"/>
  <c r="D10" i="6" a="1"/>
  <c r="D10" i="6"/>
  <c r="E10" i="6" a="1"/>
  <c r="E10" i="6"/>
  <c r="F10" i="6" a="1"/>
  <c r="F10" i="6"/>
  <c r="G10" i="6" a="1"/>
  <c r="G10" i="6"/>
  <c r="H10" i="6" a="1"/>
  <c r="H10" i="6"/>
  <c r="B8" i="6" a="1"/>
  <c r="B8" i="6"/>
  <c r="C8" i="6" a="1"/>
  <c r="C8" i="6"/>
  <c r="D8" i="6" a="1"/>
  <c r="D8" i="6"/>
  <c r="E8" i="6" a="1"/>
  <c r="E8" i="6"/>
  <c r="F8" i="6" a="1"/>
  <c r="F8" i="6"/>
  <c r="G8" i="6" a="1"/>
  <c r="G8" i="6"/>
  <c r="H8" i="6" a="1"/>
  <c r="H8" i="6"/>
  <c r="I10" i="12"/>
  <c r="C16" i="13"/>
  <c r="C17" i="13"/>
  <c r="C30" i="13"/>
  <c r="D30" i="13" s="1"/>
  <c r="C29" i="13"/>
  <c r="D29" i="13" s="1"/>
  <c r="C28" i="13"/>
  <c r="D28" i="13" s="1"/>
  <c r="C27" i="13"/>
  <c r="D27" i="13" s="1"/>
  <c r="C26" i="13"/>
  <c r="D26" i="13" s="1"/>
  <c r="C25" i="13"/>
  <c r="D25" i="13" s="1"/>
  <c r="C24" i="13"/>
  <c r="D24" i="13" s="1"/>
  <c r="D16" i="13"/>
  <c r="C15" i="13"/>
  <c r="D15" i="13" s="1"/>
  <c r="G4" i="13"/>
  <c r="G4" i="3"/>
  <c r="G4" i="12"/>
  <c r="AH9" i="9"/>
  <c r="AH10" i="9"/>
  <c r="AH11" i="9"/>
  <c r="AH12" i="9"/>
  <c r="AH13" i="9"/>
  <c r="AH14" i="9"/>
  <c r="AH15" i="9"/>
  <c r="AH16" i="9"/>
  <c r="AH17" i="9"/>
  <c r="AH18" i="9"/>
  <c r="C8" i="9"/>
  <c r="AK2" i="9" s="1"/>
  <c r="D8" i="9"/>
  <c r="AK3" i="9" s="1"/>
  <c r="E8" i="9"/>
  <c r="AK4" i="9" s="1"/>
  <c r="F8" i="9"/>
  <c r="AK5" i="9" s="1"/>
  <c r="G8" i="9"/>
  <c r="AK6" i="9" s="1"/>
  <c r="H8" i="9"/>
  <c r="AK7" i="9" s="1"/>
  <c r="I8" i="9"/>
  <c r="AK8" i="9" s="1"/>
  <c r="J8" i="9"/>
  <c r="AK9" i="9" s="1"/>
  <c r="K8" i="9"/>
  <c r="AK10" i="9" s="1"/>
  <c r="L8" i="9"/>
  <c r="AK11" i="9" s="1"/>
  <c r="M8" i="9"/>
  <c r="AK12" i="9" s="1"/>
  <c r="N8" i="9"/>
  <c r="AK13" i="9" s="1"/>
  <c r="O8" i="9"/>
  <c r="AK14" i="9" s="1"/>
  <c r="P8" i="9"/>
  <c r="AK15" i="9" s="1"/>
  <c r="Q8" i="9"/>
  <c r="AK16" i="9" s="1"/>
  <c r="R8" i="9"/>
  <c r="AK17" i="9" s="1"/>
  <c r="S8" i="9"/>
  <c r="AK18" i="9" s="1"/>
  <c r="T8" i="9"/>
  <c r="AK19" i="9" s="1"/>
  <c r="U8" i="9"/>
  <c r="AK20" i="9" s="1"/>
  <c r="V8" i="9"/>
  <c r="AK21" i="9" s="1"/>
  <c r="W8" i="9"/>
  <c r="AK22" i="9" s="1"/>
  <c r="X8" i="9"/>
  <c r="AK23" i="9" s="1"/>
  <c r="Y8" i="9"/>
  <c r="AK24" i="9" s="1"/>
  <c r="Z8" i="9"/>
  <c r="AK25" i="9" s="1"/>
  <c r="AA8" i="9"/>
  <c r="AK26" i="9" s="1"/>
  <c r="AB8" i="9"/>
  <c r="AK27" i="9" s="1"/>
  <c r="AC8" i="9"/>
  <c r="AK28" i="9" s="1"/>
  <c r="AD8" i="9"/>
  <c r="AK29" i="9" s="1"/>
  <c r="AE8" i="9"/>
  <c r="AK30" i="9" s="1"/>
  <c r="AF8" i="9"/>
  <c r="AK31" i="9" s="1"/>
  <c r="AG8" i="9"/>
  <c r="AK32" i="9" s="1"/>
  <c r="D24" i="8"/>
  <c r="E24" i="8" s="1"/>
  <c r="D23" i="8"/>
  <c r="E23" i="8" s="1"/>
  <c r="D22" i="8"/>
  <c r="E22" i="8" s="1"/>
  <c r="D21" i="8"/>
  <c r="E21" i="8" s="1"/>
  <c r="D20" i="8"/>
  <c r="E20" i="8" s="1"/>
  <c r="D19" i="8"/>
  <c r="E19" i="8" s="1"/>
  <c r="D18" i="8"/>
  <c r="E18" i="8" s="1"/>
  <c r="D13" i="8"/>
  <c r="E13" i="8" s="1"/>
  <c r="D12" i="8"/>
  <c r="E12" i="8" s="1"/>
  <c r="D11" i="8"/>
  <c r="E11" i="8" s="1"/>
  <c r="D10" i="8"/>
  <c r="E10" i="8" s="1"/>
  <c r="D9" i="8"/>
  <c r="E9" i="8" s="1"/>
  <c r="D8" i="8"/>
  <c r="E8" i="8" s="1"/>
  <c r="D7" i="8"/>
  <c r="E7" i="8" s="1"/>
  <c r="D17" i="8"/>
  <c r="E17" i="8" s="1"/>
  <c r="D6" i="8"/>
  <c r="E6" i="8" s="1"/>
  <c r="J6" i="8"/>
  <c r="J7" i="8"/>
  <c r="J8" i="8"/>
  <c r="J9" i="8"/>
  <c r="J10" i="8"/>
  <c r="J11" i="8"/>
  <c r="J12" i="8"/>
  <c r="J13" i="8"/>
  <c r="J14" i="8"/>
  <c r="J15" i="8"/>
  <c r="J16" i="8"/>
  <c r="J17" i="8"/>
  <c r="J18" i="8"/>
  <c r="J19" i="8"/>
  <c r="J20" i="8"/>
  <c r="J21" i="8"/>
  <c r="B6" i="6" a="1"/>
  <c r="B6" i="6"/>
  <c r="C6" i="6" a="1"/>
  <c r="C6" i="6"/>
  <c r="D6" i="6" a="1"/>
  <c r="D6" i="6"/>
  <c r="E6" i="6" a="1"/>
  <c r="E6" i="6"/>
  <c r="F6" i="6" a="1"/>
  <c r="F6" i="6"/>
  <c r="G6" i="6" a="1"/>
  <c r="G6" i="6"/>
  <c r="H6" i="6" a="1"/>
  <c r="H6" i="6"/>
  <c r="J4" i="6"/>
  <c r="J5" i="6" s="1"/>
  <c r="B61" i="13"/>
  <c r="O31" i="13" s="1"/>
  <c r="A60" i="13"/>
  <c r="A59" i="13"/>
  <c r="A58" i="13"/>
  <c r="A57" i="13"/>
  <c r="B53" i="13"/>
  <c r="O30" i="13" s="1"/>
  <c r="A52" i="13"/>
  <c r="A51" i="13"/>
  <c r="A50" i="13"/>
  <c r="A49" i="13"/>
  <c r="A48" i="13"/>
  <c r="B44" i="13"/>
  <c r="O29" i="13" s="1"/>
  <c r="A43" i="13"/>
  <c r="A42" i="13"/>
  <c r="A41" i="13"/>
  <c r="A40" i="13"/>
  <c r="A39" i="13"/>
  <c r="A38" i="13"/>
  <c r="A37" i="13"/>
  <c r="A36" i="13"/>
  <c r="B32" i="13"/>
  <c r="O28" i="13" s="1"/>
  <c r="A31" i="13"/>
  <c r="A30" i="13"/>
  <c r="A29" i="13"/>
  <c r="A28" i="13"/>
  <c r="A27" i="13"/>
  <c r="A26" i="13"/>
  <c r="A25" i="13"/>
  <c r="A24" i="13"/>
  <c r="N23" i="13"/>
  <c r="N22" i="13"/>
  <c r="N21" i="13"/>
  <c r="N20" i="13"/>
  <c r="B20" i="13"/>
  <c r="O27" i="13" s="1"/>
  <c r="N19" i="13"/>
  <c r="A19" i="13"/>
  <c r="N18" i="13"/>
  <c r="A18" i="13"/>
  <c r="N17" i="13"/>
  <c r="A17" i="13"/>
  <c r="N16" i="13"/>
  <c r="A16" i="13"/>
  <c r="A15" i="13"/>
  <c r="B61" i="12"/>
  <c r="O31" i="12" s="1"/>
  <c r="A60" i="12"/>
  <c r="A59" i="12"/>
  <c r="A58" i="12"/>
  <c r="A57" i="12"/>
  <c r="B53" i="12"/>
  <c r="O30" i="12" s="1"/>
  <c r="A52" i="12"/>
  <c r="A51" i="12"/>
  <c r="A50" i="12"/>
  <c r="A49" i="12"/>
  <c r="A48" i="12"/>
  <c r="B44" i="12"/>
  <c r="O29" i="12" s="1"/>
  <c r="A43" i="12"/>
  <c r="A42" i="12"/>
  <c r="A41" i="12"/>
  <c r="A40" i="12"/>
  <c r="A39" i="12"/>
  <c r="A38" i="12"/>
  <c r="A37" i="12"/>
  <c r="A36" i="12"/>
  <c r="B32" i="12"/>
  <c r="O28" i="12" s="1"/>
  <c r="D31" i="12"/>
  <c r="A31" i="12"/>
  <c r="A30" i="12"/>
  <c r="A29" i="12"/>
  <c r="A28" i="12"/>
  <c r="A27" i="12"/>
  <c r="A26" i="12"/>
  <c r="A25" i="12"/>
  <c r="A24" i="12"/>
  <c r="N23" i="12"/>
  <c r="N22" i="12"/>
  <c r="N21" i="12"/>
  <c r="N20" i="12"/>
  <c r="B20" i="12"/>
  <c r="O27" i="12" s="1"/>
  <c r="N19" i="12"/>
  <c r="A19" i="12"/>
  <c r="N18" i="12"/>
  <c r="A18" i="12"/>
  <c r="N17" i="12"/>
  <c r="A17" i="12"/>
  <c r="N16" i="12"/>
  <c r="A16" i="12"/>
  <c r="A15" i="12"/>
  <c r="L13" i="7"/>
  <c r="L12" i="7"/>
  <c r="L11" i="7"/>
  <c r="L10" i="7"/>
  <c r="L9" i="7"/>
  <c r="L8" i="7"/>
  <c r="L7" i="7"/>
  <c r="L6" i="7"/>
  <c r="K13" i="7"/>
  <c r="K12" i="7"/>
  <c r="K11" i="7"/>
  <c r="K10" i="7"/>
  <c r="K9" i="7"/>
  <c r="K8" i="7"/>
  <c r="K7" i="7"/>
  <c r="K6"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N23" i="3"/>
  <c r="N22" i="3"/>
  <c r="N21" i="3"/>
  <c r="N20" i="3"/>
  <c r="N19" i="3"/>
  <c r="N18" i="3"/>
  <c r="N17" i="3"/>
  <c r="N16" i="3"/>
  <c r="B61" i="3"/>
  <c r="O31" i="3" s="1"/>
  <c r="A60" i="3"/>
  <c r="A59" i="3"/>
  <c r="A58" i="3"/>
  <c r="A57" i="3"/>
  <c r="B53" i="3"/>
  <c r="O30" i="3" s="1"/>
  <c r="A52" i="3"/>
  <c r="A51" i="3"/>
  <c r="A50" i="3"/>
  <c r="A49" i="3"/>
  <c r="A48" i="3"/>
  <c r="B44" i="3"/>
  <c r="O29" i="3" s="1"/>
  <c r="A43" i="3"/>
  <c r="A42" i="3"/>
  <c r="A41" i="3"/>
  <c r="A40" i="3"/>
  <c r="A39" i="3"/>
  <c r="A38" i="3"/>
  <c r="A37" i="3"/>
  <c r="A36" i="3"/>
  <c r="B32" i="3"/>
  <c r="O28" i="3" s="1"/>
  <c r="A31" i="3"/>
  <c r="A30" i="3"/>
  <c r="A29" i="3"/>
  <c r="A28" i="3"/>
  <c r="A27" i="3"/>
  <c r="A26" i="3"/>
  <c r="A25" i="3"/>
  <c r="A24" i="3"/>
  <c r="B20" i="3"/>
  <c r="O27" i="3" s="1"/>
  <c r="A19" i="3"/>
  <c r="A18" i="3"/>
  <c r="A17" i="3"/>
  <c r="A16" i="3"/>
  <c r="A15" i="3"/>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B6" i="9" l="1"/>
  <c r="D5" i="9" s="1"/>
  <c r="C4" i="7"/>
  <c r="H7" i="7"/>
  <c r="E4" i="7" s="1"/>
  <c r="J6" i="6"/>
  <c r="E7" i="6" s="1"/>
  <c r="C15" i="3"/>
  <c r="C24" i="3"/>
  <c r="G18" i="8"/>
  <c r="F18" i="8"/>
  <c r="G19" i="8"/>
  <c r="F19" i="8"/>
  <c r="G20" i="8"/>
  <c r="F20" i="8"/>
  <c r="G21" i="8"/>
  <c r="F21" i="8"/>
  <c r="G22" i="8"/>
  <c r="F22" i="8"/>
  <c r="G23" i="8"/>
  <c r="F23" i="8"/>
  <c r="G24" i="8"/>
  <c r="F24" i="8"/>
  <c r="G7" i="8"/>
  <c r="F7" i="8"/>
  <c r="G8" i="8"/>
  <c r="F8" i="8"/>
  <c r="G9" i="8"/>
  <c r="F9" i="8"/>
  <c r="G10" i="8"/>
  <c r="F10" i="8"/>
  <c r="G11" i="8"/>
  <c r="F11" i="8"/>
  <c r="G12" i="8"/>
  <c r="F12" i="8"/>
  <c r="G13" i="8"/>
  <c r="F13" i="8"/>
  <c r="G17" i="8"/>
  <c r="F17" i="8"/>
  <c r="G6" i="8"/>
  <c r="F6" i="8"/>
  <c r="B17" i="6"/>
  <c r="C17" i="6"/>
  <c r="D17" i="6"/>
  <c r="E17" i="6"/>
  <c r="F17" i="6"/>
  <c r="G17" i="6"/>
  <c r="H17" i="6"/>
  <c r="B15" i="6"/>
  <c r="C15" i="6"/>
  <c r="D15" i="6"/>
  <c r="E15" i="6"/>
  <c r="F15" i="6"/>
  <c r="G15" i="6"/>
  <c r="H15" i="6"/>
  <c r="B13" i="6"/>
  <c r="C13" i="6"/>
  <c r="D13" i="6"/>
  <c r="E13" i="6"/>
  <c r="F13" i="6"/>
  <c r="G13" i="6"/>
  <c r="H13" i="6"/>
  <c r="B11" i="6"/>
  <c r="C11" i="6"/>
  <c r="D11" i="6"/>
  <c r="E11" i="6"/>
  <c r="F11" i="6"/>
  <c r="G11" i="6"/>
  <c r="H11" i="6"/>
  <c r="B9" i="6"/>
  <c r="C9" i="6"/>
  <c r="D9" i="6"/>
  <c r="E9" i="6"/>
  <c r="F9" i="6"/>
  <c r="G9" i="6"/>
  <c r="H9" i="6"/>
  <c r="B7" i="6"/>
  <c r="C7" i="6"/>
  <c r="D7" i="6"/>
  <c r="F7" i="6"/>
  <c r="G7" i="6"/>
  <c r="H7" i="6"/>
  <c r="A71" i="13" a="1"/>
  <c r="A71" i="13" s="1"/>
  <c r="B82" i="13"/>
  <c r="A82" i="13" a="1"/>
  <c r="A82" i="13" s="1"/>
  <c r="B81" i="13"/>
  <c r="A81" i="13" a="1"/>
  <c r="A81" i="13" s="1"/>
  <c r="B80" i="13"/>
  <c r="A80" i="13" a="1"/>
  <c r="A80" i="13" s="1"/>
  <c r="B79" i="13"/>
  <c r="A79" i="13" a="1"/>
  <c r="A79" i="13" s="1"/>
  <c r="B78" i="13"/>
  <c r="A78" i="13" a="1"/>
  <c r="A78" i="13" s="1"/>
  <c r="B77" i="13"/>
  <c r="A77" i="13" a="1"/>
  <c r="A77" i="13" s="1"/>
  <c r="B76" i="13"/>
  <c r="A76" i="13" a="1"/>
  <c r="A76" i="13" s="1"/>
  <c r="B75" i="13"/>
  <c r="A75" i="13" a="1"/>
  <c r="A75" i="13" s="1"/>
  <c r="B74" i="13"/>
  <c r="A74" i="13" a="1"/>
  <c r="A74" i="13" s="1"/>
  <c r="B73" i="13"/>
  <c r="A73" i="13" a="1"/>
  <c r="A73" i="13" s="1"/>
  <c r="B72" i="13"/>
  <c r="A72" i="13" a="1"/>
  <c r="A72" i="13" s="1"/>
  <c r="B71" i="13"/>
  <c r="D17" i="13"/>
  <c r="C18" i="13"/>
  <c r="D18" i="13" s="1"/>
  <c r="C19" i="13"/>
  <c r="D19" i="13" s="1"/>
  <c r="C37" i="13"/>
  <c r="C38" i="13"/>
  <c r="C39" i="13"/>
  <c r="C40" i="13"/>
  <c r="C41" i="13"/>
  <c r="C42" i="13"/>
  <c r="C43" i="13"/>
  <c r="C48" i="13"/>
  <c r="C49" i="13"/>
  <c r="D49" i="13" s="1"/>
  <c r="C50" i="13"/>
  <c r="D50" i="13" s="1"/>
  <c r="C51" i="13"/>
  <c r="D51" i="13" s="1"/>
  <c r="C52" i="13"/>
  <c r="D52" i="13" s="1"/>
  <c r="C57" i="13"/>
  <c r="C58" i="13"/>
  <c r="D58" i="13" s="1"/>
  <c r="C59" i="13"/>
  <c r="D59" i="13" s="1"/>
  <c r="C60" i="13"/>
  <c r="D60" i="13" s="1"/>
  <c r="D16" i="12"/>
  <c r="D17" i="12"/>
  <c r="D18" i="12"/>
  <c r="D19" i="12"/>
  <c r="D25" i="12"/>
  <c r="D26" i="12"/>
  <c r="D27" i="12"/>
  <c r="D28" i="12"/>
  <c r="D29" i="12"/>
  <c r="D30" i="12"/>
  <c r="D49" i="12"/>
  <c r="D50" i="12"/>
  <c r="D51" i="12"/>
  <c r="D52" i="12"/>
  <c r="D58" i="12"/>
  <c r="D59" i="12"/>
  <c r="D60" i="12"/>
  <c r="C60" i="3"/>
  <c r="D60" i="3" s="1"/>
  <c r="C59" i="3"/>
  <c r="D59" i="3" s="1"/>
  <c r="C58" i="3"/>
  <c r="D58" i="3" s="1"/>
  <c r="C52" i="3"/>
  <c r="D52" i="3" s="1"/>
  <c r="C51" i="3"/>
  <c r="D51" i="3" s="1"/>
  <c r="C50" i="3"/>
  <c r="D50" i="3" s="1"/>
  <c r="C49" i="3"/>
  <c r="D49" i="3" s="1"/>
  <c r="C57" i="3"/>
  <c r="C43" i="3"/>
  <c r="C42" i="3"/>
  <c r="C41" i="3"/>
  <c r="C40" i="3"/>
  <c r="C39" i="3"/>
  <c r="C38" i="3"/>
  <c r="C37" i="3"/>
  <c r="C36" i="3"/>
  <c r="O16" i="3" s="1"/>
  <c r="C30" i="3"/>
  <c r="D30" i="3" s="1"/>
  <c r="C29" i="3"/>
  <c r="D29" i="3" s="1"/>
  <c r="C28" i="3"/>
  <c r="D28" i="3" s="1"/>
  <c r="C27" i="3"/>
  <c r="D27" i="3" s="1"/>
  <c r="C26" i="3"/>
  <c r="D26" i="3" s="1"/>
  <c r="C25" i="3"/>
  <c r="D25" i="3" s="1"/>
  <c r="C19" i="3"/>
  <c r="D19" i="3" s="1"/>
  <c r="C18" i="3"/>
  <c r="D18" i="3" s="1"/>
  <c r="C17" i="3"/>
  <c r="D17" i="3" s="1"/>
  <c r="C16" i="3"/>
  <c r="D16" i="3" s="1"/>
  <c r="C31" i="3" l="1"/>
  <c r="D31" i="3" s="1"/>
  <c r="C31" i="13"/>
  <c r="D31" i="13" s="1"/>
  <c r="B68" i="13"/>
  <c r="B67" i="13"/>
  <c r="C78" i="13"/>
  <c r="C79" i="13"/>
  <c r="C80" i="13"/>
  <c r="C81" i="13"/>
  <c r="C82" i="13"/>
  <c r="C61" i="13"/>
  <c r="D57" i="13"/>
  <c r="C53" i="13"/>
  <c r="D48" i="13"/>
  <c r="D43" i="13"/>
  <c r="O23" i="13"/>
  <c r="D42" i="13"/>
  <c r="O22" i="13"/>
  <c r="D41" i="13"/>
  <c r="O21" i="13"/>
  <c r="D40" i="13"/>
  <c r="O20" i="13"/>
  <c r="D39" i="13"/>
  <c r="O19" i="13"/>
  <c r="D38" i="13"/>
  <c r="O18" i="13"/>
  <c r="D37" i="13"/>
  <c r="O17" i="13"/>
  <c r="C44" i="13"/>
  <c r="D36" i="13"/>
  <c r="O16" i="13"/>
  <c r="C32" i="13"/>
  <c r="C20" i="13"/>
  <c r="C61" i="12"/>
  <c r="D57" i="12"/>
  <c r="C53" i="12"/>
  <c r="D48" i="12"/>
  <c r="D43" i="12"/>
  <c r="O23" i="12"/>
  <c r="D42" i="12"/>
  <c r="O22" i="12"/>
  <c r="D41" i="12"/>
  <c r="O21" i="12"/>
  <c r="D40" i="12"/>
  <c r="O20" i="12"/>
  <c r="D39" i="12"/>
  <c r="O19" i="12"/>
  <c r="D38" i="12"/>
  <c r="O18" i="12"/>
  <c r="D37" i="12"/>
  <c r="O17" i="12"/>
  <c r="C44" i="12"/>
  <c r="D36" i="12"/>
  <c r="O16" i="12"/>
  <c r="C32" i="12"/>
  <c r="D24" i="12"/>
  <c r="C20" i="12"/>
  <c r="D15" i="12"/>
  <c r="D43" i="3"/>
  <c r="O23" i="3"/>
  <c r="D42" i="3"/>
  <c r="O22" i="3"/>
  <c r="D41" i="3"/>
  <c r="O21" i="3"/>
  <c r="D40" i="3"/>
  <c r="O20" i="3"/>
  <c r="D39" i="3"/>
  <c r="O19" i="3"/>
  <c r="D38" i="3"/>
  <c r="O18" i="3"/>
  <c r="D37" i="3"/>
  <c r="O17" i="3"/>
  <c r="D57" i="3"/>
  <c r="C61" i="3"/>
  <c r="M2" i="3" s="1"/>
  <c r="D48" i="3"/>
  <c r="C53" i="3"/>
  <c r="L2" i="3" s="1"/>
  <c r="D36" i="3"/>
  <c r="C44" i="3"/>
  <c r="K2" i="3" s="1"/>
  <c r="D24" i="3"/>
  <c r="C32" i="3"/>
  <c r="D15" i="3"/>
  <c r="C20" i="3"/>
  <c r="P27" i="13" l="1"/>
  <c r="I2" i="13"/>
  <c r="P28" i="13"/>
  <c r="J2" i="13"/>
  <c r="P29" i="13"/>
  <c r="K2" i="13"/>
  <c r="P30" i="13"/>
  <c r="L2" i="13"/>
  <c r="P31" i="13"/>
  <c r="M2" i="13"/>
  <c r="P27" i="3"/>
  <c r="I2" i="3"/>
  <c r="P28" i="3"/>
  <c r="J2" i="3"/>
  <c r="I2" i="12"/>
  <c r="P27" i="12"/>
  <c r="J2" i="12"/>
  <c r="P28" i="12"/>
  <c r="K2" i="12"/>
  <c r="P29" i="12"/>
  <c r="L2" i="12"/>
  <c r="P30" i="12"/>
  <c r="M2" i="12"/>
  <c r="P31" i="12"/>
  <c r="O11" i="3"/>
  <c r="P31" i="3"/>
  <c r="O10" i="3"/>
  <c r="P30" i="3"/>
  <c r="O9" i="3"/>
  <c r="P29" i="3"/>
  <c r="C71" i="13"/>
  <c r="C72" i="13"/>
  <c r="C73" i="13"/>
  <c r="C74" i="13"/>
  <c r="C75" i="13"/>
  <c r="C76" i="13"/>
  <c r="C77" i="13"/>
  <c r="D20" i="13"/>
  <c r="E5" i="13"/>
  <c r="O8" i="13"/>
  <c r="E6" i="13"/>
  <c r="O5" i="13"/>
  <c r="D32" i="13"/>
  <c r="O9" i="13"/>
  <c r="E7" i="13"/>
  <c r="D44" i="13"/>
  <c r="O10" i="13"/>
  <c r="E8" i="13"/>
  <c r="D53" i="13"/>
  <c r="O11" i="13"/>
  <c r="E9" i="13"/>
  <c r="D61" i="13"/>
  <c r="D20" i="12"/>
  <c r="E5" i="12"/>
  <c r="O8" i="12"/>
  <c r="E6" i="12"/>
  <c r="O5" i="12"/>
  <c r="D32" i="12"/>
  <c r="O9" i="12"/>
  <c r="E7" i="12"/>
  <c r="D44" i="12"/>
  <c r="O10" i="12"/>
  <c r="E8" i="12"/>
  <c r="D53" i="12"/>
  <c r="O11" i="12"/>
  <c r="E9" i="12"/>
  <c r="D61" i="12"/>
  <c r="O5" i="3"/>
  <c r="O8" i="3"/>
  <c r="E9" i="3"/>
  <c r="D61" i="3"/>
  <c r="E8" i="3"/>
  <c r="D53" i="3"/>
  <c r="E7" i="3"/>
  <c r="D44" i="3"/>
  <c r="D32" i="3"/>
  <c r="E6" i="3"/>
  <c r="E5" i="3"/>
  <c r="E10" i="3" s="1"/>
  <c r="D20" i="3"/>
  <c r="G2" i="3" l="1"/>
  <c r="I10" i="3"/>
  <c r="E10" i="13"/>
  <c r="E10" i="12"/>
  <c r="G2" i="12" s="1"/>
  <c r="O4" i="3"/>
  <c r="O12" i="3"/>
  <c r="G2" i="13" l="1"/>
  <c r="I10" i="13"/>
  <c r="O12" i="13"/>
  <c r="O4" i="13"/>
  <c r="O12" i="12"/>
  <c r="O4"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tc={1D41EC34-8403-42A1-A440-C7A217B54FF8}</author>
  </authors>
  <commentList>
    <comment ref="C31" authorId="0" shapeId="0" xr:uid="{1D41EC34-8403-42A1-A440-C7A217B54FF8}">
      <text>
        <t>[Opmerkingenthread]
U kunt deze opmerkingenthread lezen in uw versie van Excel. Eventuele wijzigingen aan de thread gaan echter verloren als het bestand wordt geopend in een nieuwere versie van Excel. Meer informatie: https://go.microsoft.com/fwlink/?linkid=870924
Opmerking:
    This total is linked from the Subscription Tracker tab — don't log individual subscriptions here too.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tc={907B566A-4B98-4B0A-809D-49D4CA429BBC}</author>
    <author>tc={C9F9D6A7-0316-4C91-B81B-B374761FF163}</author>
    <author>tc={B5831E77-0655-4592-B191-D98C9E6E01E7}</author>
    <author>tc={F3F68E2D-9876-4403-B51B-3631C95D5DA1}</author>
    <author>tc={67B9B526-B8DA-4ECB-A379-9E6A99720437}</author>
    <author>tc={864CF0EB-8F7F-4EDB-853D-2960FAB5B087}</author>
  </authors>
  <commentList>
    <comment ref="C14" authorId="0" shapeId="0" xr:uid="{907B566A-4B98-4B0A-809D-49D4CA429BBC}">
      <text>
        <t>[Opmerkingenthread]
U kunt deze opmerkingenthread lezen in uw versie van Excel. Eventuele wijzigingen aan de thread gaan echter verloren als het bestand wordt geopend in een nieuwere versie van Excel. Meer informatie: https://go.microsoft.com/fwlink/?linkid=870924
Opmerking:
    This usually fills in on its own from your Transactions Log. You can type over a number here if you need to, but then that one cell will stop updating automatically.</t>
      </text>
    </comment>
    <comment ref="C23" authorId="1" shapeId="0" xr:uid="{C9F9D6A7-0316-4C91-B81B-B374761FF163}">
      <text>
        <t>[Opmerkingenthread]
U kunt deze opmerkingenthread lezen in uw versie van Excel. Eventuele wijzigingen aan de thread gaan echter verloren als het bestand wordt geopend in een nieuwere versie van Excel. Meer informatie: https://go.microsoft.com/fwlink/?linkid=870924
Opmerking:
    This usually fills in on its own from your Transactions Log. You can type over a number here if you need to, but then that one cell will stop updating automatically.</t>
      </text>
    </comment>
    <comment ref="C31" authorId="2" shapeId="0" xr:uid="{B5831E77-0655-4592-B191-D98C9E6E01E7}">
      <text>
        <t>[Opmerkingenthread]
U kunt deze opmerkingenthread lezen in uw versie van Excel. Eventuele wijzigingen aan de thread gaan echter verloren als het bestand wordt geopend in een nieuwere versie van Excel. Meer informatie: https://go.microsoft.com/fwlink/?linkid=870924
Opmerking:
    This total is linked from the Subscription Tracker tab — don't log individual subscriptions here too.</t>
      </text>
    </comment>
    <comment ref="C35" authorId="3" shapeId="0" xr:uid="{F3F68E2D-9876-4403-B51B-3631C95D5DA1}">
      <text>
        <t>[Opmerkingenthread]
U kunt deze opmerkingenthread lezen in uw versie van Excel. Eventuele wijzigingen aan de thread gaan echter verloren als het bestand wordt geopend in een nieuwere versie van Excel. Meer informatie: https://go.microsoft.com/fwlink/?linkid=870924
Opmerking:
    This usually fills in on its own from your Transactions Log. You can type over a number here if you need to, but then that one cell will stop updating automatically.</t>
      </text>
    </comment>
    <comment ref="C47" authorId="4" shapeId="0" xr:uid="{67B9B526-B8DA-4ECB-A379-9E6A99720437}">
      <text>
        <t>[Opmerkingenthread]
U kunt deze opmerkingenthread lezen in uw versie van Excel. Eventuele wijzigingen aan de thread gaan echter verloren als het bestand wordt geopend in een nieuwere versie van Excel. Meer informatie: https://go.microsoft.com/fwlink/?linkid=870924
Opmerking:
    This usually fills in on its own from your Transactions Log. You can type over a number here if you need to, but then that one cell will stop updating automatically.</t>
      </text>
    </comment>
    <comment ref="C56" authorId="5" shapeId="0" xr:uid="{864CF0EB-8F7F-4EDB-853D-2960FAB5B087}">
      <text>
        <t>[Opmerkingenthread]
U kunt deze opmerkingenthread lezen in uw versie van Excel. Eventuele wijzigingen aan de thread gaan echter verloren als het bestand wordt geopend in een nieuwere versie van Excel. Meer informatie: https://go.microsoft.com/fwlink/?linkid=870924
Opmerking:
    This usually fills in on its own from your Transactions Log. You can type over a number here if you need to, but then that one cell will stop updating automatically.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tc={987E449E-E24D-4632-AC6E-4F214AB1D261}</author>
    <author>tc={BC35EB27-F404-4D36-85FE-73735C4E8C00}</author>
    <author>tc={0D4ED7CA-5F11-454D-A5CD-B4B24A0799E1}</author>
    <author>tc={1A07E15D-1692-4B7E-A84D-C1503C1EEDFE}</author>
    <author>tc={E856161F-8314-4F62-BFAB-46A2FDDF98AF}</author>
    <author>tc={5658D569-BEA7-429D-8446-8653D82DCC78}</author>
  </authors>
  <commentList>
    <comment ref="C14" authorId="0" shapeId="0" xr:uid="{987E449E-E24D-4632-AC6E-4F214AB1D261}">
      <text>
        <t>[Opmerkingenthread]
U kunt deze opmerkingenthread lezen in uw versie van Excel. Eventuele wijzigingen aan de thread gaan echter verloren als het bestand wordt geopend in een nieuwere versie van Excel. Meer informatie: https://go.microsoft.com/fwlink/?linkid=870924
Opmerking:
    This usually fills in on its own from your Transactions Log. You can type over a number here if you need to, but then that one cell will stop updating automatically.</t>
      </text>
    </comment>
    <comment ref="C23" authorId="1" shapeId="0" xr:uid="{BC35EB27-F404-4D36-85FE-73735C4E8C00}">
      <text>
        <t>[Opmerkingenthread]
U kunt deze opmerkingenthread lezen in uw versie van Excel. Eventuele wijzigingen aan de thread gaan echter verloren als het bestand wordt geopend in een nieuwere versie van Excel. Meer informatie: https://go.microsoft.com/fwlink/?linkid=870924
Opmerking:
    This usually fills in on its own from your Transactions Log. You can type over a number here if you need to, but then that one cell will stop updating automatically.</t>
      </text>
    </comment>
    <comment ref="C31" authorId="2" shapeId="0" xr:uid="{0D4ED7CA-5F11-454D-A5CD-B4B24A0799E1}">
      <text>
        <t>[Opmerkingenthread]
U kunt deze opmerkingenthread lezen in uw versie van Excel. Eventuele wijzigingen aan de thread gaan echter verloren als het bestand wordt geopend in een nieuwere versie van Excel. Meer informatie: https://go.microsoft.com/fwlink/?linkid=870924
Opmerking:
    This total is linked from the Subscription Tracker tab — don't log individual subscriptions here too.</t>
      </text>
    </comment>
    <comment ref="C35" authorId="3" shapeId="0" xr:uid="{1A07E15D-1692-4B7E-A84D-C1503C1EEDFE}">
      <text>
        <t>[Opmerkingenthread]
U kunt deze opmerkingenthread lezen in uw versie van Excel. Eventuele wijzigingen aan de thread gaan echter verloren als het bestand wordt geopend in een nieuwere versie van Excel. Meer informatie: https://go.microsoft.com/fwlink/?linkid=870924
Opmerking:
    This usually fills in on its own from your Transactions Log. You can type over a number here if you need to, but then that one cell will stop updating automatically.</t>
      </text>
    </comment>
    <comment ref="C47" authorId="4" shapeId="0" xr:uid="{E856161F-8314-4F62-BFAB-46A2FDDF98AF}">
      <text>
        <t>[Opmerkingenthread]
U kunt deze opmerkingenthread lezen in uw versie van Excel. Eventuele wijzigingen aan de thread gaan echter verloren als het bestand wordt geopend in een nieuwere versie van Excel. Meer informatie: https://go.microsoft.com/fwlink/?linkid=870924
Opmerking:
    This usually fills in on its own from your Transactions Log. You can type over a number here if you need to, but then that one cell will stop updating automatically.</t>
      </text>
    </comment>
    <comment ref="C56" authorId="5" shapeId="0" xr:uid="{5658D569-BEA7-429D-8446-8653D82DCC78}">
      <text>
        <t>[Opmerkingenthread]
U kunt deze opmerkingenthread lezen in uw versie van Excel. Eventuele wijzigingen aan de thread gaan echter verloren als het bestand wordt geopend in een nieuwere versie van Excel. Meer informatie: https://go.microsoft.com/fwlink/?linkid=870924
Opmerking:
    This usually fills in on its own from your Transactions Log. You can type over a number here if you need to, but then that one cell will stop updating automatically.</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<sst xmlns="http://schemas.openxmlformats.org/spreadsheetml/2006/main" count="533" uniqueCount="261">
  <si>
    <t>SETTINGS — master lists that power every dropdown in this workbook. Add rows here to add your own categories.</t>
  </si>
  <si>
    <t>Category</t>
  </si>
  <si>
    <t>Type</t>
  </si>
  <si>
    <t>Paycheck</t>
  </si>
  <si>
    <t>Income</t>
  </si>
  <si>
    <t>Side Income</t>
  </si>
  <si>
    <t>Freelance Income</t>
  </si>
  <si>
    <t>Bonus</t>
  </si>
  <si>
    <t>Other Income</t>
  </si>
  <si>
    <t>Rent or Mortgage</t>
  </si>
  <si>
    <t>Bill</t>
  </si>
  <si>
    <t>Electricity</t>
  </si>
  <si>
    <t>Water</t>
  </si>
  <si>
    <t>Internet</t>
  </si>
  <si>
    <t>Phone</t>
  </si>
  <si>
    <t>Car Payment</t>
  </si>
  <si>
    <t>Insurance</t>
  </si>
  <si>
    <t>Subscriptions</t>
  </si>
  <si>
    <t>Groceries</t>
  </si>
  <si>
    <t>Expense</t>
  </si>
  <si>
    <t>Dining Out</t>
  </si>
  <si>
    <t>Transportation</t>
  </si>
  <si>
    <t>Entertainment</t>
  </si>
  <si>
    <t>Shopping</t>
  </si>
  <si>
    <t>Personal Care</t>
  </si>
  <si>
    <t>Household Supplies</t>
  </si>
  <si>
    <t>Miscellaneous</t>
  </si>
  <si>
    <t>Emergency Fund</t>
  </si>
  <si>
    <t>Saving</t>
  </si>
  <si>
    <t>Vacation Fund</t>
  </si>
  <si>
    <t>Holiday Fund</t>
  </si>
  <si>
    <t>Retirement Savings</t>
  </si>
  <si>
    <t>General Savings</t>
  </si>
  <si>
    <t>Credit Card</t>
  </si>
  <si>
    <t>Debt</t>
  </si>
  <si>
    <t>Student Loan</t>
  </si>
  <si>
    <t>Personal Loan</t>
  </si>
  <si>
    <t>Medical Debt</t>
  </si>
  <si>
    <t>Type List</t>
  </si>
  <si>
    <t>Pay Frequency</t>
  </si>
  <si>
    <t>Weekly</t>
  </si>
  <si>
    <t>Biweekly</t>
  </si>
  <si>
    <t>Semi-Monthly</t>
  </si>
  <si>
    <t>Monthly</t>
  </si>
  <si>
    <t>Currency</t>
  </si>
  <si>
    <t>USD</t>
  </si>
  <si>
    <t>EUR</t>
  </si>
  <si>
    <t>GBP</t>
  </si>
  <si>
    <t>CAD</t>
  </si>
  <si>
    <t>AUD</t>
  </si>
  <si>
    <t>Month</t>
  </si>
  <si>
    <t>January</t>
  </si>
  <si>
    <t>February</t>
  </si>
  <si>
    <t>March</t>
  </si>
  <si>
    <t>April</t>
  </si>
  <si>
    <t>May</t>
  </si>
  <si>
    <t>June</t>
  </si>
  <si>
    <t>July</t>
  </si>
  <si>
    <t>August</t>
  </si>
  <si>
    <t>September</t>
  </si>
  <si>
    <t>October</t>
  </si>
  <si>
    <t>November</t>
  </si>
  <si>
    <t>December</t>
  </si>
  <si>
    <t>Week Start</t>
  </si>
  <si>
    <t>Monday</t>
  </si>
  <si>
    <t>Sunday</t>
  </si>
  <si>
    <t>Billing Frequency</t>
  </si>
  <si>
    <t>Quarterly</t>
  </si>
  <si>
    <t>Annually</t>
  </si>
  <si>
    <t>Year</t>
  </si>
  <si>
    <t>Yes/No</t>
  </si>
  <si>
    <t>Yes</t>
  </si>
  <si>
    <t>No</t>
  </si>
  <si>
    <t>Transactions Log</t>
  </si>
  <si>
    <t>Date</t>
  </si>
  <si>
    <t>Amount</t>
  </si>
  <si>
    <t>Notes</t>
  </si>
  <si>
    <t>Paycheck Budget</t>
  </si>
  <si>
    <t>Your Setup</t>
  </si>
  <si>
    <t>Start Date</t>
  </si>
  <si>
    <t>Budget Period End</t>
  </si>
  <si>
    <t>Cash Flow Summary</t>
  </si>
  <si>
    <t>Bills</t>
  </si>
  <si>
    <t>Expenses</t>
  </si>
  <si>
    <t>Savings</t>
  </si>
  <si>
    <t>Amount Left to Spend</t>
  </si>
  <si>
    <t>Income Summary</t>
  </si>
  <si>
    <t>Budget</t>
  </si>
  <si>
    <t>Actual</t>
  </si>
  <si>
    <t>Above/Below Budget</t>
  </si>
  <si>
    <t>Total Income</t>
  </si>
  <si>
    <t>Bill Tracker</t>
  </si>
  <si>
    <t>Remaining</t>
  </si>
  <si>
    <t>Total Bills</t>
  </si>
  <si>
    <t>Expense Summary</t>
  </si>
  <si>
    <t>Total Expenses</t>
  </si>
  <si>
    <t>Savings Tracker</t>
  </si>
  <si>
    <t>Total Savings</t>
  </si>
  <si>
    <t>Debt Tracker</t>
  </si>
  <si>
    <t>Total Debt</t>
  </si>
  <si>
    <t>Chart data (auto — don't edit)</t>
  </si>
  <si>
    <t>Left to Spend</t>
  </si>
  <si>
    <t>Spent</t>
  </si>
  <si>
    <t>Subscription Category</t>
  </si>
  <si>
    <t>Streaming</t>
  </si>
  <si>
    <t>Software &amp; Apps</t>
  </si>
  <si>
    <t>Music</t>
  </si>
  <si>
    <t>News &amp; Reading</t>
  </si>
  <si>
    <t>Gaming</t>
  </si>
  <si>
    <t>Fitness &amp; Wellness</t>
  </si>
  <si>
    <t>Memberships</t>
  </si>
  <si>
    <t>Other</t>
  </si>
  <si>
    <t>Subscription Tracker</t>
  </si>
  <si>
    <t>Subscription</t>
  </si>
  <si>
    <t>Auto-Renew</t>
  </si>
  <si>
    <t>Debit Day</t>
  </si>
  <si>
    <t>Price</t>
  </si>
  <si>
    <t>Monthly Price</t>
  </si>
  <si>
    <t>Annual Price</t>
  </si>
  <si>
    <t>Monthly Subscriptions Total</t>
  </si>
  <si>
    <t>Annual Subscriptions Total</t>
  </si>
  <si>
    <t>By Category</t>
  </si>
  <si>
    <t>Flexible Income Budget</t>
  </si>
  <si>
    <t>Income Stability</t>
  </si>
  <si>
    <t>As Of Date</t>
  </si>
  <si>
    <t>6-Month Rolling Average</t>
  </si>
  <si>
    <t>Safe-to-Spend Floor (lowest recent month)</t>
  </si>
  <si>
    <t>Budget your bills, expenses, savings, and debt against the floor above, not your best month — that's what keeps you safe when income dips.</t>
  </si>
  <si>
    <t>Status</t>
  </si>
  <si>
    <t>Months Ago</t>
  </si>
  <si>
    <t>Bill Calendar</t>
  </si>
  <si>
    <t>Bills you've logged as Type "Bill" in your Transactions Log show up here automatically, on the day you dated them. Pick a month, year, and which day your week starts on.</t>
  </si>
  <si>
    <t>Week Starts On</t>
  </si>
  <si>
    <t>Month #</t>
  </si>
  <si>
    <t>1st of Month</t>
  </si>
  <si>
    <t>Offset</t>
  </si>
  <si>
    <t>Savings &amp; Debt Goal Tracker</t>
  </si>
  <si>
    <t>Set up to 8 savings goals and 8 debt payoff goals below. Log a contribution or payment at the bottom any time, and your progress updates automatically.</t>
  </si>
  <si>
    <t>Savings Goals</t>
  </si>
  <si>
    <t>Goal Name</t>
  </si>
  <si>
    <t>Goal Amount</t>
  </si>
  <si>
    <t>Starting Point</t>
  </si>
  <si>
    <t>Logged Contributions</t>
  </si>
  <si>
    <t>Total Saved</t>
  </si>
  <si>
    <t>Left to Save</t>
  </si>
  <si>
    <t>Progress %</t>
  </si>
  <si>
    <t>Debt Payoff Goals</t>
  </si>
  <si>
    <t>Starting Balance</t>
  </si>
  <si>
    <t>Already Paid</t>
  </si>
  <si>
    <t>Logged Payments</t>
  </si>
  <si>
    <t>Total Paid</t>
  </si>
  <si>
    <t>Remaining Balance</t>
  </si>
  <si>
    <t>Goal List (auto)</t>
  </si>
  <si>
    <t>Goal Contributions Log</t>
  </si>
  <si>
    <t>Log a contribution toward a savings goal or a payment toward a debt any time — pick the goal from the dropdown and the totals above update automatically.</t>
  </si>
  <si>
    <t>Habit Tracker</t>
  </si>
  <si>
    <t>A simple bonus tracker for daily habits. Pick a month, type your habits in the list, and mark a checkmark on the days you did them.</t>
  </si>
  <si>
    <t>Habit</t>
  </si>
  <si>
    <t>Completion %</t>
  </si>
  <si>
    <t>Drink Water</t>
  </si>
  <si>
    <t>Move My Body</t>
  </si>
  <si>
    <t>Sleep 7+ Hours</t>
  </si>
  <si>
    <t>Overall Completion %</t>
  </si>
  <si>
    <t>Day</t>
  </si>
  <si>
    <t>Habits Completed</t>
  </si>
  <si>
    <t>Budget Planner</t>
  </si>
  <si>
    <t>This planner is built for Microsoft Excel (and Excel Online/OneDrive). It also works in Google Sheets once uploaded, though some conditional formatting and colors may shift slightly.</t>
  </si>
  <si>
    <t>How to Use This Planner</t>
  </si>
  <si>
    <t>5. Add your bills once, and let the calendar do the rest. Log your bills as Type "Bill" in the Transactions Log with their due date, and they'll automatically appear on the Bill Calendar that month.</t>
  </si>
  <si>
    <t>6. Track subscriptions and goals as bonuses. Use the Subscription Tracker to see what you're really paying for streaming, memberships, and software each month. Use the Savings &amp; Debt Goal Tracker to watch progress toward specific goals (like a holiday fund or paying off a credit card) fill up visually.</t>
  </si>
  <si>
    <t>Which Tab Should I Use?</t>
  </si>
  <si>
    <t>If you get a regular paycheck (weekly, biweekly, semi-monthly, or monthly) → use the Paycheck Budget tab.</t>
  </si>
  <si>
    <t>A Few Things to Know</t>
  </si>
  <si>
    <t>• Colored cells are the only cells you should type in. Everything else calculates itself and is locked so it can't accidentally break.</t>
  </si>
  <si>
    <t>• This planner is built for Microsoft Excel. It will also open in Google Sheets, though a few colors may look slightly different.</t>
  </si>
  <si>
    <t>• If you ever get stuck, check the Notes FAQ tab first — it covers the most common questions.</t>
  </si>
  <si>
    <t>House of Calm</t>
  </si>
  <si>
    <t>Thank you for supporting a small shop. I hope this planner brings a little more calm to your money.</t>
  </si>
  <si>
    <t>Quick guide: paycheck-based income → Paycheck Budget tab. Irregular or freelance income → Flexible Income Budget tab.</t>
  </si>
  <si>
    <t>Notes &amp; FAQ</t>
  </si>
  <si>
    <t>A few common questions, answered in plain language. If something still looks off, compare it to the Example tab — it shows exactly how a working month should look.</t>
  </si>
  <si>
    <t>Why can't I edit this cell?</t>
  </si>
  <si>
    <t>How do I add a new category (bill, expense, saving, debt, or income)?</t>
  </si>
  <si>
    <t>Open the Settings tab (right-click any tab and choose "Unhide" if you don't see it) and add your new category name in the next empty row, next to the matching type (Bill, Expense, Saving, Debt, or Income). Then add a matching row to the same Budget vs. Actual table on the Paycheck Budget and Flexible Income Budget tabs. Every category lives in exactly one table, so nothing ever gets counted twice.</t>
  </si>
  <si>
    <t>Why is my "Amount Left to Spend" showing a number I don't expect?</t>
  </si>
  <si>
    <t>This number only counts transactions dated between your Start Date and Budget Period End on the Paycheck Budget (or Flexible Income Budget) tab. If a transaction's date falls outside that range, it won't show up in this period's totals — double-check those two dates first.</t>
  </si>
  <si>
    <t>Why doesn't a bill I entered show up on the Bill Calendar?</t>
  </si>
  <si>
    <t>The Bill Calendar only shows transactions logged with Type "Bill" in the Transactions Log, and only for the Month and Year currently selected at the top of the calendar. Make sure both match your transaction's date.</t>
  </si>
  <si>
    <t>The Subscription Tracker only — not both. List each subscription there once, and its monthly total flows into your Bill Tracker automatically. Logging it in the Transactions Log too would count it twice.</t>
  </si>
  <si>
    <t>How do I add a new savings or debt goal?</t>
  </si>
  <si>
    <t>Go to the Savings &amp; Debt Goal Tracker tab and type your goal's name into the next empty row in either table (up to 8 savings goals and 8 debt goals are built in). Fill in the goal amount and starting point, then log contributions or payments at the bottom — your progress bar updates automatically.</t>
  </si>
  <si>
    <t>Can I use this on my phone or tablet?</t>
  </si>
  <si>
    <t>Yes, in the Excel mobile app. Everything works the same way, though wider tabs like the Bill Calendar and Habit Tracker are easiest to read on a bigger screen — turn your device sideways for a better view.</t>
  </si>
  <si>
    <t>Will this work in Google Sheets?</t>
  </si>
  <si>
    <t>This usually means a formula cell got overwritten. Compare the cell to the same spot on the Example tab, and re-enter the same formula. If you're not sure, undo (Ctrl+Z) right away — that fixes it in one step almost every time.</t>
  </si>
  <si>
    <t>✓</t>
  </si>
  <si>
    <t>LEFT TO SPEND</t>
  </si>
  <si>
    <t>A simple, automatic way to plan your money, no spreadsheet experience needed.</t>
  </si>
  <si>
    <t>Hi, welcome! This planner takes care of the math for you. You just fill in your numbers.</t>
  </si>
  <si>
    <t>1. Make it yours first. Go to the Transactions Log tab and the Settings tab to add your own income sources, bill names, expense categories, savings goals, and debts. You only need to do this once. Everything else in the workbook updates automatically from this list.</t>
  </si>
  <si>
    <t>2. Set your starting point. On the Paycheck Budget tab (or the Flexible Income Budget tab if your income varies), choose your Start Date and how often you get paid: Weekly, Biweekly, Semi-Monthly, or Monthly. You can start on any day, not just the 1st of the month.</t>
  </si>
  <si>
    <t>3. Log everything in one place. Every time money comes in or goes out, add one line to the Transactions Log: the date, the category, the type (Bill, Expense, Saving, Debt, or Income), and the amount. This is the only place you enter numbers. Every other tab reads from this log automatically, so nothing needs to be typed twice.</t>
  </si>
  <si>
    <t>4. Watch your dashboard update. The Paycheck Budget tab shows your "Amount Left to Spend," your income vs. bills vs. expenses vs. savings vs. debt, and simple charts. All of it updates the moment you add a transaction. You don't need to touch any formulas.</t>
  </si>
  <si>
    <t>7. Not sure where to start? Look at the Example tab. It's a fully filled-out sample month. If anything ever looks broken, compare it to the Example tab rather than guessing.</t>
  </si>
  <si>
    <t>If your income changes month to month (freelance, commission, gig work, multiple income streams) → use the Flexible Income Budget tab instead. Both work the same way. Just choose the one that matches how you're paid.</t>
  </si>
  <si>
    <t>• This planner is undated. You can start today, whatever day it is. No need to wait for a new month.</t>
  </si>
  <si>
    <t>Most cells in this planner are locked on purpose. They hold formulas that do the math for you, and locking them stops accidental typing from breaking a calculation. Any cell with a soft cream/yellow fill is meant for you to type in. If you truly need to edit a locked cell, go to the Review tab in Excel and choose "Unprotect Sheet" (no password needed), but we'd recommend copying the Example tab's formula instead.</t>
  </si>
  <si>
    <t>Where do I log my subscriptions: the Transactions Log or the Subscription Tracker?</t>
  </si>
  <si>
    <t>Yes. Upload the file in Google Sheets (File &gt; Import &gt; Upload) and all the formulas, dropdowns, and tables will keep working. A few colors and conditional formatting effects may look slightly different, since Google Sheets renders some formatting differently than Excel.</t>
  </si>
  <si>
    <t>I typed something and now I see an error like #REF! or #VALUE!. What do I do?</t>
  </si>
  <si>
    <t>Add one line every time money comes in or goes out. Type fills in automatically once you choose a Category. Every other tab reads from this list, so you only ever type a number once.</t>
  </si>
  <si>
    <t>See what you're really paying for streaming, memberships, and software each month. The total below flows into your Bill Tracker automatically. No need to log these in the Transactions Log too.</t>
  </si>
  <si>
    <t>Example: A Filled-Out Month</t>
  </si>
  <si>
    <t>This tab shows what a real month looks like once it's filled in. It's just for reference. Your numbers go on the Paycheck Budget tab. If anything there ever looks broken, compare it to this tab.</t>
  </si>
  <si>
    <t>Built for income that changes month to month: freelance, commission, gig work, or multiple income streams. Everything below still reads from your Transactions Log automatically.</t>
  </si>
  <si>
    <t>Your automatic budget dashboard. Log transactions on the Transactions Log tab and everything below updates on its own.</t>
  </si>
  <si>
    <t>INCOME</t>
  </si>
  <si>
    <t>BILLS</t>
  </si>
  <si>
    <t>EXPENSES</t>
  </si>
  <si>
    <t>SAVINGS</t>
  </si>
  <si>
    <t>DEBT</t>
  </si>
  <si>
    <t>COMPLETION</t>
  </si>
  <si>
    <t>• To start a new month: right-click the Paycheck Budget (or Flexible Income Budget) tab, choose Move or Copy, check "Create a copy," and rename it (e.g., "August"). Update the Start Date and Budget Period End on the new tab, and everything recalculates for the new month automatically.</t>
  </si>
  <si>
    <t>Bank Import Helper</t>
  </si>
  <si>
    <t>1. Export your bank statement as Excel or CSV. 2. Copy the Date, Description, and Amount columns and paste them into the yellow area below (paste values only). 3. Check the suggested category in column D. Change it using the dropdown if it's wrong. 4. Once everything looks right, copy columns E through I below and paste them into your Transactions Log.</t>
  </si>
  <si>
    <t>This tool does not connect to your bank. You export your statement yourself and paste it in here.</t>
  </si>
  <si>
    <t>Description</t>
  </si>
  <si>
    <t>Suggested Category</t>
  </si>
  <si>
    <t>Paste your bank export here</t>
  </si>
  <si>
    <t>Ready to copy into Transactions Log</t>
  </si>
  <si>
    <t>Keyword List (edit this to teach the import your own categories)</t>
  </si>
  <si>
    <t>Add your own rows here any time. If a bank description contains this keyword anywhere, it will suggest that category automatically.</t>
  </si>
  <si>
    <t>Keyword</t>
  </si>
  <si>
    <t>NETFLIX</t>
  </si>
  <si>
    <t>SPOTIFY</t>
  </si>
  <si>
    <t>HULU</t>
  </si>
  <si>
    <t>DISNEY+</t>
  </si>
  <si>
    <t>UBER</t>
  </si>
  <si>
    <t>LYFT</t>
  </si>
  <si>
    <t>SHELL</t>
  </si>
  <si>
    <t>GAS STATION</t>
  </si>
  <si>
    <t>WALMART</t>
  </si>
  <si>
    <t>TESCO</t>
  </si>
  <si>
    <t>WHOLE FOODS</t>
  </si>
  <si>
    <t>COSTCO</t>
  </si>
  <si>
    <t>TRADER JOE</t>
  </si>
  <si>
    <t>STARBUCKS</t>
  </si>
  <si>
    <t>RESTAURANT</t>
  </si>
  <si>
    <t>AMAZON</t>
  </si>
  <si>
    <t>TARGET</t>
  </si>
  <si>
    <t>RENT</t>
  </si>
  <si>
    <t>MORTGAGE</t>
  </si>
  <si>
    <t>ELECTRIC</t>
  </si>
  <si>
    <t>WATER UTILITY</t>
  </si>
  <si>
    <t>INTERNET</t>
  </si>
  <si>
    <t>PHONE</t>
  </si>
  <si>
    <t>INSURANCE</t>
  </si>
  <si>
    <t>GYM</t>
  </si>
  <si>
    <t>PHARMACY</t>
  </si>
  <si>
    <t>PAYROLL</t>
  </si>
  <si>
    <t>DIRECT DEPOSIT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</si>
</sst>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dd/yyyy"/>
    <numFmt numFmtId="165" formatCode="[$$-409]#,##0.00;\([$$-409]#,##0.00\);&quot;-&quot;"/>
    <numFmt numFmtId="166" formatCode="[$$-409]#,##0;\([$$-409]#,##0\);&quot;&quot;"/>
    <numFmt numFmtId="167" formatCode="[$$-409]#,##0.00;[Red]\-[$$-409]#,##0.00;&quot;-&quot;"/>
    <numFmt numFmtId="168" formatCode="[$$-409]#,##0;[Red]\-[$$-409]#,##0;&quot;-&quot;"/>
    <numFmt numFmtId="169" formatCode="[$$-409]#,##0;[Red]\-[$$-409]#,##0;&quot;$0&quot;"/>
  </numFmts>
  <fonts count="50" x14ac:knownFonts="1">
    <font>
      <sz val="11"/>
      <color theme="1"/>
      <name val="Aptos Narrow"/>
      <family val="2"/>
      <scheme val="minor"/>
    </font>
    <font>
      <sz val="12"/>
      <color rgb="FF3B3733"/>
      <name val="Calibri"/>
    </font>
    <font>
      <b/>
      <sz val="12"/>
      <color rgb="FF3B3733"/>
      <name val="Calibri"/>
    </font>
    <font>
      <b/>
      <sz val="11"/>
      <color rgb="FFFFFFFF"/>
      <name val="Aptos Narrow"/>
      <family val="2"/>
      <scheme val="minor"/>
    </font>
    <font>
      <i/>
      <sz val="11"/>
      <color rgb="FF3B3733"/>
      <name val="Calibri"/>
    </font>
    <font>
      <sz val="11"/>
      <color rgb="FF3B3733"/>
      <name val="Calibri"/>
    </font>
    <font>
      <b/>
      <sz val="11"/>
      <color rgb="FF3B3733"/>
      <name val="Calibri"/>
    </font>
    <font>
      <b/>
      <sz val="11"/>
      <color rgb="FFFFFFFF"/>
      <name val="Calibri"/>
    </font>
    <font>
      <b/>
      <sz val="13"/>
      <color rgb="FF3B3733"/>
      <name val="Georgia"/>
    </font>
    <font>
      <b/>
      <sz val="12"/>
      <color rgb="FF3B3733"/>
      <name val="Georgia"/>
    </font>
    <font>
      <sz val="8"/>
      <color rgb="FFB0AAA3"/>
      <name val="Aptos Narrow"/>
      <family val="2"/>
      <scheme val="minor"/>
    </font>
    <font>
      <b/>
      <sz val="13"/>
      <color rgb="FF3B3733"/>
      <name val="Calibri"/>
    </font>
    <font>
      <i/>
      <sz val="9"/>
      <color rgb="FF3B3733"/>
      <name val="Calibri"/>
    </font>
    <font>
      <sz val="9"/>
      <color rgb="FF3B3733"/>
      <name val="Calibri"/>
    </font>
    <font>
      <sz val="9"/>
      <color rgb="FFB0AAA3"/>
      <name val="Calibri"/>
    </font>
    <font>
      <sz val="9"/>
      <color rgb="FFB0AAA3"/>
      <name val="Aptos Narrow"/>
      <family val="2"/>
      <scheme val="minor"/>
    </font>
    <font>
      <sz val="11"/>
      <color rgb="FF3B3733"/>
      <name val="Georgia"/>
    </font>
    <font>
      <b/>
      <sz val="11"/>
      <color rgb="FF3B3733"/>
      <name val="Georgia"/>
    </font>
    <font>
      <sz val="8"/>
      <color rgb="FFB0AAA3"/>
      <name val="Calibri"/>
    </font>
    <font>
      <b/>
      <sz val="8"/>
      <color rgb="FF3B3733"/>
      <name val="Calibri"/>
    </font>
    <font>
      <sz val="8"/>
      <color rgb="FF3B3733"/>
      <name val="Calibri"/>
    </font>
    <font>
      <i/>
      <sz val="10"/>
      <color rgb="FF3B3733"/>
      <name val="Calibri"/>
    </font>
    <font>
      <b/>
      <sz val="30"/>
      <color rgb="FF3B3733"/>
      <name val="Georgia"/>
    </font>
    <font>
      <i/>
      <sz val="14"/>
      <color rgb="FF3B3733"/>
      <name val="Georgia"/>
    </font>
    <font>
      <b/>
      <sz val="16"/>
      <color rgb="FF3B3733"/>
      <name val="Georgia"/>
    </font>
    <font>
      <b/>
      <sz val="14"/>
      <color rgb="FF3B3733"/>
      <name val="Georgia"/>
    </font>
    <font>
      <sz val="10"/>
      <color rgb="FF3B3733"/>
      <name val="Calibri"/>
    </font>
    <font>
      <i/>
      <sz val="13"/>
      <color rgb="FF3B3733"/>
      <name val="Georgia"/>
    </font>
    <font>
      <b/>
      <sz val="10"/>
      <color rgb="FF3B3733"/>
      <name val="Calibri"/>
    </font>
    <font>
      <i/>
      <sz val="12"/>
      <color rgb="FF3B3733"/>
      <name val="Calibri"/>
    </font>
    <font>
      <sz val="11"/>
      <color theme="0"/>
      <name val="Aptos Narrow"/>
      <family val="2"/>
      <scheme val="minor"/>
    </font>
    <font>
      <sz val="30"/>
      <color rgb="FF3B3733"/>
      <name val="Georgia"/>
    </font>
    <font>
      <sz val="11"/>
      <color rgb="FFFBF9F6"/>
      <name val="Aptos Narrow"/>
      <family val="2"/>
      <scheme val="minor"/>
    </font>
    <font>
      <sz val="9"/>
      <color rgb="FFFBF9F6"/>
      <name val="Calibri"/>
    </font>
    <font>
      <sz val="11"/>
      <color rgb="FFFBF9F6"/>
      <name val="Calibri"/>
    </font>
    <font>
      <i/>
      <sz val="9"/>
      <color rgb="FFFBF9F6"/>
      <name val="Calibri"/>
    </font>
    <font>
      <sz val="8"/>
      <color rgb="FFFBF9F6"/>
      <name val="Calibri"/>
    </font>
    <font>
      <i/>
      <sz val="8"/>
      <color theme="0"/>
      <name val="Calibri"/>
    </font>
    <font>
      <sz val="8"/>
      <color theme="0"/>
      <name val="Calibri"/>
      <family val="2"/>
    </font>
    <font>
      <sz val="11"/>
      <color rgb="FF3B3733"/>
      <name val="Calibri"/>
      <family val="2"/>
    </font>
    <font>
      <b/>
      <sz val="9"/>
      <color rgb="FF3B3733"/>
      <name val="Calibri"/>
      <family val="2"/>
    </font>
    <font>
      <b/>
      <sz val="26"/>
      <color rgb="FF3B3733"/>
      <name val="Georgia"/>
      <family val="1"/>
    </font>
    <font>
      <i/>
      <sz val="11"/>
      <color rgb="FF3B3733"/>
      <name val="Calibri"/>
      <family val="2"/>
    </font>
    <font>
      <i/>
      <sz val="8"/>
      <color theme="0"/>
      <name val="Calibri"/>
      <family val="2"/>
    </font>
    <font>
      <b/>
      <sz val="17"/>
      <color rgb="FF3B3733"/>
      <name val="Georgia"/>
      <family val="1"/>
    </font>
    <font>
      <b/>
      <sz val="12"/>
      <color rgb="FF3B3733"/>
      <name val="Georgia"/>
      <family val="1"/>
    </font>
    <font>
      <b/>
      <i/>
      <sz val="9"/>
      <color rgb="FF3B3733"/>
      <name val="Aptos Narrow"/>
      <family val="2"/>
      <scheme val="minor"/>
    </font>
    <font>
      <i/>
      <sz val="11"/>
      <color theme="1"/>
      <name val="Aptos Narrow"/>
      <family val="2"/>
      <scheme val="minor"/>
    </font>
    <font>
      <i/>
      <sz val="11"/>
      <color rgb="FF3B3733"/>
      <name val="Aptos Narrow"/>
      <family val="2"/>
      <scheme val="minor"/>
    </font>
    <font>
      <b/>
      <sz val="10"/>
      <color rgb="FF3B3733"/>
      <name val="Calibri"/>
      <family val="2"/>
    </font>
  </fonts>
  <fills count="13">
    <fill>
      <patternFill patternType="none"/>
    </fill>
    <fill>
      <patternFill patternType="gray125"/>
    </fill>
    <fill>
      <patternFill patternType="solid">
        <fgColor rgb="FF3B3733"/>
        <bgColor indexed="64"/>
      </patternFill>
    </fill>
    <fill>
      <patternFill patternType="solid">
        <fgColor rgb="FFFFFFFF"/>
        <bgColor indexed="64"/>
      </patternFill>
    </fill>
    <fill>
      <patternFill patternType="solid">
        <fgColor rgb="FFD6E8D6"/>
        <bgColor indexed="64"/>
      </patternFill>
    </fill>
    <fill>
      <patternFill patternType="solid">
        <fgColor rgb="FFCFE2ED"/>
        <bgColor indexed="64"/>
      </patternFill>
    </fill>
    <fill>
      <patternFill patternType="solid">
        <fgColor rgb="FFF5D6DC"/>
        <bgColor indexed="64"/>
      </patternFill>
    </fill>
    <fill>
      <patternFill patternType="solid">
        <fgColor rgb="FFF7ECC9"/>
        <bgColor indexed="64"/>
      </patternFill>
    </fill>
    <fill>
      <patternFill patternType="solid">
        <fgColor rgb="FFE3DCEF"/>
        <bgColor indexed="64"/>
      </patternFill>
    </fill>
    <fill>
      <patternFill patternType="solid">
        <fgColor rgb="FFFBF9F6"/>
        <bgColor indexed="64"/>
      </patternFill>
    </fill>
    <fill>
      <patternFill patternType="solid">
        <fgColor rgb="FFE3DCF0"/>
        <bgColor indexed="64"/>
      </patternFill>
    </fill>
    <fill>
      <patternFill patternType="solid">
        <fgColor rgb="FFF5EBD2"/>
        <bgColor indexed="64"/>
      </patternFill>
    </fill>
    <fill>
      <patternFill patternType="solid">
        <fgColor theme="0"/>
        <bgColor indexed="64"/>
      </patternFill>
    </fill>
  </fills>
  <borders count="79">
    <border>
      <left/>
      <right/>
      <top/>
      <bottom/>
      <diagonal/>
    </border>
    <border>
      <left/>
      <right/>
      <top style="thin">
        <color rgb="FFD8D3CC"/>
      </top>
      <bottom/>
      <diagonal/>
    </border>
    <border>
      <left/>
      <right/>
      <top style="thin">
        <color rgb="FFD8D3CC"/>
      </top>
      <bottom style="thin">
        <color rgb="FFD8D3CC"/>
      </bottom>
      <diagonal/>
    </border>
    <border>
      <left/>
      <right/>
      <top/>
      <bottom style="thin">
        <color rgb="FFD8D3CC"/>
      </bottom>
      <diagonal/>
    </border>
    <border>
      <left style="thin">
        <color rgb="FFD8D3CC"/>
      </left>
      <right/>
      <top style="thin">
        <color rgb="FFD8D3CC"/>
      </top>
      <bottom style="thin">
        <color rgb="FFD8D3CC"/>
      </bottom>
      <diagonal/>
    </border>
    <border>
      <left style="thin">
        <color rgb="FFD8D3CC"/>
      </left>
      <right/>
      <top style="thin">
        <color rgb="FFD8D3CC"/>
      </top>
      <bottom/>
      <diagonal/>
    </border>
    <border>
      <left style="thin">
        <color rgb="FFD8D3CC"/>
      </left>
      <right/>
      <top/>
      <bottom/>
      <diagonal/>
    </border>
    <border>
      <left style="thin">
        <color rgb="FFD8D3CC"/>
      </left>
      <right/>
      <top/>
      <bottom style="thin">
        <color rgb="FFD8D3CC"/>
      </bottom>
      <diagonal/>
    </border>
    <border>
      <left style="thin">
        <color rgb="FFD8D3CC"/>
      </left>
      <right style="thin">
        <color rgb="FFD8D3CC"/>
      </right>
      <top style="thin">
        <color rgb="FFD8D3CC"/>
      </top>
      <bottom style="thin">
        <color rgb="FFD8D3CC"/>
      </bottom>
      <diagonal/>
    </border>
    <border>
      <left/>
      <right style="thin">
        <color rgb="FFD8D3CC"/>
      </right>
      <top style="thin">
        <color rgb="FFD8D3CC"/>
      </top>
      <bottom/>
      <diagonal/>
    </border>
    <border>
      <left/>
      <right style="thin">
        <color rgb="FFD8D3CC"/>
      </right>
      <top/>
      <bottom/>
      <diagonal/>
    </border>
    <border>
      <left/>
      <right style="thin">
        <color rgb="FFD8D3CC"/>
      </right>
      <top/>
      <bottom style="thin">
        <color rgb="FFD8D3CC"/>
      </bottom>
      <diagonal/>
    </border>
    <border>
      <left style="thin">
        <color rgb="FFD8D3CC"/>
      </left>
      <right style="thin">
        <color rgb="FFD8D3CC"/>
      </right>
      <top style="thin">
        <color rgb="FFD8D3CC"/>
      </top>
      <bottom/>
      <diagonal/>
    </border>
    <border>
      <left style="thin">
        <color rgb="FFD8D3CC"/>
      </left>
      <right style="thin">
        <color rgb="FFD8D3CC"/>
      </right>
      <top/>
      <bottom/>
      <diagonal/>
    </border>
    <border>
      <left style="thin">
        <color rgb="FFD8D3CC"/>
      </left>
      <right style="thin">
        <color rgb="FFD8D3CC"/>
      </right>
      <top/>
      <bottom style="thin">
        <color rgb="FFD8D3CC"/>
      </bottom>
      <diagonal/>
    </border>
    <border>
      <left/>
      <right style="thin">
        <color rgb="FFD8D3CC"/>
      </right>
      <top style="thin">
        <color rgb="FFD8D3CC"/>
      </top>
      <bottom style="thin">
        <color rgb="FFD8D3CC"/>
      </bottom>
      <diagonal/>
    </border>
    <border>
      <left style="thin">
        <color rgb="FFA9C9A9"/>
      </left>
      <right/>
      <top style="thin">
        <color rgb="FFA9C9A9"/>
      </top>
      <bottom/>
      <diagonal/>
    </border>
    <border>
      <left style="thin">
        <color rgb="FFA9C9A9"/>
      </left>
      <right/>
      <top/>
      <bottom/>
      <diagonal/>
    </border>
    <border>
      <left style="thin">
        <color rgb="FFA9C9A9"/>
      </left>
      <right/>
      <top/>
      <bottom style="thin">
        <color rgb="FFA9C9A9"/>
      </bottom>
      <diagonal/>
    </border>
    <border>
      <left style="thin">
        <color rgb="FF9FC3D6"/>
      </left>
      <right/>
      <top style="thin">
        <color rgb="FF9FC3D6"/>
      </top>
      <bottom/>
      <diagonal/>
    </border>
    <border>
      <left style="thin">
        <color rgb="FF9FC3D6"/>
      </left>
      <right/>
      <top/>
      <bottom/>
      <diagonal/>
    </border>
    <border>
      <left style="thin">
        <color rgb="FF9FC3D6"/>
      </left>
      <right/>
      <top/>
      <bottom style="thin">
        <color rgb="FF9FC3D6"/>
      </bottom>
      <diagonal/>
    </border>
    <border>
      <left style="thin">
        <color rgb="FFE8AFC0"/>
      </left>
      <right/>
      <top style="thin">
        <color rgb="FFE8AFC0"/>
      </top>
      <bottom/>
      <diagonal/>
    </border>
    <border>
      <left style="thin">
        <color rgb="FFE8AFC0"/>
      </left>
      <right/>
      <top/>
      <bottom/>
      <diagonal/>
    </border>
    <border>
      <left style="thin">
        <color rgb="FFE8AFC0"/>
      </left>
      <right/>
      <top/>
      <bottom style="thin">
        <color rgb="FFE8AFC0"/>
      </bottom>
      <diagonal/>
    </border>
    <border>
      <left style="thin">
        <color rgb="FFEBD98F"/>
      </left>
      <right/>
      <top style="thin">
        <color rgb="FFEBD98F"/>
      </top>
      <bottom/>
      <diagonal/>
    </border>
    <border>
      <left style="thin">
        <color rgb="FFEBD98F"/>
      </left>
      <right/>
      <top/>
      <bottom/>
      <diagonal/>
    </border>
    <border>
      <left style="thin">
        <color rgb="FFEBD98F"/>
      </left>
      <right/>
      <top/>
      <bottom style="thin">
        <color rgb="FFEBD98F"/>
      </bottom>
      <diagonal/>
    </border>
    <border>
      <left style="thin">
        <color rgb="FFC7B8E8"/>
      </left>
      <right/>
      <top style="thin">
        <color rgb="FFC7B8E8"/>
      </top>
      <bottom/>
      <diagonal/>
    </border>
    <border>
      <left style="thin">
        <color rgb="FFC7B8E8"/>
      </left>
      <right/>
      <top/>
      <bottom/>
      <diagonal/>
    </border>
    <border>
      <left style="thin">
        <color rgb="FFC7B8E8"/>
      </left>
      <right/>
      <top/>
      <bottom style="thin">
        <color rgb="FFC7B8E8"/>
      </bottom>
      <diagonal/>
    </border>
    <border>
      <left style="thin">
        <color rgb="FFC7B8E8"/>
      </left>
      <right style="thin">
        <color rgb="FFC7B8E8"/>
      </right>
      <top style="thin">
        <color rgb="FFC7B8E8"/>
      </top>
      <bottom/>
      <diagonal/>
    </border>
    <border>
      <left style="thin">
        <color rgb="FFC7B8E8"/>
      </left>
      <right style="thin">
        <color rgb="FFC7B8E8"/>
      </right>
      <top/>
      <bottom/>
      <diagonal/>
    </border>
    <border>
      <left style="thin">
        <color rgb="FFC7B8E8"/>
      </left>
      <right style="thin">
        <color rgb="FFC7B8E8"/>
      </right>
      <top/>
      <bottom style="thin">
        <color rgb="FFC7B8E8"/>
      </bottom>
      <diagonal/>
    </border>
    <border>
      <left/>
      <right style="thin">
        <color rgb="FFA9C9A9"/>
      </right>
      <top/>
      <bottom/>
      <diagonal/>
    </border>
    <border>
      <left/>
      <right/>
      <top style="thin">
        <color rgb="FFA9C9A9"/>
      </top>
      <bottom/>
      <diagonal/>
    </border>
    <border>
      <left/>
      <right/>
      <top/>
      <bottom style="thin">
        <color rgb="FFA9C9A9"/>
      </bottom>
      <diagonal/>
    </border>
    <border>
      <left/>
      <right style="medium">
        <color rgb="FFA9C9A9"/>
      </right>
      <top/>
      <bottom/>
      <diagonal/>
    </border>
    <border>
      <left/>
      <right style="thin">
        <color rgb="FFD8D3CC"/>
      </right>
      <top style="thin">
        <color rgb="FFA9C9A9"/>
      </top>
      <bottom/>
      <diagonal/>
    </border>
    <border>
      <left/>
      <right style="thin">
        <color rgb="FFD8D3CC"/>
      </right>
      <top/>
      <bottom style="thin">
        <color rgb="FFA9C9A9"/>
      </bottom>
      <diagonal/>
    </border>
    <border>
      <left/>
      <right style="thin">
        <color rgb="FFA9C9A9"/>
      </right>
      <top style="thin">
        <color rgb="FFA9C9A9"/>
      </top>
      <bottom/>
      <diagonal/>
    </border>
    <border>
      <left/>
      <right style="thin">
        <color rgb="FFA9C9A9"/>
      </right>
      <top/>
      <bottom style="thin">
        <color rgb="FFA9C9A9"/>
      </bottom>
      <diagonal/>
    </border>
    <border>
      <left/>
      <right/>
      <top style="thin">
        <color rgb="FF9FC3D6"/>
      </top>
      <bottom/>
      <diagonal/>
    </border>
    <border>
      <left/>
      <right style="thin">
        <color rgb="FFD8D3CC"/>
      </right>
      <top style="thin">
        <color rgb="FF9FC3D6"/>
      </top>
      <bottom/>
      <diagonal/>
    </border>
    <border>
      <left/>
      <right/>
      <top/>
      <bottom style="thin">
        <color rgb="FF9FC3D6"/>
      </bottom>
      <diagonal/>
    </border>
    <border>
      <left/>
      <right style="thin">
        <color rgb="FFD8D3CC"/>
      </right>
      <top/>
      <bottom style="thin">
        <color rgb="FF9FC3D6"/>
      </bottom>
      <diagonal/>
    </border>
    <border>
      <left/>
      <right style="thin">
        <color rgb="FF9FC3D6"/>
      </right>
      <top style="thin">
        <color rgb="FF9FC3D6"/>
      </top>
      <bottom/>
      <diagonal/>
    </border>
    <border>
      <left/>
      <right style="thin">
        <color rgb="FF9FC3D6"/>
      </right>
      <top/>
      <bottom/>
      <diagonal/>
    </border>
    <border>
      <left/>
      <right style="thin">
        <color rgb="FF9FC3D6"/>
      </right>
      <top/>
      <bottom style="thin">
        <color rgb="FF9FC3D6"/>
      </bottom>
      <diagonal/>
    </border>
    <border>
      <left/>
      <right/>
      <top style="thin">
        <color rgb="FFE8AFC0"/>
      </top>
      <bottom/>
      <diagonal/>
    </border>
    <border>
      <left/>
      <right style="thin">
        <color rgb="FFD8D3CC"/>
      </right>
      <top style="thin">
        <color rgb="FFE8AFC0"/>
      </top>
      <bottom/>
      <diagonal/>
    </border>
    <border>
      <left/>
      <right/>
      <top/>
      <bottom style="thin">
        <color rgb="FFE8AFC0"/>
      </bottom>
      <diagonal/>
    </border>
    <border>
      <left/>
      <right style="thin">
        <color rgb="FFD8D3CC"/>
      </right>
      <top/>
      <bottom style="thin">
        <color rgb="FFE8AFC0"/>
      </bottom>
      <diagonal/>
    </border>
    <border>
      <left/>
      <right style="thin">
        <color rgb="FFE8AFC0"/>
      </right>
      <top style="thin">
        <color rgb="FFE8AFC0"/>
      </top>
      <bottom/>
      <diagonal/>
    </border>
    <border>
      <left/>
      <right style="thin">
        <color rgb="FFE8AFC0"/>
      </right>
      <top/>
      <bottom/>
      <diagonal/>
    </border>
    <border>
      <left/>
      <right style="thin">
        <color rgb="FFE8AFC0"/>
      </right>
      <top/>
      <bottom style="thin">
        <color rgb="FFE8AFC0"/>
      </bottom>
      <diagonal/>
    </border>
    <border>
      <left/>
      <right/>
      <top style="thin">
        <color rgb="FFEBD98F"/>
      </top>
      <bottom/>
      <diagonal/>
    </border>
    <border>
      <left/>
      <right style="thin">
        <color rgb="FFD8D3CC"/>
      </right>
      <top style="thin">
        <color rgb="FFEBD98F"/>
      </top>
      <bottom/>
      <diagonal/>
    </border>
    <border>
      <left/>
      <right/>
      <top/>
      <bottom style="thin">
        <color rgb="FFEBD98F"/>
      </bottom>
      <diagonal/>
    </border>
    <border>
      <left/>
      <right style="thin">
        <color rgb="FFD8D3CC"/>
      </right>
      <top/>
      <bottom style="thin">
        <color rgb="FFEBD98F"/>
      </bottom>
      <diagonal/>
    </border>
    <border>
      <left/>
      <right style="thin">
        <color rgb="FFEBD98F"/>
      </right>
      <top style="thin">
        <color rgb="FFEBD98F"/>
      </top>
      <bottom/>
      <diagonal/>
    </border>
    <border>
      <left/>
      <right style="thin">
        <color rgb="FFEBD98F"/>
      </right>
      <top/>
      <bottom/>
      <diagonal/>
    </border>
    <border>
      <left/>
      <right style="thin">
        <color rgb="FFEBD98F"/>
      </right>
      <top/>
      <bottom style="thin">
        <color rgb="FFEBD98F"/>
      </bottom>
      <diagonal/>
    </border>
    <border>
      <left/>
      <right/>
      <top style="thin">
        <color rgb="FFC7B8E8"/>
      </top>
      <bottom/>
      <diagonal/>
    </border>
    <border>
      <left/>
      <right style="thin">
        <color rgb="FFD8D3CC"/>
      </right>
      <top style="thin">
        <color rgb="FFC7B8E8"/>
      </top>
      <bottom/>
      <diagonal/>
    </border>
    <border>
      <left/>
      <right/>
      <top/>
      <bottom style="thin">
        <color rgb="FFC7B8E8"/>
      </bottom>
      <diagonal/>
    </border>
    <border>
      <left/>
      <right style="thin">
        <color rgb="FFD8D3CC"/>
      </right>
      <top/>
      <bottom style="thin">
        <color rgb="FFC7B8E8"/>
      </bottom>
      <diagonal/>
    </border>
    <border>
      <left/>
      <right style="thin">
        <color rgb="FFC7B8E8"/>
      </right>
      <top style="thin">
        <color rgb="FFC7B8E8"/>
      </top>
      <bottom/>
      <diagonal/>
    </border>
    <border>
      <left/>
      <right style="thin">
        <color rgb="FFC7B8E8"/>
      </right>
      <top/>
      <bottom/>
      <diagonal/>
    </border>
    <border>
      <left/>
      <right style="thin">
        <color rgb="FFC7B8E8"/>
      </right>
      <top/>
      <bottom style="thin">
        <color rgb="FFC7B8E8"/>
      </bottom>
      <diagonal/>
    </border>
    <border>
      <left/>
      <right/>
      <top style="medium">
        <color rgb="FFA9C9A9"/>
      </top>
      <bottom/>
      <diagonal/>
    </border>
    <border>
      <left/>
      <right/>
      <top/>
      <bottom style="medium">
        <color rgb="FFA9C9A9"/>
      </bottom>
      <diagonal/>
    </border>
    <border>
      <left style="medium">
        <color rgb="FFA9C9A9"/>
      </left>
      <right/>
      <top style="medium">
        <color rgb="FFA9C9A9"/>
      </top>
      <bottom/>
      <diagonal/>
    </border>
    <border>
      <left style="medium">
        <color rgb="FFA9C9A9"/>
      </left>
      <right/>
      <top/>
      <bottom/>
      <diagonal/>
    </border>
    <border>
      <left style="medium">
        <color rgb="FFA9C9A9"/>
      </left>
      <right/>
      <top/>
      <bottom style="medium">
        <color rgb="FFA9C9A9"/>
      </bottom>
      <diagonal/>
    </border>
    <border>
      <left/>
      <right style="medium">
        <color rgb="FFA9C9A9"/>
      </right>
      <top style="medium">
        <color rgb="FFA9C9A9"/>
      </top>
      <bottom/>
      <diagonal/>
    </border>
    <border>
      <left/>
      <right style="medium">
        <color rgb="FFA9C9A9"/>
      </right>
      <top/>
      <bottom style="medium">
        <color rgb="FFA9C9A9"/>
      </bottom>
      <diagonal/>
    </border>
    <border>
      <left style="medium">
        <color rgb="FFA9C9A9"/>
      </left>
      <right/>
      <top style="medium">
        <color rgb="FFA9C9A9"/>
      </top>
      <bottom style="thin">
        <color rgb="FFA9C9A9"/>
      </bottom>
      <diagonal/>
    </border>
    <border>
      <left/>
      <right style="medium">
        <color rgb="FFA9C9A9"/>
      </right>
      <top style="medium">
        <color rgb="FFA9C9A9"/>
      </top>
      <bottom style="thin">
        <color rgb="FFA9C9A9"/>
      </bottom>
      <diagonal/>
    </border>
  </borders>
  <cellStyleXfs count="1">
    <xf numFmtId="0" fontId="0" fillId="0" borderId="0"/>
  </cellStyleXfs>
  <cellXfs count="235">
    <xf numFmtId="0" fontId="0" fillId="0" borderId="0" xfId="0"/>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6" fillId="0" borderId="0" xfId="0" applyFont="1"/>
    <xf numFmtId="0" fontId="7" fillId="2" borderId="0" xfId="0" applyFont="1" applyFill="1"/>
    <xf numFmtId="0" fontId="8" fillId="0" borderId="0" xfId="0" applyFont="1"/>
    <xf numFmtId="0" fontId="9" fillId="6" borderId="0" xfId="0" applyFont="1" applyFill="1"/>
    <xf numFmtId="0" fontId="10" fillId="0" borderId="0" xfId="0" applyFont="1"/>
    <xf numFmtId="0" fontId="6" fillId="6" borderId="0" xfId="0" applyFont="1" applyFill="1"/>
    <xf numFmtId="0" fontId="15" fillId="0" borderId="0" xfId="0" applyFont="1"/>
    <xf numFmtId="0" fontId="16" fillId="4" borderId="1" xfId="0" applyFont="1" applyFill="1" applyBorder="1"/>
    <xf numFmtId="0" fontId="8" fillId="4" borderId="5" xfId="0" applyFont="1" applyFill="1" applyBorder="1"/>
    <xf numFmtId="0" fontId="16" fillId="4" borderId="9" xfId="0" applyFont="1" applyFill="1" applyBorder="1"/>
    <xf numFmtId="165" fontId="5" fillId="0" borderId="0" xfId="0" applyNumberFormat="1" applyFont="1"/>
    <xf numFmtId="165" fontId="6" fillId="0" borderId="0" xfId="0" applyNumberFormat="1" applyFont="1"/>
    <xf numFmtId="165" fontId="4" fillId="3" borderId="0" xfId="0" applyNumberFormat="1" applyFont="1" applyFill="1"/>
    <xf numFmtId="0" fontId="18" fillId="0" borderId="0" xfId="0" applyFont="1"/>
    <xf numFmtId="0" fontId="20" fillId="0" borderId="0" xfId="0" applyFont="1"/>
    <xf numFmtId="0" fontId="6" fillId="5" borderId="12" xfId="0" applyFont="1" applyFill="1" applyBorder="1" applyAlignment="1">
      <alignment horizontal="center"/>
    </xf>
    <xf numFmtId="0" fontId="5" fillId="7" borderId="0" xfId="0" applyFont="1" applyFill="1"/>
    <xf numFmtId="0" fontId="6" fillId="7" borderId="4" xfId="0" applyFont="1" applyFill="1" applyBorder="1"/>
    <xf numFmtId="0" fontId="6" fillId="7" borderId="2" xfId="0" applyFont="1" applyFill="1" applyBorder="1"/>
    <xf numFmtId="0" fontId="6" fillId="7" borderId="15" xfId="0" applyFont="1" applyFill="1" applyBorder="1"/>
    <xf numFmtId="165" fontId="5" fillId="0" borderId="2" xfId="0" applyNumberFormat="1" applyFont="1" applyBorder="1"/>
    <xf numFmtId="9" fontId="5" fillId="0" borderId="15" xfId="0" applyNumberFormat="1" applyFont="1" applyBorder="1"/>
    <xf numFmtId="0" fontId="5" fillId="8" borderId="0" xfId="0" applyFont="1" applyFill="1"/>
    <xf numFmtId="0" fontId="6" fillId="8" borderId="4" xfId="0" applyFont="1" applyFill="1" applyBorder="1"/>
    <xf numFmtId="0" fontId="6" fillId="8" borderId="2" xfId="0" applyFont="1" applyFill="1" applyBorder="1"/>
    <xf numFmtId="0" fontId="6" fillId="8" borderId="15" xfId="0" applyFont="1" applyFill="1" applyBorder="1"/>
    <xf numFmtId="0" fontId="21" fillId="0" borderId="0" xfId="0" applyFont="1"/>
    <xf numFmtId="0" fontId="8" fillId="7" borderId="0" xfId="0" applyFont="1" applyFill="1"/>
    <xf numFmtId="0" fontId="8" fillId="8" borderId="0" xfId="0" applyFont="1" applyFill="1"/>
    <xf numFmtId="0" fontId="6" fillId="4" borderId="8" xfId="0" applyFont="1" applyFill="1" applyBorder="1"/>
    <xf numFmtId="0" fontId="6" fillId="4" borderId="8" xfId="0" applyFont="1" applyFill="1" applyBorder="1" applyAlignment="1">
      <alignment horizontal="center"/>
    </xf>
    <xf numFmtId="9" fontId="6" fillId="0" borderId="0" xfId="0" applyNumberFormat="1" applyFont="1"/>
    <xf numFmtId="0" fontId="23" fillId="0" borderId="0" xfId="0" applyFont="1" applyAlignment="1">
      <alignment wrapText="1"/>
    </xf>
    <xf numFmtId="0" fontId="1" fillId="0" borderId="0" xfId="0" applyFont="1" applyAlignment="1">
      <alignment wrapText="1"/>
    </xf>
    <xf numFmtId="0" fontId="24" fillId="4" borderId="0" xfId="0" applyFont="1" applyFill="1" applyAlignment="1">
      <alignment wrapText="1"/>
    </xf>
    <xf numFmtId="0" fontId="5" fillId="0" borderId="0" xfId="0" applyFont="1" applyAlignment="1">
      <alignment wrapText="1"/>
    </xf>
    <xf numFmtId="0" fontId="25" fillId="5" borderId="0" xfId="0" applyFont="1" applyFill="1" applyAlignment="1">
      <alignment wrapText="1"/>
    </xf>
    <xf numFmtId="0" fontId="25" fillId="7" borderId="0" xfId="0" applyFont="1" applyFill="1" applyAlignment="1">
      <alignment wrapText="1"/>
    </xf>
    <xf numFmtId="0" fontId="4" fillId="0" borderId="0" xfId="0" applyFont="1" applyAlignment="1">
      <alignment wrapText="1"/>
    </xf>
    <xf numFmtId="0" fontId="21" fillId="0" borderId="0" xfId="0" applyFont="1" applyAlignment="1">
      <alignment wrapText="1"/>
    </xf>
    <xf numFmtId="0" fontId="26" fillId="0" borderId="0" xfId="0" applyFont="1" applyAlignment="1">
      <alignment wrapText="1"/>
    </xf>
    <xf numFmtId="0" fontId="27" fillId="0" borderId="0" xfId="0" applyFont="1" applyAlignment="1">
      <alignment wrapText="1"/>
    </xf>
    <xf numFmtId="0" fontId="11" fillId="4" borderId="0" xfId="0" applyFont="1" applyFill="1" applyAlignment="1">
      <alignment wrapText="1"/>
    </xf>
    <xf numFmtId="0" fontId="11" fillId="5" borderId="0" xfId="0" applyFont="1" applyFill="1" applyAlignment="1">
      <alignment wrapText="1"/>
    </xf>
    <xf numFmtId="0" fontId="11" fillId="6" borderId="0" xfId="0" applyFont="1" applyFill="1" applyAlignment="1">
      <alignment wrapText="1"/>
    </xf>
    <xf numFmtId="0" fontId="11" fillId="7" borderId="0" xfId="0" applyFont="1" applyFill="1" applyAlignment="1">
      <alignment wrapText="1"/>
    </xf>
    <xf numFmtId="0" fontId="11" fillId="8" borderId="0" xfId="0" applyFont="1" applyFill="1" applyAlignment="1">
      <alignment wrapText="1"/>
    </xf>
    <xf numFmtId="0" fontId="5" fillId="9" borderId="0" xfId="0" applyFont="1" applyFill="1"/>
    <xf numFmtId="0" fontId="14" fillId="9" borderId="0" xfId="0" applyFont="1" applyFill="1"/>
    <xf numFmtId="0" fontId="16" fillId="9" borderId="0" xfId="0" applyFont="1" applyFill="1"/>
    <xf numFmtId="0" fontId="5" fillId="9" borderId="6" xfId="0" applyFont="1" applyFill="1" applyBorder="1"/>
    <xf numFmtId="165" fontId="5" fillId="9" borderId="0" xfId="0" applyNumberFormat="1" applyFont="1" applyFill="1"/>
    <xf numFmtId="0" fontId="5" fillId="9" borderId="10" xfId="0" applyFont="1" applyFill="1" applyBorder="1"/>
    <xf numFmtId="0" fontId="12" fillId="9" borderId="0" xfId="0" applyFont="1" applyFill="1"/>
    <xf numFmtId="0" fontId="5" fillId="9" borderId="7" xfId="0" applyFont="1" applyFill="1" applyBorder="1"/>
    <xf numFmtId="0" fontId="5" fillId="9" borderId="11" xfId="0" applyFont="1" applyFill="1" applyBorder="1"/>
    <xf numFmtId="0" fontId="6" fillId="9" borderId="7" xfId="0" applyFont="1" applyFill="1" applyBorder="1"/>
    <xf numFmtId="165" fontId="6" fillId="9" borderId="3" xfId="0" applyNumberFormat="1" applyFont="1" applyFill="1" applyBorder="1"/>
    <xf numFmtId="0" fontId="0" fillId="9" borderId="0" xfId="0" applyFill="1"/>
    <xf numFmtId="0" fontId="15" fillId="9" borderId="0" xfId="0" applyFont="1" applyFill="1"/>
    <xf numFmtId="0" fontId="5" fillId="9" borderId="3" xfId="0" applyFont="1" applyFill="1" applyBorder="1"/>
    <xf numFmtId="0" fontId="6" fillId="9" borderId="5" xfId="0" applyFont="1" applyFill="1" applyBorder="1"/>
    <xf numFmtId="0" fontId="6" fillId="9" borderId="1" xfId="0" applyFont="1" applyFill="1" applyBorder="1"/>
    <xf numFmtId="0" fontId="6" fillId="9" borderId="9" xfId="0" applyFont="1" applyFill="1" applyBorder="1"/>
    <xf numFmtId="0" fontId="19" fillId="9" borderId="0" xfId="0" applyFont="1" applyFill="1"/>
    <xf numFmtId="0" fontId="20" fillId="9" borderId="0" xfId="0" applyFont="1" applyFill="1"/>
    <xf numFmtId="165" fontId="5" fillId="9" borderId="3" xfId="0" applyNumberFormat="1" applyFont="1" applyFill="1" applyBorder="1"/>
    <xf numFmtId="0" fontId="5" fillId="4" borderId="1" xfId="0" applyFont="1" applyFill="1" applyBorder="1"/>
    <xf numFmtId="0" fontId="5" fillId="4" borderId="9" xfId="0" applyFont="1" applyFill="1" applyBorder="1"/>
    <xf numFmtId="0" fontId="0" fillId="4" borderId="0" xfId="0" applyFill="1"/>
    <xf numFmtId="167" fontId="5" fillId="9" borderId="10" xfId="0" applyNumberFormat="1" applyFont="1" applyFill="1" applyBorder="1"/>
    <xf numFmtId="167" fontId="6" fillId="9" borderId="3" xfId="0" applyNumberFormat="1" applyFont="1" applyFill="1" applyBorder="1"/>
    <xf numFmtId="0" fontId="0" fillId="0" borderId="0" xfId="0" applyProtection="1">
      <protection locked="0"/>
    </xf>
    <xf numFmtId="0" fontId="17" fillId="4" borderId="35" xfId="0" applyFont="1" applyFill="1" applyBorder="1"/>
    <xf numFmtId="0" fontId="17" fillId="4" borderId="38" xfId="0" applyFont="1" applyFill="1" applyBorder="1"/>
    <xf numFmtId="165" fontId="6" fillId="9" borderId="36" xfId="0" applyNumberFormat="1" applyFont="1" applyFill="1" applyBorder="1"/>
    <xf numFmtId="167" fontId="6" fillId="9" borderId="39" xfId="0" applyNumberFormat="1" applyFont="1" applyFill="1" applyBorder="1"/>
    <xf numFmtId="0" fontId="9" fillId="4" borderId="16" xfId="0" applyFont="1" applyFill="1" applyBorder="1"/>
    <xf numFmtId="0" fontId="5" fillId="9" borderId="17" xfId="0" applyFont="1" applyFill="1" applyBorder="1"/>
    <xf numFmtId="0" fontId="6" fillId="9" borderId="18" xfId="0" applyFont="1" applyFill="1" applyBorder="1"/>
    <xf numFmtId="0" fontId="28" fillId="4" borderId="40" xfId="0" applyFont="1" applyFill="1" applyBorder="1" applyAlignment="1">
      <alignment horizontal="center"/>
    </xf>
    <xf numFmtId="0" fontId="6" fillId="9" borderId="41" xfId="0" applyFont="1" applyFill="1" applyBorder="1"/>
    <xf numFmtId="0" fontId="17" fillId="5" borderId="42" xfId="0" applyFont="1" applyFill="1" applyBorder="1"/>
    <xf numFmtId="0" fontId="17" fillId="5" borderId="43" xfId="0" applyFont="1" applyFill="1" applyBorder="1"/>
    <xf numFmtId="165" fontId="6" fillId="9" borderId="44" xfId="0" applyNumberFormat="1" applyFont="1" applyFill="1" applyBorder="1"/>
    <xf numFmtId="167" fontId="6" fillId="9" borderId="45" xfId="0" applyNumberFormat="1" applyFont="1" applyFill="1" applyBorder="1"/>
    <xf numFmtId="0" fontId="9" fillId="5" borderId="19" xfId="0" applyFont="1" applyFill="1" applyBorder="1"/>
    <xf numFmtId="0" fontId="5" fillId="9" borderId="20" xfId="0" applyFont="1" applyFill="1" applyBorder="1"/>
    <xf numFmtId="0" fontId="6" fillId="9" borderId="21" xfId="0" applyFont="1" applyFill="1" applyBorder="1"/>
    <xf numFmtId="0" fontId="28" fillId="5" borderId="46" xfId="0" applyFont="1" applyFill="1" applyBorder="1" applyAlignment="1">
      <alignment horizontal="center"/>
    </xf>
    <xf numFmtId="0" fontId="6" fillId="9" borderId="48" xfId="0" applyFont="1" applyFill="1" applyBorder="1"/>
    <xf numFmtId="0" fontId="17" fillId="6" borderId="49" xfId="0" applyFont="1" applyFill="1" applyBorder="1"/>
    <xf numFmtId="0" fontId="17" fillId="6" borderId="50" xfId="0" applyFont="1" applyFill="1" applyBorder="1"/>
    <xf numFmtId="165" fontId="6" fillId="9" borderId="51" xfId="0" applyNumberFormat="1" applyFont="1" applyFill="1" applyBorder="1"/>
    <xf numFmtId="167" fontId="6" fillId="9" borderId="52" xfId="0" applyNumberFormat="1" applyFont="1" applyFill="1" applyBorder="1"/>
    <xf numFmtId="0" fontId="9" fillId="6" borderId="22" xfId="0" applyFont="1" applyFill="1" applyBorder="1"/>
    <xf numFmtId="0" fontId="5" fillId="9" borderId="23" xfId="0" applyFont="1" applyFill="1" applyBorder="1"/>
    <xf numFmtId="0" fontId="6" fillId="9" borderId="24" xfId="0" applyFont="1" applyFill="1" applyBorder="1"/>
    <xf numFmtId="0" fontId="28" fillId="6" borderId="53" xfId="0" applyFont="1" applyFill="1" applyBorder="1" applyAlignment="1">
      <alignment horizontal="center"/>
    </xf>
    <xf numFmtId="0" fontId="6" fillId="9" borderId="55" xfId="0" applyFont="1" applyFill="1" applyBorder="1"/>
    <xf numFmtId="0" fontId="17" fillId="7" borderId="56" xfId="0" applyFont="1" applyFill="1" applyBorder="1"/>
    <xf numFmtId="0" fontId="17" fillId="7" borderId="57" xfId="0" applyFont="1" applyFill="1" applyBorder="1"/>
    <xf numFmtId="165" fontId="6" fillId="9" borderId="58" xfId="0" applyNumberFormat="1" applyFont="1" applyFill="1" applyBorder="1"/>
    <xf numFmtId="167" fontId="6" fillId="9" borderId="59" xfId="0" applyNumberFormat="1" applyFont="1" applyFill="1" applyBorder="1"/>
    <xf numFmtId="0" fontId="9" fillId="7" borderId="25" xfId="0" applyFont="1" applyFill="1" applyBorder="1"/>
    <xf numFmtId="0" fontId="5" fillId="9" borderId="26" xfId="0" applyFont="1" applyFill="1" applyBorder="1"/>
    <xf numFmtId="0" fontId="6" fillId="9" borderId="27" xfId="0" applyFont="1" applyFill="1" applyBorder="1"/>
    <xf numFmtId="0" fontId="28" fillId="7" borderId="60" xfId="0" applyFont="1" applyFill="1" applyBorder="1" applyAlignment="1">
      <alignment horizontal="center"/>
    </xf>
    <xf numFmtId="0" fontId="6" fillId="9" borderId="62" xfId="0" applyFont="1" applyFill="1" applyBorder="1"/>
    <xf numFmtId="165" fontId="6" fillId="9" borderId="65" xfId="0" applyNumberFormat="1" applyFont="1" applyFill="1" applyBorder="1"/>
    <xf numFmtId="167" fontId="6" fillId="9" borderId="66" xfId="0" applyNumberFormat="1" applyFont="1" applyFill="1" applyBorder="1"/>
    <xf numFmtId="0" fontId="5" fillId="9" borderId="29" xfId="0" applyFont="1" applyFill="1" applyBorder="1"/>
    <xf numFmtId="0" fontId="6" fillId="9" borderId="30" xfId="0" applyFont="1" applyFill="1" applyBorder="1"/>
    <xf numFmtId="0" fontId="6" fillId="9" borderId="69" xfId="0" applyFont="1" applyFill="1" applyBorder="1"/>
    <xf numFmtId="0" fontId="31" fillId="9" borderId="0" xfId="0" applyFont="1" applyFill="1"/>
    <xf numFmtId="0" fontId="31" fillId="0" borderId="0" xfId="0" applyFont="1" applyAlignment="1">
      <alignment wrapText="1"/>
    </xf>
    <xf numFmtId="0" fontId="9" fillId="10" borderId="28" xfId="0" applyFont="1" applyFill="1" applyBorder="1"/>
    <xf numFmtId="0" fontId="17" fillId="10" borderId="63" xfId="0" applyFont="1" applyFill="1" applyBorder="1"/>
    <xf numFmtId="0" fontId="17" fillId="10" borderId="64" xfId="0" applyFont="1" applyFill="1" applyBorder="1"/>
    <xf numFmtId="0" fontId="28" fillId="10" borderId="67" xfId="0" applyFont="1" applyFill="1" applyBorder="1" applyAlignment="1">
      <alignment horizontal="center"/>
    </xf>
    <xf numFmtId="0" fontId="31" fillId="0" borderId="0" xfId="0" applyFont="1"/>
    <xf numFmtId="165" fontId="5" fillId="11" borderId="0" xfId="0" applyNumberFormat="1" applyFont="1" applyFill="1"/>
    <xf numFmtId="0" fontId="1" fillId="11" borderId="34" xfId="0" applyFont="1" applyFill="1" applyBorder="1" applyAlignment="1">
      <alignment horizontal="center"/>
    </xf>
    <xf numFmtId="0" fontId="1" fillId="11" borderId="47" xfId="0" applyFont="1" applyFill="1" applyBorder="1" applyAlignment="1">
      <alignment horizontal="center"/>
    </xf>
    <xf numFmtId="0" fontId="29" fillId="11" borderId="47" xfId="0" applyFont="1" applyFill="1" applyBorder="1" applyAlignment="1">
      <alignment horizontal="center"/>
    </xf>
    <xf numFmtId="0" fontId="1" fillId="11" borderId="54" xfId="0" applyFont="1" applyFill="1" applyBorder="1" applyAlignment="1">
      <alignment horizontal="center"/>
    </xf>
    <xf numFmtId="0" fontId="1" fillId="11" borderId="61" xfId="0" applyFont="1" applyFill="1" applyBorder="1" applyAlignment="1">
      <alignment horizontal="center"/>
    </xf>
    <xf numFmtId="0" fontId="1" fillId="11" borderId="68" xfId="0" applyFont="1" applyFill="1" applyBorder="1" applyAlignment="1">
      <alignment horizontal="center"/>
    </xf>
    <xf numFmtId="165" fontId="5" fillId="11" borderId="0" xfId="0" applyNumberFormat="1" applyFont="1" applyFill="1" applyProtection="1">
      <protection locked="0"/>
    </xf>
    <xf numFmtId="0" fontId="1" fillId="11" borderId="34" xfId="0" applyFont="1" applyFill="1" applyBorder="1" applyAlignment="1" applyProtection="1">
      <alignment horizontal="center"/>
      <protection locked="0"/>
    </xf>
    <xf numFmtId="0" fontId="1" fillId="11" borderId="47" xfId="0" applyFont="1" applyFill="1" applyBorder="1" applyAlignment="1" applyProtection="1">
      <alignment horizontal="center"/>
      <protection locked="0"/>
    </xf>
    <xf numFmtId="0" fontId="29" fillId="11" borderId="47" xfId="0" applyFont="1" applyFill="1" applyBorder="1" applyAlignment="1" applyProtection="1">
      <alignment horizontal="center"/>
      <protection locked="0"/>
    </xf>
    <xf numFmtId="0" fontId="1" fillId="11" borderId="54" xfId="0" applyFont="1" applyFill="1" applyBorder="1" applyAlignment="1" applyProtection="1">
      <alignment horizontal="center"/>
      <protection locked="0"/>
    </xf>
    <xf numFmtId="0" fontId="1" fillId="11" borderId="61" xfId="0" applyFont="1" applyFill="1" applyBorder="1" applyAlignment="1" applyProtection="1">
      <alignment horizontal="center"/>
      <protection locked="0"/>
    </xf>
    <xf numFmtId="0" fontId="1" fillId="11" borderId="68" xfId="0" applyFont="1" applyFill="1" applyBorder="1" applyAlignment="1" applyProtection="1">
      <alignment horizontal="center"/>
      <protection locked="0"/>
    </xf>
    <xf numFmtId="0" fontId="5" fillId="11" borderId="0" xfId="0" applyFont="1" applyFill="1" applyProtection="1">
      <protection locked="0"/>
    </xf>
    <xf numFmtId="1" fontId="5" fillId="11" borderId="0" xfId="0" applyNumberFormat="1" applyFont="1" applyFill="1" applyProtection="1">
      <protection locked="0"/>
    </xf>
    <xf numFmtId="0" fontId="33" fillId="9" borderId="0" xfId="0" applyFont="1" applyFill="1"/>
    <xf numFmtId="0" fontId="34" fillId="9" borderId="0" xfId="0" applyFont="1" applyFill="1"/>
    <xf numFmtId="0" fontId="35" fillId="9" borderId="0" xfId="0" applyFont="1" applyFill="1"/>
    <xf numFmtId="165" fontId="33" fillId="9" borderId="0" xfId="0" applyNumberFormat="1" applyFont="1" applyFill="1"/>
    <xf numFmtId="0" fontId="36" fillId="9" borderId="0" xfId="0" applyFont="1" applyFill="1"/>
    <xf numFmtId="164" fontId="5" fillId="11" borderId="10" xfId="0" quotePrefix="1" applyNumberFormat="1" applyFont="1" applyFill="1" applyBorder="1"/>
    <xf numFmtId="164" fontId="5" fillId="11" borderId="10" xfId="0" applyNumberFormat="1" applyFont="1" applyFill="1" applyBorder="1"/>
    <xf numFmtId="164" fontId="5" fillId="11" borderId="10" xfId="0" quotePrefix="1" applyNumberFormat="1" applyFont="1" applyFill="1" applyBorder="1" applyProtection="1">
      <protection locked="0"/>
    </xf>
    <xf numFmtId="164" fontId="5" fillId="11" borderId="10" xfId="0" applyNumberFormat="1" applyFont="1" applyFill="1" applyBorder="1" applyProtection="1">
      <protection locked="0"/>
    </xf>
    <xf numFmtId="14" fontId="5" fillId="11" borderId="10" xfId="0" quotePrefix="1" applyNumberFormat="1" applyFont="1" applyFill="1" applyBorder="1" applyProtection="1">
      <protection locked="0"/>
    </xf>
    <xf numFmtId="0" fontId="5" fillId="11" borderId="10" xfId="0" applyFont="1" applyFill="1" applyBorder="1" applyAlignment="1" applyProtection="1">
      <alignment horizontal="right"/>
      <protection locked="0"/>
    </xf>
    <xf numFmtId="0" fontId="5" fillId="11" borderId="11" xfId="0" applyFont="1" applyFill="1" applyBorder="1" applyAlignment="1" applyProtection="1">
      <alignment horizontal="right"/>
      <protection locked="0"/>
    </xf>
    <xf numFmtId="164" fontId="5" fillId="11" borderId="0" xfId="0" applyNumberFormat="1" applyFont="1" applyFill="1" applyProtection="1">
      <protection locked="0"/>
    </xf>
    <xf numFmtId="0" fontId="5" fillId="11" borderId="4" xfId="0" applyFont="1" applyFill="1" applyBorder="1" applyProtection="1">
      <protection locked="0"/>
    </xf>
    <xf numFmtId="165" fontId="5" fillId="11" borderId="2" xfId="0" applyNumberFormat="1" applyFont="1" applyFill="1" applyBorder="1" applyProtection="1">
      <protection locked="0"/>
    </xf>
    <xf numFmtId="0" fontId="5" fillId="11" borderId="8" xfId="0" applyFont="1" applyFill="1" applyBorder="1" applyProtection="1">
      <protection locked="0"/>
    </xf>
    <xf numFmtId="0" fontId="5" fillId="11" borderId="8" xfId="0" applyFont="1" applyFill="1" applyBorder="1" applyAlignment="1" applyProtection="1">
      <alignment horizontal="center"/>
      <protection locked="0"/>
    </xf>
    <xf numFmtId="9" fontId="5" fillId="11" borderId="8" xfId="0" applyNumberFormat="1" applyFont="1" applyFill="1" applyBorder="1"/>
    <xf numFmtId="0" fontId="7" fillId="2" borderId="0" xfId="0" applyFont="1" applyFill="1" applyProtection="1">
      <protection locked="0"/>
    </xf>
    <xf numFmtId="0" fontId="38" fillId="0" borderId="0" xfId="0" applyFont="1"/>
    <xf numFmtId="0" fontId="39" fillId="3" borderId="0" xfId="0" applyFont="1" applyFill="1" applyAlignment="1">
      <alignment wrapText="1"/>
    </xf>
    <xf numFmtId="0" fontId="5" fillId="12" borderId="0" xfId="0" applyFont="1" applyFill="1"/>
    <xf numFmtId="0" fontId="20" fillId="12" borderId="0" xfId="0" applyFont="1" applyFill="1"/>
    <xf numFmtId="164" fontId="0" fillId="11" borderId="0" xfId="0" applyNumberFormat="1" applyFill="1" applyProtection="1">
      <protection locked="0"/>
    </xf>
    <xf numFmtId="0" fontId="0" fillId="11" borderId="0" xfId="0" applyFill="1" applyProtection="1">
      <protection locked="0"/>
    </xf>
    <xf numFmtId="165" fontId="0" fillId="11" borderId="0" xfId="0" applyNumberFormat="1" applyFill="1" applyProtection="1">
      <protection locked="0"/>
    </xf>
    <xf numFmtId="164" fontId="0" fillId="11" borderId="0" xfId="0" applyNumberFormat="1" applyFill="1"/>
    <xf numFmtId="0" fontId="0" fillId="11" borderId="0" xfId="0" applyFill="1"/>
    <xf numFmtId="165" fontId="0" fillId="11" borderId="0" xfId="0" applyNumberFormat="1" applyFill="1"/>
    <xf numFmtId="0" fontId="5" fillId="11" borderId="10" xfId="0" applyFont="1" applyFill="1" applyBorder="1" applyAlignment="1">
      <alignment horizontal="right"/>
    </xf>
    <xf numFmtId="0" fontId="5" fillId="11" borderId="11" xfId="0" applyFont="1" applyFill="1" applyBorder="1" applyAlignment="1">
      <alignment horizontal="right"/>
    </xf>
    <xf numFmtId="0" fontId="40" fillId="4" borderId="35" xfId="0" applyFont="1" applyFill="1" applyBorder="1" applyAlignment="1">
      <alignment horizontal="center" vertical="center"/>
    </xf>
    <xf numFmtId="0" fontId="40" fillId="5" borderId="19" xfId="0" applyFont="1" applyFill="1" applyBorder="1" applyAlignment="1">
      <alignment horizontal="center" vertical="center"/>
    </xf>
    <xf numFmtId="0" fontId="40" fillId="6" borderId="22" xfId="0" applyFont="1" applyFill="1" applyBorder="1" applyAlignment="1">
      <alignment horizontal="center" vertical="center"/>
    </xf>
    <xf numFmtId="0" fontId="40" fillId="7" borderId="25" xfId="0" applyFont="1" applyFill="1" applyBorder="1" applyAlignment="1">
      <alignment horizontal="center" vertical="center"/>
    </xf>
    <xf numFmtId="0" fontId="40" fillId="10" borderId="31" xfId="0" applyFont="1" applyFill="1" applyBorder="1" applyAlignment="1">
      <alignment horizontal="center" vertical="center"/>
    </xf>
    <xf numFmtId="0" fontId="6" fillId="4" borderId="13" xfId="0" applyFont="1" applyFill="1" applyBorder="1" applyAlignment="1">
      <alignment horizontal="left" vertical="top"/>
    </xf>
    <xf numFmtId="166" fontId="13" fillId="4" borderId="14" xfId="0" applyNumberFormat="1" applyFont="1" applyFill="1" applyBorder="1" applyAlignment="1">
      <alignment horizontal="left" vertical="top" wrapText="1"/>
    </xf>
    <xf numFmtId="0" fontId="6" fillId="5" borderId="12" xfId="0" applyFont="1" applyFill="1" applyBorder="1" applyAlignment="1">
      <alignment horizontal="left" vertical="top"/>
    </xf>
    <xf numFmtId="166" fontId="13" fillId="5" borderId="14" xfId="0" applyNumberFormat="1" applyFont="1" applyFill="1" applyBorder="1" applyAlignment="1">
      <alignment horizontal="left" vertical="top" wrapText="1"/>
    </xf>
    <xf numFmtId="0" fontId="6" fillId="6" borderId="12" xfId="0" applyFont="1" applyFill="1" applyBorder="1" applyAlignment="1">
      <alignment horizontal="left" vertical="top"/>
    </xf>
    <xf numFmtId="166" fontId="13" fillId="6" borderId="14" xfId="0" applyNumberFormat="1" applyFont="1" applyFill="1" applyBorder="1" applyAlignment="1">
      <alignment horizontal="left" vertical="top" wrapText="1"/>
    </xf>
    <xf numFmtId="0" fontId="6" fillId="7" borderId="12" xfId="0" applyFont="1" applyFill="1" applyBorder="1" applyAlignment="1">
      <alignment horizontal="left" vertical="top"/>
    </xf>
    <xf numFmtId="166" fontId="13" fillId="7" borderId="14" xfId="0" applyNumberFormat="1" applyFont="1" applyFill="1" applyBorder="1" applyAlignment="1">
      <alignment horizontal="left" vertical="top" wrapText="1"/>
    </xf>
    <xf numFmtId="0" fontId="6" fillId="10" borderId="12" xfId="0" applyFont="1" applyFill="1" applyBorder="1" applyAlignment="1">
      <alignment horizontal="left" vertical="top"/>
    </xf>
    <xf numFmtId="166" fontId="13" fillId="10" borderId="14" xfId="0" applyNumberFormat="1" applyFont="1" applyFill="1" applyBorder="1" applyAlignment="1">
      <alignment horizontal="left" vertical="top" wrapText="1"/>
    </xf>
    <xf numFmtId="0" fontId="6" fillId="4" borderId="12" xfId="0" applyFont="1" applyFill="1" applyBorder="1" applyAlignment="1">
      <alignment horizontal="left" vertical="top"/>
    </xf>
    <xf numFmtId="0" fontId="5" fillId="12" borderId="0" xfId="0" applyFont="1" applyFill="1" applyProtection="1">
      <protection locked="0"/>
    </xf>
    <xf numFmtId="0" fontId="32" fillId="9" borderId="0" xfId="0" applyFont="1" applyFill="1"/>
    <xf numFmtId="0" fontId="46" fillId="9" borderId="0" xfId="0" applyFont="1" applyFill="1" applyAlignment="1">
      <alignment vertical="top"/>
    </xf>
    <xf numFmtId="0" fontId="0" fillId="9" borderId="0" xfId="0" applyFill="1" applyProtection="1">
      <protection locked="0"/>
    </xf>
    <xf numFmtId="0" fontId="0" fillId="9" borderId="0" xfId="0" applyFill="1" applyAlignment="1">
      <alignment vertical="top"/>
    </xf>
    <xf numFmtId="164" fontId="0" fillId="9" borderId="0" xfId="0" applyNumberFormat="1" applyFill="1" applyProtection="1">
      <protection locked="0"/>
    </xf>
    <xf numFmtId="165" fontId="0" fillId="9" borderId="0" xfId="0" applyNumberFormat="1" applyFill="1" applyProtection="1">
      <protection locked="0"/>
    </xf>
    <xf numFmtId="0" fontId="48" fillId="9" borderId="0" xfId="0" applyFont="1" applyFill="1"/>
    <xf numFmtId="164" fontId="0" fillId="9" borderId="0" xfId="0" applyNumberFormat="1" applyFill="1"/>
    <xf numFmtId="0" fontId="47" fillId="9" borderId="0" xfId="0" applyFont="1" applyFill="1"/>
    <xf numFmtId="165" fontId="0" fillId="9" borderId="0" xfId="0" applyNumberFormat="1" applyFill="1"/>
    <xf numFmtId="0" fontId="4" fillId="9" borderId="0" xfId="0" applyFont="1" applyFill="1" applyAlignment="1">
      <alignment wrapText="1"/>
    </xf>
    <xf numFmtId="0" fontId="4" fillId="9" borderId="37" xfId="0" applyFont="1" applyFill="1" applyBorder="1" applyAlignment="1">
      <alignment wrapText="1"/>
    </xf>
    <xf numFmtId="169" fontId="45" fillId="9" borderId="0" xfId="0" applyNumberFormat="1" applyFont="1" applyFill="1" applyAlignment="1">
      <alignment horizontal="center" vertical="center"/>
    </xf>
    <xf numFmtId="168" fontId="44" fillId="3" borderId="32" xfId="0" applyNumberFormat="1" applyFont="1" applyFill="1" applyBorder="1" applyAlignment="1">
      <alignment horizontal="center" vertical="center"/>
    </xf>
    <xf numFmtId="0" fontId="0" fillId="0" borderId="33" xfId="0" applyBorder="1"/>
    <xf numFmtId="0" fontId="43" fillId="0" borderId="6" xfId="0" applyFont="1" applyBorder="1" applyAlignment="1">
      <alignment horizontal="right" vertical="center"/>
    </xf>
    <xf numFmtId="0" fontId="30" fillId="0" borderId="0" xfId="0" applyFont="1"/>
    <xf numFmtId="0" fontId="19" fillId="3" borderId="77" xfId="0" applyFont="1" applyFill="1" applyBorder="1" applyAlignment="1">
      <alignment horizontal="center" vertical="center"/>
    </xf>
    <xf numFmtId="0" fontId="0" fillId="0" borderId="78" xfId="0" applyBorder="1"/>
    <xf numFmtId="168" fontId="22" fillId="3" borderId="73" xfId="0" applyNumberFormat="1" applyFont="1" applyFill="1" applyBorder="1" applyAlignment="1">
      <alignment horizontal="center" vertical="center"/>
    </xf>
    <xf numFmtId="0" fontId="0" fillId="0" borderId="37" xfId="0" applyBorder="1"/>
    <xf numFmtId="0" fontId="0" fillId="0" borderId="74" xfId="0" applyBorder="1"/>
    <xf numFmtId="0" fontId="0" fillId="0" borderId="76" xfId="0" applyBorder="1"/>
    <xf numFmtId="168" fontId="44" fillId="3" borderId="0" xfId="0" applyNumberFormat="1" applyFont="1" applyFill="1" applyAlignment="1">
      <alignment horizontal="center" vertical="center"/>
    </xf>
    <xf numFmtId="0" fontId="0" fillId="0" borderId="36" xfId="0" applyBorder="1"/>
    <xf numFmtId="168" fontId="44" fillId="3" borderId="20" xfId="0" applyNumberFormat="1" applyFont="1" applyFill="1" applyBorder="1" applyAlignment="1">
      <alignment horizontal="center" vertical="center"/>
    </xf>
    <xf numFmtId="0" fontId="0" fillId="0" borderId="21" xfId="0" applyBorder="1"/>
    <xf numFmtId="168" fontId="44" fillId="3" borderId="23" xfId="0" applyNumberFormat="1" applyFont="1" applyFill="1" applyBorder="1" applyAlignment="1">
      <alignment horizontal="center" vertical="center"/>
    </xf>
    <xf numFmtId="0" fontId="0" fillId="0" borderId="24" xfId="0" applyBorder="1"/>
    <xf numFmtId="168" fontId="44" fillId="3" borderId="26" xfId="0" applyNumberFormat="1" applyFont="1" applyFill="1" applyBorder="1" applyAlignment="1">
      <alignment horizontal="center" vertical="center"/>
    </xf>
    <xf numFmtId="0" fontId="0" fillId="0" borderId="27" xfId="0" applyBorder="1"/>
    <xf numFmtId="0" fontId="37" fillId="0" borderId="6" xfId="0" applyFont="1" applyBorder="1" applyAlignment="1">
      <alignment horizontal="right" vertical="center"/>
    </xf>
    <xf numFmtId="0" fontId="42" fillId="9" borderId="0" xfId="0" applyFont="1" applyFill="1" applyAlignment="1">
      <alignment wrapText="1"/>
    </xf>
    <xf numFmtId="0" fontId="42" fillId="9" borderId="37" xfId="0" applyFont="1" applyFill="1" applyBorder="1" applyAlignment="1">
      <alignment wrapText="1"/>
    </xf>
    <xf numFmtId="0" fontId="4" fillId="9" borderId="0" xfId="0" applyFont="1" applyFill="1" applyAlignment="1">
      <alignment vertical="top" wrapText="1"/>
    </xf>
    <xf numFmtId="0" fontId="21" fillId="9" borderId="0" xfId="0" applyFont="1" applyFill="1" applyAlignment="1">
      <alignment wrapText="1"/>
    </xf>
    <xf numFmtId="0" fontId="9" fillId="4" borderId="0" xfId="0" applyFont="1" applyFill="1"/>
    <xf numFmtId="0" fontId="12" fillId="9" borderId="0" xfId="0" applyFont="1" applyFill="1" applyAlignment="1">
      <alignment vertical="top" wrapText="1"/>
    </xf>
    <xf numFmtId="0" fontId="0" fillId="0" borderId="70" xfId="0" applyBorder="1"/>
    <xf numFmtId="0" fontId="0" fillId="0" borderId="75" xfId="0" applyBorder="1"/>
    <xf numFmtId="9" fontId="41" fillId="3" borderId="73" xfId="0" applyNumberFormat="1" applyFont="1" applyFill="1" applyBorder="1" applyAlignment="1">
      <alignment horizontal="center" vertical="center"/>
    </xf>
    <xf numFmtId="0" fontId="0" fillId="0" borderId="0" xfId="0"/>
    <xf numFmtId="0" fontId="0" fillId="0" borderId="71" xfId="0" applyBorder="1"/>
    <xf numFmtId="0" fontId="49" fillId="4" borderId="72" xfId="0" applyFont="1" applyFill="1" applyBorder="1" applyAlignment="1">
      <alignment horizontal="center" vertical="center"/>
    </xf>
  </cellXfs>
  <cellStyles count="1">
    <cellStyle name="Standaard" xfId="0" builtinId="0"/>
  </cellStyles>
  <dxfs count="63">
    <dxf>
      <font>
        <b/>
        <i val="0"/>
        <color rgb="FF3B3733"/>
      </font>
      <fill>
        <patternFill patternType="solid">
          <fgColor indexed="64"/>
          <bgColor rgb="FFD6E8D6"/>
        </patternFill>
      </fill>
    </dxf>
    <dxf>
      <font>
        <b/>
        <i val="0"/>
        <color rgb="FF3B3733"/>
      </font>
      <fill>
        <patternFill patternType="solid">
          <fgColor indexed="64"/>
          <bgColor rgb="FFCFE2ED"/>
        </patternFill>
      </fill>
    </dxf>
    <dxf>
      <font>
        <b/>
        <i val="0"/>
        <color rgb="FF3B3733"/>
      </font>
      <fill>
        <patternFill patternType="solid">
          <fgColor indexed="64"/>
          <bgColor rgb="FFCFE2ED"/>
        </patternFill>
      </fill>
    </dxf>
    <dxf>
      <font>
        <b/>
        <i val="0"/>
        <color rgb="FF3B3733"/>
      </font>
      <fill>
        <patternFill patternType="solid">
          <fgColor indexed="64"/>
          <bgColor rgb="FFCFE2ED"/>
        </patternFill>
      </fill>
    </dxf>
    <dxf>
      <font>
        <b/>
        <i val="0"/>
        <color rgb="FF3B3733"/>
      </font>
      <fill>
        <patternFill patternType="solid">
          <fgColor indexed="64"/>
          <bgColor rgb="FFCFE2ED"/>
        </patternFill>
      </fill>
    </dxf>
    <dxf>
      <font>
        <b/>
        <i val="0"/>
        <color rgb="FF3B3733"/>
      </font>
      <fill>
        <patternFill patternType="solid">
          <fgColor indexed="64"/>
          <bgColor rgb="FFCFE2ED"/>
        </patternFill>
      </fill>
    </dxf>
    <dxf>
      <font>
        <b/>
        <i val="0"/>
        <color rgb="FF3B3733"/>
      </font>
      <fill>
        <patternFill patternType="solid">
          <fgColor indexed="64"/>
          <bgColor rgb="FFCFE2ED"/>
        </patternFill>
      </fill>
    </dxf>
    <dxf>
      <font>
        <b/>
        <i val="0"/>
        <color rgb="FF8A3B4D"/>
      </font>
      <fill>
        <patternFill patternType="solid">
          <fgColor indexed="64"/>
          <bgColor rgb="FFF5D6DC"/>
        </patternFill>
      </fill>
    </dxf>
    <dxf>
      <font>
        <b/>
        <i val="0"/>
        <color rgb="FFFF0000"/>
      </font>
      <fill>
        <patternFill patternType="solid">
          <fgColor indexed="64"/>
          <bgColor rgb="FFF0A8A0"/>
        </patternFill>
      </fill>
    </dxf>
    <dxf>
      <fill>
        <patternFill patternType="solid">
          <fgColor indexed="64"/>
          <bgColor rgb="FFFBF9F6"/>
        </patternFill>
      </fill>
    </dxf>
    <dxf>
      <font>
        <b/>
        <i val="0"/>
        <color rgb="FFFF0000"/>
      </font>
      <fill>
        <patternFill patternType="solid">
          <fgColor indexed="64"/>
          <bgColor rgb="FFF0A8A0"/>
        </patternFill>
      </fill>
    </dxf>
    <dxf>
      <fill>
        <patternFill patternType="solid">
          <fgColor indexed="64"/>
          <bgColor rgb="FFFBF9F6"/>
        </patternFill>
      </fill>
    </dxf>
    <dxf>
      <font>
        <b/>
        <i val="0"/>
        <color rgb="FFFF0000"/>
      </font>
      <fill>
        <patternFill patternType="solid">
          <fgColor indexed="64"/>
          <bgColor rgb="FFF0A8A0"/>
        </patternFill>
      </fill>
    </dxf>
    <dxf>
      <fill>
        <patternFill patternType="solid">
          <fgColor indexed="64"/>
          <bgColor rgb="FFFBF9F6"/>
        </patternFill>
      </fill>
    </dxf>
    <dxf>
      <font>
        <b/>
        <i val="0"/>
        <color rgb="FFFF0000"/>
      </font>
      <fill>
        <patternFill patternType="solid">
          <fgColor indexed="64"/>
          <bgColor rgb="FFF0A8A0"/>
        </patternFill>
      </fill>
    </dxf>
    <dxf>
      <fill>
        <patternFill patternType="solid">
          <fgColor indexed="64"/>
          <bgColor rgb="FFFBF9F6"/>
        </patternFill>
      </fill>
    </dxf>
    <dxf>
      <font>
        <b/>
        <i val="0"/>
        <color rgb="FFFF0000"/>
      </font>
      <fill>
        <patternFill patternType="solid">
          <fgColor indexed="64"/>
          <bgColor rgb="FFF0A8A0"/>
        </patternFill>
      </fill>
    </dxf>
    <dxf>
      <fill>
        <patternFill patternType="solid">
          <fgColor indexed="64"/>
          <bgColor rgb="FFFBF9F6"/>
        </patternFill>
      </fill>
    </dxf>
    <dxf>
      <font>
        <b/>
        <i val="0"/>
        <color rgb="FF8A3B4D"/>
      </font>
      <fill>
        <patternFill patternType="solid">
          <fgColor indexed="64"/>
          <bgColor rgb="FFF5D6DC"/>
        </patternFill>
      </fill>
    </dxf>
    <dxf>
      <font>
        <b/>
        <i val="0"/>
        <color rgb="FFFF0000"/>
      </font>
      <fill>
        <patternFill patternType="solid">
          <fgColor indexed="64"/>
          <bgColor rgb="FFF0A8A0"/>
        </patternFill>
      </fill>
    </dxf>
    <dxf>
      <fill>
        <patternFill patternType="solid">
          <fgColor indexed="64"/>
          <bgColor rgb="FFFBF9F6"/>
        </patternFill>
      </fill>
    </dxf>
    <dxf>
      <font>
        <b/>
        <i val="0"/>
        <color rgb="FFFF0000"/>
      </font>
      <fill>
        <patternFill patternType="solid">
          <fgColor indexed="64"/>
          <bgColor rgb="FFF0A8A0"/>
        </patternFill>
      </fill>
    </dxf>
    <dxf>
      <fill>
        <patternFill patternType="solid">
          <fgColor indexed="64"/>
          <bgColor rgb="FFFBF9F6"/>
        </patternFill>
      </fill>
    </dxf>
    <dxf>
      <font>
        <b/>
        <i val="0"/>
        <color rgb="FFFF0000"/>
      </font>
      <fill>
        <patternFill patternType="solid">
          <fgColor indexed="64"/>
          <bgColor rgb="FFF0A8A0"/>
        </patternFill>
      </fill>
    </dxf>
    <dxf>
      <fill>
        <patternFill patternType="solid">
          <fgColor indexed="64"/>
          <bgColor rgb="FFFBF9F6"/>
        </patternFill>
      </fill>
    </dxf>
    <dxf>
      <font>
        <b/>
        <i val="0"/>
        <color rgb="FFFF0000"/>
      </font>
      <fill>
        <patternFill patternType="solid">
          <fgColor indexed="64"/>
          <bgColor rgb="FFF0A8A0"/>
        </patternFill>
      </fill>
    </dxf>
    <dxf>
      <fill>
        <patternFill patternType="solid">
          <fgColor indexed="64"/>
          <bgColor rgb="FFFBF9F6"/>
        </patternFill>
      </fill>
    </dxf>
    <dxf>
      <font>
        <b/>
        <i val="0"/>
        <color rgb="FFFF0000"/>
      </font>
      <fill>
        <patternFill patternType="solid">
          <fgColor indexed="64"/>
          <bgColor rgb="FFF0A8A0"/>
        </patternFill>
      </fill>
    </dxf>
    <dxf>
      <fill>
        <patternFill patternType="solid">
          <fgColor indexed="64"/>
          <bgColor rgb="FFFBF9F6"/>
        </patternFill>
      </fill>
    </dxf>
    <dxf>
      <font>
        <b/>
        <i val="0"/>
        <color rgb="FFFF0000"/>
      </font>
      <fill>
        <patternFill patternType="solid">
          <fgColor indexed="64"/>
          <bgColor rgb="FFF0A8A0"/>
        </patternFill>
      </fill>
    </dxf>
    <dxf>
      <fill>
        <patternFill patternType="solid">
          <fgColor indexed="64"/>
          <bgColor rgb="FFFBF9F6"/>
        </patternFill>
      </fill>
    </dxf>
    <dxf>
      <font>
        <b/>
        <i val="0"/>
        <color rgb="FFFF0000"/>
      </font>
      <fill>
        <patternFill patternType="solid">
          <fgColor indexed="64"/>
          <bgColor rgb="FFF0A8A0"/>
        </patternFill>
      </fill>
    </dxf>
    <dxf>
      <fill>
        <patternFill patternType="solid">
          <fgColor indexed="64"/>
          <bgColor rgb="FFFBF9F6"/>
        </patternFill>
      </fill>
    </dxf>
    <dxf>
      <font>
        <b/>
        <i val="0"/>
        <color rgb="FFFF0000"/>
      </font>
      <fill>
        <patternFill patternType="solid">
          <fgColor indexed="64"/>
          <bgColor rgb="FFF0A8A0"/>
        </patternFill>
      </fill>
    </dxf>
    <dxf>
      <fill>
        <patternFill patternType="solid">
          <fgColor indexed="64"/>
          <bgColor rgb="FFFBF9F6"/>
        </patternFill>
      </fill>
    </dxf>
    <dxf>
      <font>
        <b/>
        <i val="0"/>
        <color rgb="FFFF0000"/>
      </font>
      <fill>
        <patternFill patternType="solid">
          <fgColor indexed="64"/>
          <bgColor rgb="FFF0A8A0"/>
        </patternFill>
      </fill>
    </dxf>
    <dxf>
      <fill>
        <patternFill patternType="solid">
          <fgColor indexed="64"/>
          <bgColor rgb="FFFBF9F6"/>
        </patternFill>
      </fill>
    </dxf>
    <dxf>
      <font>
        <b/>
        <i val="0"/>
        <color rgb="FFFF0000"/>
      </font>
      <fill>
        <patternFill patternType="solid">
          <fgColor indexed="64"/>
          <bgColor rgb="FFF0A8A0"/>
        </patternFill>
      </fill>
    </dxf>
    <dxf>
      <fill>
        <patternFill patternType="solid">
          <fgColor indexed="64"/>
          <bgColor rgb="FFFBF9F6"/>
        </patternFill>
      </fill>
    </dxf>
    <dxf>
      <fill>
        <patternFill patternType="solid">
          <fgColor indexed="64"/>
          <bgColor rgb="FFF5EBD2"/>
        </patternFill>
      </fill>
    </dxf>
    <dxf>
      <fill>
        <patternFill patternType="solid">
          <fgColor indexed="64"/>
          <bgColor rgb="FFF5EBD2"/>
        </patternFill>
      </fill>
    </dxf>
    <dxf>
      <fill>
        <patternFill patternType="solid">
          <fgColor indexed="64"/>
          <bgColor rgb="FFF5EBD2"/>
        </patternFill>
      </fill>
    </dxf>
    <dxf>
      <fill>
        <patternFill patternType="solid">
          <fgColor indexed="64"/>
          <bgColor rgb="FFF5EBD2"/>
        </patternFill>
      </fill>
    </dxf>
    <dxf>
      <fill>
        <patternFill patternType="solid">
          <fgColor indexed="64"/>
          <bgColor rgb="FFF5EBD2"/>
        </patternFill>
      </fill>
    </dxf>
    <dxf>
      <font>
        <b/>
        <color rgb="FFFFFFFF"/>
      </font>
      <fill>
        <patternFill patternType="solid">
          <fgColor indexed="64"/>
          <bgColor rgb="FF3B3733"/>
        </patternFill>
      </fill>
    </dxf>
    <dxf>
      <font>
        <color rgb="FF3B3733"/>
        <name val="Calibri"/>
      </font>
      <fill>
        <patternFill patternType="solid">
          <fgColor indexed="64"/>
          <bgColor rgb="FFF5EBD2"/>
        </patternFill>
      </fill>
      <protection locked="0"/>
    </dxf>
    <dxf>
      <font>
        <i/>
        <color rgb="FF3B3733"/>
        <name val="Calibri"/>
      </font>
      <fill>
        <patternFill patternType="solid">
          <fgColor indexed="64"/>
          <bgColor rgb="FFFFFFFF"/>
        </patternFill>
      </fill>
    </dxf>
    <dxf>
      <font>
        <i/>
        <color rgb="FF3B3733"/>
        <name val="Calibri"/>
      </font>
      <fill>
        <patternFill patternType="solid">
          <fgColor indexed="64"/>
          <bgColor rgb="FFFFFFFF"/>
        </patternFill>
      </fill>
    </dxf>
    <dxf>
      <font>
        <color rgb="FF3B3733"/>
        <name val="Calibri"/>
      </font>
      <fill>
        <patternFill patternType="solid">
          <fgColor indexed="64"/>
          <bgColor rgb="FFF5EBD2"/>
        </patternFill>
      </fill>
      <protection locked="0"/>
    </dxf>
    <dxf>
      <font>
        <color rgb="FF3B3733"/>
        <name val="Calibri"/>
      </font>
      <fill>
        <patternFill patternType="solid">
          <fgColor indexed="64"/>
          <bgColor rgb="FFF5EBD2"/>
        </patternFill>
      </fill>
      <protection locked="0"/>
    </dxf>
    <dxf>
      <font>
        <color rgb="FF3B3733"/>
        <name val="Calibri"/>
      </font>
      <fill>
        <patternFill patternType="solid">
          <fgColor indexed="64"/>
          <bgColor rgb="FFF5EBD2"/>
        </patternFill>
      </fill>
      <protection locked="0"/>
    </dxf>
    <dxf>
      <font>
        <color rgb="FF3B3733"/>
        <name val="Calibri"/>
      </font>
      <fill>
        <patternFill patternType="solid">
          <fgColor indexed="64"/>
          <bgColor rgb="FFF5EBD2"/>
        </patternFill>
      </fill>
      <protection locked="0"/>
    </dxf>
    <dxf>
      <font>
        <color rgb="FF3B3733"/>
        <name val="Calibri"/>
      </font>
      <fill>
        <patternFill patternType="solid">
          <fgColor indexed="64"/>
          <bgColor rgb="FFF5EBD2"/>
        </patternFill>
      </fill>
      <protection locked="0"/>
    </dxf>
    <dxf>
      <font>
        <color rgb="FF3B3733"/>
        <name val="Calibri"/>
      </font>
      <fill>
        <patternFill patternType="solid">
          <fgColor indexed="64"/>
          <bgColor rgb="FFF5EBD2"/>
        </patternFill>
      </fill>
      <protection locked="0"/>
    </dxf>
    <dxf>
      <font>
        <color rgb="FF3B3733"/>
        <name val="Calibri"/>
      </font>
    </dxf>
    <dxf>
      <font>
        <b/>
        <color rgb="FFFFFFFF"/>
        <name val="Calibri"/>
      </font>
      <fill>
        <patternFill patternType="solid">
          <fgColor indexed="64"/>
          <bgColor rgb="FF3B3733"/>
        </patternFill>
      </fill>
    </dxf>
    <dxf>
      <font>
        <color rgb="FF3B3733"/>
        <name val="Calibri"/>
      </font>
      <fill>
        <patternFill patternType="solid">
          <fgColor indexed="64"/>
          <bgColor rgb="FFF5EBD2"/>
        </patternFill>
      </fill>
      <protection locked="0"/>
    </dxf>
    <dxf>
      <font>
        <color rgb="FF3B3733"/>
        <name val="Calibri"/>
      </font>
      <fill>
        <patternFill patternType="solid">
          <fgColor indexed="64"/>
          <bgColor rgb="FFF5EBD2"/>
        </patternFill>
      </fill>
      <protection locked="0"/>
    </dxf>
    <dxf>
      <font>
        <i/>
        <color rgb="FF3B3733"/>
        <name val="Calibri"/>
      </font>
      <fill>
        <patternFill patternType="solid">
          <fgColor indexed="64"/>
          <bgColor rgb="FFFFFFFF"/>
        </patternFill>
      </fill>
    </dxf>
    <dxf>
      <font>
        <color rgb="FF3B3733"/>
        <name val="Calibri"/>
      </font>
      <fill>
        <patternFill patternType="solid">
          <fgColor indexed="64"/>
          <bgColor rgb="FFF5EBD2"/>
        </patternFill>
      </fill>
      <protection locked="0"/>
    </dxf>
    <dxf>
      <font>
        <color rgb="FF3B3733"/>
        <name val="Calibri"/>
      </font>
      <numFmt numFmtId="164" formatCode="mm/dd/yyyy"/>
      <fill>
        <patternFill patternType="solid">
          <fgColor indexed="64"/>
          <bgColor rgb="FFF5EBD2"/>
        </patternFill>
      </fill>
      <protection locked="0"/>
    </dxf>
    <dxf>
      <font>
        <color rgb="FF3B3733"/>
        <name val="Calibri"/>
      </font>
    </dxf>
    <dxf>
      <font>
        <b/>
        <color rgb="FFFFFFFF"/>
        <name val="Calibri"/>
      </font>
      <fill>
        <patternFill patternType="solid">
          <fgColor indexed="64"/>
          <bgColor rgb="FF3B3733"/>
        </patternFill>
      </fill>
    </dxf>
  </dxfs>
  <tableStyles count="0" defaultTableStyle="TableStyleMedium2" defaultPivotStyle="PivotStyleLight16"/>
  <colors>
    <mruColors>
      <color rgb="FFF5EB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r>
              <a:rPr lang="en-US"/>
              <a:t>SPENDING SNAPSHOT</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endParaRPr lang="nl-NL"/>
        </a:p>
      </c:txPr>
    </c:title>
    <c:autoTitleDeleted val="0"/>
    <c:plotArea>
      <c:layout/>
      <c:doughnutChart>
        <c:varyColors val="1"/>
        <c:ser>
          <c:idx val="0"/>
          <c:order val="0"/>
          <c:dPt>
            <c:idx val="0"/>
            <c:bubble3D val="0"/>
            <c:spPr>
              <a:solidFill>
                <a:srgbClr val="A9C9A9"/>
              </a:solidFill>
              <a:ln w="19050">
                <a:solidFill>
                  <a:schemeClr val="lt1"/>
                </a:solidFill>
              </a:ln>
              <a:effectLst/>
            </c:spPr>
            <c:extLst>
              <c:ext xmlns:c16="http://schemas.microsoft.com/office/drawing/2014/chart" uri="{C3380CC4-5D6E-409C-BE32-E72D297353CC}">
                <c16:uniqueId val="{00000001-DC33-402A-9F31-F58CCF72E595}"/>
              </c:ext>
            </c:extLst>
          </c:dPt>
          <c:dPt>
            <c:idx val="1"/>
            <c:bubble3D val="0"/>
            <c:spPr>
              <a:solidFill>
                <a:srgbClr val="EFE9DD"/>
              </a:solidFill>
              <a:ln w="19050">
                <a:solidFill>
                  <a:schemeClr val="lt1"/>
                </a:solidFill>
              </a:ln>
              <a:effectLst/>
            </c:spPr>
            <c:extLst>
              <c:ext xmlns:c16="http://schemas.microsoft.com/office/drawing/2014/chart" uri="{C3380CC4-5D6E-409C-BE32-E72D297353CC}">
                <c16:uniqueId val="{00000003-DC33-402A-9F31-F58CCF72E595}"/>
              </c:ext>
            </c:extLst>
          </c:dPt>
          <c:cat>
            <c:strRef>
              <c:f>Example!$N$4:$N$5</c:f>
              <c:strCache>
                <c:ptCount val="2"/>
                <c:pt idx="0">
                  <c:v>Left to Spend</c:v>
                </c:pt>
                <c:pt idx="1">
                  <c:v>Spent</c:v>
                </c:pt>
              </c:strCache>
            </c:strRef>
          </c:cat>
          <c:val>
            <c:numRef>
              <c:f>Example!$O$4:$O$5</c:f>
              <c:numCache>
                <c:formatCode>[$$-409]#,##0.00;\([$$-409]#,##0.00\);"-"</c:formatCode>
                <c:ptCount val="2"/>
                <c:pt idx="0">
                  <c:v>233.02999999999997</c:v>
                </c:pt>
                <c:pt idx="1">
                  <c:v>3616.9700000000003</c:v>
                </c:pt>
              </c:numCache>
            </c:numRef>
          </c:val>
          <c:extLst>
            <c:ext xmlns:c16="http://schemas.microsoft.com/office/drawing/2014/chart" uri="{C3380CC4-5D6E-409C-BE32-E72D297353CC}">
              <c16:uniqueId val="{00000004-DC33-402A-9F31-F58CCF72E595}"/>
            </c:ext>
          </c:extLst>
        </c:ser>
        <c:dLbls>
          <c:showLegendKey val="0"/>
          <c:showVal val="0"/>
          <c:showCatName val="0"/>
          <c:showSerName val="0"/>
          <c:showPercent val="0"/>
          <c:showBubbleSize val="0"/>
          <c:showLeaderLines val="1"/>
        </c:dLbls>
        <c:firstSliceAng val="0"/>
        <c:holeSize val="75"/>
      </c:doughnutChart>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D8D3CC"/>
      </a:solidFill>
      <a:prstDash val="solid"/>
      <a:round/>
    </a:ln>
    <a:effectLst/>
  </c:spPr>
  <c:txPr>
    <a:bodyPr/>
    <a:lstStyle/>
    <a:p>
      <a:pPr>
        <a:defRPr/>
      </a:pPr>
      <a:endParaRPr lang="nl-NL"/>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r>
              <a:rPr lang="en-US"/>
              <a:t>ALLOCATION BREAKDOWN</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endParaRPr lang="nl-NL"/>
        </a:p>
      </c:txPr>
    </c:title>
    <c:autoTitleDeleted val="0"/>
    <c:plotArea>
      <c:layout/>
      <c:pieChart>
        <c:varyColors val="1"/>
        <c:ser>
          <c:idx val="0"/>
          <c:order val="0"/>
          <c:dPt>
            <c:idx val="0"/>
            <c:bubble3D val="0"/>
            <c:spPr>
              <a:solidFill>
                <a:srgbClr val="9FC3D6"/>
              </a:solidFill>
              <a:ln w="19050">
                <a:solidFill>
                  <a:schemeClr val="lt1"/>
                </a:solidFill>
              </a:ln>
              <a:effectLst/>
            </c:spPr>
            <c:extLst>
              <c:ext xmlns:c16="http://schemas.microsoft.com/office/drawing/2014/chart" uri="{C3380CC4-5D6E-409C-BE32-E72D297353CC}">
                <c16:uniqueId val="{00000001-2CDC-4EDD-AE15-F9AC3491699A}"/>
              </c:ext>
            </c:extLst>
          </c:dPt>
          <c:dPt>
            <c:idx val="1"/>
            <c:bubble3D val="0"/>
            <c:spPr>
              <a:solidFill>
                <a:srgbClr val="E8AFC0"/>
              </a:solidFill>
              <a:ln w="19050">
                <a:solidFill>
                  <a:schemeClr val="lt1"/>
                </a:solidFill>
              </a:ln>
              <a:effectLst/>
            </c:spPr>
            <c:extLst>
              <c:ext xmlns:c16="http://schemas.microsoft.com/office/drawing/2014/chart" uri="{C3380CC4-5D6E-409C-BE32-E72D297353CC}">
                <c16:uniqueId val="{00000003-2CDC-4EDD-AE15-F9AC3491699A}"/>
              </c:ext>
            </c:extLst>
          </c:dPt>
          <c:dPt>
            <c:idx val="2"/>
            <c:bubble3D val="0"/>
            <c:spPr>
              <a:solidFill>
                <a:srgbClr val="EBD98F"/>
              </a:solidFill>
              <a:ln w="19050">
                <a:solidFill>
                  <a:schemeClr val="lt1"/>
                </a:solidFill>
              </a:ln>
              <a:effectLst/>
            </c:spPr>
            <c:extLst>
              <c:ext xmlns:c16="http://schemas.microsoft.com/office/drawing/2014/chart" uri="{C3380CC4-5D6E-409C-BE32-E72D297353CC}">
                <c16:uniqueId val="{00000005-2CDC-4EDD-AE15-F9AC3491699A}"/>
              </c:ext>
            </c:extLst>
          </c:dPt>
          <c:dPt>
            <c:idx val="3"/>
            <c:bubble3D val="0"/>
            <c:spPr>
              <a:solidFill>
                <a:srgbClr val="C7B8E8"/>
              </a:solidFill>
              <a:ln w="19050">
                <a:solidFill>
                  <a:schemeClr val="lt1"/>
                </a:solidFill>
              </a:ln>
              <a:effectLst/>
            </c:spPr>
            <c:extLst>
              <c:ext xmlns:c16="http://schemas.microsoft.com/office/drawing/2014/chart" uri="{C3380CC4-5D6E-409C-BE32-E72D297353CC}">
                <c16:uniqueId val="{00000007-2CDC-4EDD-AE15-F9AC3491699A}"/>
              </c:ext>
            </c:extLst>
          </c:dPt>
          <c:dPt>
            <c:idx val="4"/>
            <c:bubble3D val="0"/>
            <c:spPr>
              <a:solidFill>
                <a:srgbClr val="A9C9A9"/>
              </a:solidFill>
              <a:ln w="19050">
                <a:solidFill>
                  <a:schemeClr val="lt1"/>
                </a:solidFill>
              </a:ln>
              <a:effectLst/>
            </c:spPr>
            <c:extLst>
              <c:ext xmlns:c16="http://schemas.microsoft.com/office/drawing/2014/chart" uri="{C3380CC4-5D6E-409C-BE32-E72D297353CC}">
                <c16:uniqueId val="{00000009-2CDC-4EDD-AE15-F9AC3491699A}"/>
              </c:ext>
            </c:extLst>
          </c:dPt>
          <c:cat>
            <c:strRef>
              <c:f>Example!$N$8:$N$12</c:f>
              <c:strCache>
                <c:ptCount val="5"/>
                <c:pt idx="0">
                  <c:v>Bills</c:v>
                </c:pt>
                <c:pt idx="1">
                  <c:v>Expenses</c:v>
                </c:pt>
                <c:pt idx="2">
                  <c:v>Savings</c:v>
                </c:pt>
                <c:pt idx="3">
                  <c:v>Debt</c:v>
                </c:pt>
                <c:pt idx="4">
                  <c:v>Left to Spend</c:v>
                </c:pt>
              </c:strCache>
            </c:strRef>
          </c:cat>
          <c:val>
            <c:numRef>
              <c:f>Example!$O$8:$O$12</c:f>
              <c:numCache>
                <c:formatCode>[$$-409]#,##0.00;\([$$-409]#,##0.00\);"-"</c:formatCode>
                <c:ptCount val="5"/>
                <c:pt idx="0">
                  <c:v>1942.97</c:v>
                </c:pt>
                <c:pt idx="1">
                  <c:v>1049</c:v>
                </c:pt>
                <c:pt idx="2">
                  <c:v>475</c:v>
                </c:pt>
                <c:pt idx="3">
                  <c:v>150</c:v>
                </c:pt>
                <c:pt idx="4">
                  <c:v>233.02999999999997</c:v>
                </c:pt>
              </c:numCache>
            </c:numRef>
          </c:val>
          <c:extLst>
            <c:ext xmlns:c16="http://schemas.microsoft.com/office/drawing/2014/chart" uri="{C3380CC4-5D6E-409C-BE32-E72D297353CC}">
              <c16:uniqueId val="{0000000A-2CDC-4EDD-AE15-F9AC3491699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D8D3CC"/>
      </a:solidFill>
      <a:prstDash val="solid"/>
      <a:round/>
    </a:ln>
    <a:effectLst/>
  </c:spPr>
  <c:txPr>
    <a:bodyPr/>
    <a:lstStyle/>
    <a:p>
      <a:pPr>
        <a:defRPr/>
      </a:pPr>
      <a:endParaRPr lang="nl-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r>
              <a:rPr lang="en-US"/>
              <a:t>EXPENSE BREAKDOWN</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endParaRPr lang="nl-NL"/>
        </a:p>
      </c:txPr>
    </c:title>
    <c:autoTitleDeleted val="0"/>
    <c:plotArea>
      <c:layout/>
      <c:barChart>
        <c:barDir val="bar"/>
        <c:grouping val="clustered"/>
        <c:varyColors val="0"/>
        <c:ser>
          <c:idx val="0"/>
          <c:order val="0"/>
          <c:tx>
            <c:strRef>
              <c:f>Example!$O$15</c:f>
              <c:strCache>
                <c:ptCount val="1"/>
                <c:pt idx="0">
                  <c:v>Actual</c:v>
                </c:pt>
              </c:strCache>
            </c:strRef>
          </c:tx>
          <c:spPr>
            <a:solidFill>
              <a:srgbClr val="E8AFC0"/>
            </a:solidFill>
            <a:ln>
              <a:noFill/>
            </a:ln>
            <a:effectLst/>
          </c:spPr>
          <c:invertIfNegative val="0"/>
          <c:cat>
            <c:strRef>
              <c:f>Example!$N$16:$N$23</c:f>
              <c:strCache>
                <c:ptCount val="8"/>
                <c:pt idx="0">
                  <c:v>Groceries</c:v>
                </c:pt>
                <c:pt idx="1">
                  <c:v>Dining Out</c:v>
                </c:pt>
                <c:pt idx="2">
                  <c:v>Transportation</c:v>
                </c:pt>
                <c:pt idx="3">
                  <c:v>Entertainment</c:v>
                </c:pt>
                <c:pt idx="4">
                  <c:v>Shopping</c:v>
                </c:pt>
                <c:pt idx="5">
                  <c:v>Personal Care</c:v>
                </c:pt>
                <c:pt idx="6">
                  <c:v>Household Supplies</c:v>
                </c:pt>
                <c:pt idx="7">
                  <c:v>Miscellaneous</c:v>
                </c:pt>
              </c:strCache>
            </c:strRef>
          </c:cat>
          <c:val>
            <c:numRef>
              <c:f>Example!$O$16:$O$23</c:f>
              <c:numCache>
                <c:formatCode>[$$-409]#,##0.00;\([$$-409]#,##0.00\);"-"</c:formatCode>
                <c:ptCount val="8"/>
                <c:pt idx="0">
                  <c:v>445</c:v>
                </c:pt>
                <c:pt idx="1">
                  <c:v>187</c:v>
                </c:pt>
                <c:pt idx="2">
                  <c:v>95</c:v>
                </c:pt>
                <c:pt idx="3">
                  <c:v>60</c:v>
                </c:pt>
                <c:pt idx="4">
                  <c:v>130</c:v>
                </c:pt>
                <c:pt idx="5">
                  <c:v>45</c:v>
                </c:pt>
                <c:pt idx="6">
                  <c:v>35</c:v>
                </c:pt>
                <c:pt idx="7">
                  <c:v>52</c:v>
                </c:pt>
              </c:numCache>
            </c:numRef>
          </c:val>
          <c:extLst>
            <c:ext xmlns:c16="http://schemas.microsoft.com/office/drawing/2014/chart" uri="{C3380CC4-5D6E-409C-BE32-E72D297353CC}">
              <c16:uniqueId val="{00000000-FC0F-4063-92ED-C16C41F1E3D6}"/>
            </c:ext>
          </c:extLst>
        </c:ser>
        <c:dLbls>
          <c:showLegendKey val="0"/>
          <c:showVal val="0"/>
          <c:showCatName val="0"/>
          <c:showSerName val="0"/>
          <c:showPercent val="0"/>
          <c:showBubbleSize val="0"/>
        </c:dLbls>
        <c:gapWidth val="182"/>
        <c:axId val="517906984"/>
        <c:axId val="517905904"/>
      </c:barChart>
      <c:catAx>
        <c:axId val="517906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517905904"/>
        <c:crosses val="autoZero"/>
        <c:auto val="1"/>
        <c:lblAlgn val="ctr"/>
        <c:lblOffset val="100"/>
        <c:noMultiLvlLbl val="0"/>
      </c:catAx>
      <c:valAx>
        <c:axId val="517905904"/>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409]#,##0.00;\([$$-409]#,##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517906984"/>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D8D3CC"/>
      </a:solidFill>
      <a:prstDash val="solid"/>
      <a:round/>
    </a:ln>
    <a:effectLst/>
  </c:spPr>
  <c:txPr>
    <a:bodyPr/>
    <a:lstStyle/>
    <a:p>
      <a:pPr>
        <a:defRPr/>
      </a:pPr>
      <a:endParaRPr lang="nl-N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r>
              <a:rPr lang="en-US"/>
              <a:t>BUDGET VS ACTUAL</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endParaRPr lang="nl-NL"/>
        </a:p>
      </c:txPr>
    </c:title>
    <c:autoTitleDeleted val="0"/>
    <c:plotArea>
      <c:layout/>
      <c:barChart>
        <c:barDir val="col"/>
        <c:grouping val="clustered"/>
        <c:varyColors val="0"/>
        <c:ser>
          <c:idx val="0"/>
          <c:order val="0"/>
          <c:tx>
            <c:strRef>
              <c:f>Example!$O$26</c:f>
              <c:strCache>
                <c:ptCount val="1"/>
                <c:pt idx="0">
                  <c:v>Budget</c:v>
                </c:pt>
              </c:strCache>
            </c:strRef>
          </c:tx>
          <c:spPr>
            <a:solidFill>
              <a:srgbClr val="D8D3CC"/>
            </a:solidFill>
            <a:ln>
              <a:noFill/>
            </a:ln>
            <a:effectLst/>
          </c:spPr>
          <c:invertIfNegative val="0"/>
          <c:cat>
            <c:strRef>
              <c:f>Example!$N$27:$N$31</c:f>
              <c:strCache>
                <c:ptCount val="5"/>
                <c:pt idx="0">
                  <c:v>Income</c:v>
                </c:pt>
                <c:pt idx="1">
                  <c:v>Bills</c:v>
                </c:pt>
                <c:pt idx="2">
                  <c:v>Expenses</c:v>
                </c:pt>
                <c:pt idx="3">
                  <c:v>Savings</c:v>
                </c:pt>
                <c:pt idx="4">
                  <c:v>Debt</c:v>
                </c:pt>
              </c:strCache>
            </c:strRef>
          </c:cat>
          <c:val>
            <c:numRef>
              <c:f>Example!$O$27:$O$31</c:f>
              <c:numCache>
                <c:formatCode>General</c:formatCode>
                <c:ptCount val="5"/>
                <c:pt idx="0">
                  <c:v>3800</c:v>
                </c:pt>
                <c:pt idx="1">
                  <c:v>1930</c:v>
                </c:pt>
                <c:pt idx="2">
                  <c:v>1000</c:v>
                </c:pt>
                <c:pt idx="3">
                  <c:v>450</c:v>
                </c:pt>
                <c:pt idx="4">
                  <c:v>150</c:v>
                </c:pt>
              </c:numCache>
            </c:numRef>
          </c:val>
          <c:extLst>
            <c:ext xmlns:c16="http://schemas.microsoft.com/office/drawing/2014/chart" uri="{C3380CC4-5D6E-409C-BE32-E72D297353CC}">
              <c16:uniqueId val="{00000000-2D9C-4613-8A6A-763E8716B060}"/>
            </c:ext>
          </c:extLst>
        </c:ser>
        <c:ser>
          <c:idx val="1"/>
          <c:order val="1"/>
          <c:tx>
            <c:strRef>
              <c:f>Example!$P$26</c:f>
              <c:strCache>
                <c:ptCount val="1"/>
                <c:pt idx="0">
                  <c:v>Actual</c:v>
                </c:pt>
              </c:strCache>
            </c:strRef>
          </c:tx>
          <c:spPr>
            <a:solidFill>
              <a:srgbClr val="F5D6DC"/>
            </a:solidFill>
            <a:ln>
              <a:noFill/>
            </a:ln>
            <a:effectLst/>
          </c:spPr>
          <c:invertIfNegative val="0"/>
          <c:dPt>
            <c:idx val="0"/>
            <c:invertIfNegative val="0"/>
            <c:bubble3D val="0"/>
            <c:spPr>
              <a:solidFill>
                <a:srgbClr val="A9C9A9"/>
              </a:solidFill>
              <a:ln>
                <a:noFill/>
              </a:ln>
              <a:effectLst/>
            </c:spPr>
            <c:extLst>
              <c:ext xmlns:c16="http://schemas.microsoft.com/office/drawing/2014/chart" uri="{C3380CC4-5D6E-409C-BE32-E72D297353CC}">
                <c16:uniqueId val="{00000000-A6D1-4520-B3ED-05D883A42FC3}"/>
              </c:ext>
            </c:extLst>
          </c:dPt>
          <c:dPt>
            <c:idx val="1"/>
            <c:invertIfNegative val="0"/>
            <c:bubble3D val="0"/>
            <c:spPr>
              <a:solidFill>
                <a:srgbClr val="9FC3D6"/>
              </a:solidFill>
              <a:ln>
                <a:noFill/>
              </a:ln>
              <a:effectLst/>
            </c:spPr>
            <c:extLst>
              <c:ext xmlns:c16="http://schemas.microsoft.com/office/drawing/2014/chart" uri="{C3380CC4-5D6E-409C-BE32-E72D297353CC}">
                <c16:uniqueId val="{00000001-A6D1-4520-B3ED-05D883A42FC3}"/>
              </c:ext>
            </c:extLst>
          </c:dPt>
          <c:dPt>
            <c:idx val="2"/>
            <c:invertIfNegative val="0"/>
            <c:bubble3D val="0"/>
            <c:spPr>
              <a:solidFill>
                <a:srgbClr val="E8AFC0"/>
              </a:solidFill>
              <a:ln>
                <a:noFill/>
              </a:ln>
              <a:effectLst/>
            </c:spPr>
            <c:extLst>
              <c:ext xmlns:c16="http://schemas.microsoft.com/office/drawing/2014/chart" uri="{C3380CC4-5D6E-409C-BE32-E72D297353CC}">
                <c16:uniqueId val="{00000002-A6D1-4520-B3ED-05D883A42FC3}"/>
              </c:ext>
            </c:extLst>
          </c:dPt>
          <c:dPt>
            <c:idx val="3"/>
            <c:invertIfNegative val="0"/>
            <c:bubble3D val="0"/>
            <c:spPr>
              <a:solidFill>
                <a:srgbClr val="EBD98F"/>
              </a:solidFill>
              <a:ln>
                <a:noFill/>
              </a:ln>
              <a:effectLst/>
            </c:spPr>
            <c:extLst>
              <c:ext xmlns:c16="http://schemas.microsoft.com/office/drawing/2014/chart" uri="{C3380CC4-5D6E-409C-BE32-E72D297353CC}">
                <c16:uniqueId val="{00000003-A6D1-4520-B3ED-05D883A42FC3}"/>
              </c:ext>
            </c:extLst>
          </c:dPt>
          <c:dPt>
            <c:idx val="4"/>
            <c:invertIfNegative val="0"/>
            <c:bubble3D val="0"/>
            <c:spPr>
              <a:solidFill>
                <a:srgbClr val="C7B8E8"/>
              </a:solidFill>
              <a:ln>
                <a:noFill/>
              </a:ln>
              <a:effectLst/>
            </c:spPr>
            <c:extLst>
              <c:ext xmlns:c16="http://schemas.microsoft.com/office/drawing/2014/chart" uri="{C3380CC4-5D6E-409C-BE32-E72D297353CC}">
                <c16:uniqueId val="{00000004-A6D1-4520-B3ED-05D883A42FC3}"/>
              </c:ext>
            </c:extLst>
          </c:dPt>
          <c:cat>
            <c:strRef>
              <c:f>Example!$N$27:$N$31</c:f>
              <c:strCache>
                <c:ptCount val="5"/>
                <c:pt idx="0">
                  <c:v>Income</c:v>
                </c:pt>
                <c:pt idx="1">
                  <c:v>Bills</c:v>
                </c:pt>
                <c:pt idx="2">
                  <c:v>Expenses</c:v>
                </c:pt>
                <c:pt idx="3">
                  <c:v>Savings</c:v>
                </c:pt>
                <c:pt idx="4">
                  <c:v>Debt</c:v>
                </c:pt>
              </c:strCache>
            </c:strRef>
          </c:cat>
          <c:val>
            <c:numRef>
              <c:f>Example!$P$27:$P$31</c:f>
              <c:numCache>
                <c:formatCode>General</c:formatCode>
                <c:ptCount val="5"/>
                <c:pt idx="0">
                  <c:v>3850</c:v>
                </c:pt>
                <c:pt idx="1">
                  <c:v>1942.97</c:v>
                </c:pt>
                <c:pt idx="2">
                  <c:v>1049</c:v>
                </c:pt>
                <c:pt idx="3">
                  <c:v>475</c:v>
                </c:pt>
                <c:pt idx="4">
                  <c:v>150</c:v>
                </c:pt>
              </c:numCache>
            </c:numRef>
          </c:val>
          <c:extLst>
            <c:ext xmlns:c16="http://schemas.microsoft.com/office/drawing/2014/chart" uri="{C3380CC4-5D6E-409C-BE32-E72D297353CC}">
              <c16:uniqueId val="{00000001-2D9C-4613-8A6A-763E8716B060}"/>
            </c:ext>
          </c:extLst>
        </c:ser>
        <c:dLbls>
          <c:showLegendKey val="0"/>
          <c:showVal val="0"/>
          <c:showCatName val="0"/>
          <c:showSerName val="0"/>
          <c:showPercent val="0"/>
          <c:showBubbleSize val="0"/>
        </c:dLbls>
        <c:gapWidth val="219"/>
        <c:overlap val="-27"/>
        <c:axId val="808779280"/>
        <c:axId val="808773880"/>
      </c:barChart>
      <c:catAx>
        <c:axId val="80877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08773880"/>
        <c:crosses val="autoZero"/>
        <c:auto val="1"/>
        <c:lblAlgn val="ctr"/>
        <c:lblOffset val="100"/>
        <c:noMultiLvlLbl val="0"/>
      </c:catAx>
      <c:valAx>
        <c:axId val="80877388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08779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D8D3CC"/>
      </a:solidFill>
      <a:prstDash val="solid"/>
      <a:round/>
    </a:ln>
    <a:effectLst/>
  </c:spPr>
  <c:txPr>
    <a:bodyPr/>
    <a:lstStyle/>
    <a:p>
      <a:pPr>
        <a:defRPr/>
      </a:pPr>
      <a:endParaRPr lang="nl-N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r>
              <a:rPr lang="en-US"/>
              <a:t>SPENDING SNAPSHOT</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endParaRPr lang="nl-NL"/>
        </a:p>
      </c:txPr>
    </c:title>
    <c:autoTitleDeleted val="0"/>
    <c:plotArea>
      <c:layout/>
      <c:doughnutChart>
        <c:varyColors val="1"/>
        <c:ser>
          <c:idx val="0"/>
          <c:order val="0"/>
          <c:dPt>
            <c:idx val="0"/>
            <c:bubble3D val="0"/>
            <c:spPr>
              <a:solidFill>
                <a:srgbClr val="A9C9A9"/>
              </a:solidFill>
              <a:ln w="19050">
                <a:solidFill>
                  <a:schemeClr val="lt1"/>
                </a:solidFill>
              </a:ln>
              <a:effectLst/>
            </c:spPr>
            <c:extLst>
              <c:ext xmlns:c16="http://schemas.microsoft.com/office/drawing/2014/chart" uri="{C3380CC4-5D6E-409C-BE32-E72D297353CC}">
                <c16:uniqueId val="{00000001-A48B-4144-AFE6-08CCFBFAE43F}"/>
              </c:ext>
            </c:extLst>
          </c:dPt>
          <c:dPt>
            <c:idx val="1"/>
            <c:bubble3D val="0"/>
            <c:spPr>
              <a:solidFill>
                <a:srgbClr val="EFE9DD"/>
              </a:solidFill>
              <a:ln w="19050">
                <a:solidFill>
                  <a:schemeClr val="lt1"/>
                </a:solidFill>
              </a:ln>
              <a:effectLst/>
            </c:spPr>
            <c:extLst>
              <c:ext xmlns:c16="http://schemas.microsoft.com/office/drawing/2014/chart" uri="{C3380CC4-5D6E-409C-BE32-E72D297353CC}">
                <c16:uniqueId val="{00000002-A48B-4144-AFE6-08CCFBFAE43F}"/>
              </c:ext>
            </c:extLst>
          </c:dPt>
          <c:cat>
            <c:strRef>
              <c:f>'Paycheck Budget'!$N$4:$N$5</c:f>
              <c:strCache>
                <c:ptCount val="2"/>
                <c:pt idx="0">
                  <c:v>Left to Spend</c:v>
                </c:pt>
                <c:pt idx="1">
                  <c:v>Spent</c:v>
                </c:pt>
              </c:strCache>
            </c:strRef>
          </c:cat>
          <c:val>
            <c:numRef>
              <c:f>'Paycheck Budget'!$O$4:$O$5</c:f>
              <c:numCache>
                <c:formatCode>[$$-409]#,##0.00;\([$$-409]#,##0.00\);"-"</c:formatCode>
                <c:ptCount val="2"/>
                <c:pt idx="0">
                  <c:v>0</c:v>
                </c:pt>
                <c:pt idx="1">
                  <c:v>0</c:v>
                </c:pt>
              </c:numCache>
            </c:numRef>
          </c:val>
          <c:extLst>
            <c:ext xmlns:c16="http://schemas.microsoft.com/office/drawing/2014/chart" uri="{C3380CC4-5D6E-409C-BE32-E72D297353CC}">
              <c16:uniqueId val="{00000000-A48B-4144-AFE6-08CCFBFAE43F}"/>
            </c:ext>
          </c:extLst>
        </c:ser>
        <c:dLbls>
          <c:showLegendKey val="0"/>
          <c:showVal val="0"/>
          <c:showCatName val="0"/>
          <c:showSerName val="0"/>
          <c:showPercent val="0"/>
          <c:showBubbleSize val="0"/>
          <c:showLeaderLines val="1"/>
        </c:dLbls>
        <c:firstSliceAng val="0"/>
        <c:holeSize val="75"/>
      </c:doughnutChart>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D8D3CC"/>
      </a:solidFill>
      <a:prstDash val="solid"/>
      <a:round/>
    </a:ln>
    <a:effectLst/>
  </c:spPr>
  <c:txPr>
    <a:bodyPr/>
    <a:lstStyle/>
    <a:p>
      <a:pPr>
        <a:defRPr/>
      </a:pPr>
      <a:endParaRPr lang="nl-N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r>
              <a:rPr lang="en-US"/>
              <a:t>ALLOCATION BREAKDOWN</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endParaRPr lang="nl-NL"/>
        </a:p>
      </c:txPr>
    </c:title>
    <c:autoTitleDeleted val="0"/>
    <c:plotArea>
      <c:layout/>
      <c:pieChart>
        <c:varyColors val="1"/>
        <c:ser>
          <c:idx val="0"/>
          <c:order val="0"/>
          <c:dPt>
            <c:idx val="0"/>
            <c:bubble3D val="0"/>
            <c:spPr>
              <a:solidFill>
                <a:srgbClr val="9FC3D6"/>
              </a:solidFill>
              <a:ln w="19050">
                <a:solidFill>
                  <a:schemeClr val="lt1"/>
                </a:solidFill>
              </a:ln>
              <a:effectLst/>
            </c:spPr>
            <c:extLst>
              <c:ext xmlns:c16="http://schemas.microsoft.com/office/drawing/2014/chart" uri="{C3380CC4-5D6E-409C-BE32-E72D297353CC}">
                <c16:uniqueId val="{00000001-FC8F-4948-9801-D44E94E1D6C8}"/>
              </c:ext>
            </c:extLst>
          </c:dPt>
          <c:dPt>
            <c:idx val="1"/>
            <c:bubble3D val="0"/>
            <c:spPr>
              <a:solidFill>
                <a:srgbClr val="E8AFC0"/>
              </a:solidFill>
              <a:ln w="19050">
                <a:solidFill>
                  <a:schemeClr val="lt1"/>
                </a:solidFill>
              </a:ln>
              <a:effectLst/>
            </c:spPr>
            <c:extLst>
              <c:ext xmlns:c16="http://schemas.microsoft.com/office/drawing/2014/chart" uri="{C3380CC4-5D6E-409C-BE32-E72D297353CC}">
                <c16:uniqueId val="{00000002-FC8F-4948-9801-D44E94E1D6C8}"/>
              </c:ext>
            </c:extLst>
          </c:dPt>
          <c:dPt>
            <c:idx val="2"/>
            <c:bubble3D val="0"/>
            <c:spPr>
              <a:solidFill>
                <a:srgbClr val="EBD98F"/>
              </a:solidFill>
              <a:ln w="19050">
                <a:solidFill>
                  <a:schemeClr val="lt1"/>
                </a:solidFill>
              </a:ln>
              <a:effectLst/>
            </c:spPr>
            <c:extLst>
              <c:ext xmlns:c16="http://schemas.microsoft.com/office/drawing/2014/chart" uri="{C3380CC4-5D6E-409C-BE32-E72D297353CC}">
                <c16:uniqueId val="{00000003-FC8F-4948-9801-D44E94E1D6C8}"/>
              </c:ext>
            </c:extLst>
          </c:dPt>
          <c:dPt>
            <c:idx val="3"/>
            <c:bubble3D val="0"/>
            <c:spPr>
              <a:solidFill>
                <a:srgbClr val="C7B8E8"/>
              </a:solidFill>
              <a:ln w="19050">
                <a:solidFill>
                  <a:schemeClr val="lt1"/>
                </a:solidFill>
              </a:ln>
              <a:effectLst/>
            </c:spPr>
            <c:extLst>
              <c:ext xmlns:c16="http://schemas.microsoft.com/office/drawing/2014/chart" uri="{C3380CC4-5D6E-409C-BE32-E72D297353CC}">
                <c16:uniqueId val="{00000004-FC8F-4948-9801-D44E94E1D6C8}"/>
              </c:ext>
            </c:extLst>
          </c:dPt>
          <c:dPt>
            <c:idx val="4"/>
            <c:bubble3D val="0"/>
            <c:spPr>
              <a:solidFill>
                <a:srgbClr val="A9C9A9"/>
              </a:solidFill>
              <a:ln w="19050">
                <a:solidFill>
                  <a:schemeClr val="lt1"/>
                </a:solidFill>
              </a:ln>
              <a:effectLst/>
            </c:spPr>
            <c:extLst>
              <c:ext xmlns:c16="http://schemas.microsoft.com/office/drawing/2014/chart" uri="{C3380CC4-5D6E-409C-BE32-E72D297353CC}">
                <c16:uniqueId val="{00000005-FC8F-4948-9801-D44E94E1D6C8}"/>
              </c:ext>
            </c:extLst>
          </c:dPt>
          <c:cat>
            <c:strRef>
              <c:f>'Paycheck Budget'!$N$8:$N$12</c:f>
              <c:strCache>
                <c:ptCount val="5"/>
                <c:pt idx="0">
                  <c:v>Bills</c:v>
                </c:pt>
                <c:pt idx="1">
                  <c:v>Expenses</c:v>
                </c:pt>
                <c:pt idx="2">
                  <c:v>Savings</c:v>
                </c:pt>
                <c:pt idx="3">
                  <c:v>Debt</c:v>
                </c:pt>
                <c:pt idx="4">
                  <c:v>Left to Spend</c:v>
                </c:pt>
              </c:strCache>
            </c:strRef>
          </c:cat>
          <c:val>
            <c:numRef>
              <c:f>'Paycheck Budget'!$O$8:$O$12</c:f>
              <c:numCache>
                <c:formatCode>[$$-409]#,##0.00;\([$$-409]#,##0.00\);"-"</c:formatCode>
                <c:ptCount val="5"/>
                <c:pt idx="0">
                  <c:v>0</c:v>
                </c:pt>
                <c:pt idx="1">
                  <c:v>0</c:v>
                </c:pt>
                <c:pt idx="2">
                  <c:v>0</c:v>
                </c:pt>
                <c:pt idx="3">
                  <c:v>0</c:v>
                </c:pt>
                <c:pt idx="4">
                  <c:v>0</c:v>
                </c:pt>
              </c:numCache>
            </c:numRef>
          </c:val>
          <c:extLst>
            <c:ext xmlns:c16="http://schemas.microsoft.com/office/drawing/2014/chart" uri="{C3380CC4-5D6E-409C-BE32-E72D297353CC}">
              <c16:uniqueId val="{00000000-FC8F-4948-9801-D44E94E1D6C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D8D3CC"/>
      </a:solidFill>
      <a:prstDash val="solid"/>
      <a:round/>
    </a:ln>
    <a:effectLst/>
  </c:spPr>
  <c:txPr>
    <a:bodyPr/>
    <a:lstStyle/>
    <a:p>
      <a:pPr>
        <a:defRPr/>
      </a:pPr>
      <a:endParaRPr lang="nl-N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r>
              <a:rPr lang="en-US"/>
              <a:t>EXPENSE BREAKDOWN</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endParaRPr lang="nl-NL"/>
        </a:p>
      </c:txPr>
    </c:title>
    <c:autoTitleDeleted val="0"/>
    <c:plotArea>
      <c:layout/>
      <c:barChart>
        <c:barDir val="bar"/>
        <c:grouping val="clustered"/>
        <c:varyColors val="0"/>
        <c:ser>
          <c:idx val="0"/>
          <c:order val="0"/>
          <c:tx>
            <c:strRef>
              <c:f>'Paycheck Budget'!$O$15</c:f>
              <c:strCache>
                <c:ptCount val="1"/>
                <c:pt idx="0">
                  <c:v>Actual</c:v>
                </c:pt>
              </c:strCache>
            </c:strRef>
          </c:tx>
          <c:spPr>
            <a:solidFill>
              <a:srgbClr val="E8AFC0"/>
            </a:solidFill>
            <a:ln>
              <a:noFill/>
            </a:ln>
            <a:effectLst/>
          </c:spPr>
          <c:invertIfNegative val="0"/>
          <c:cat>
            <c:strRef>
              <c:f>'Paycheck Budget'!$N$16:$N$23</c:f>
              <c:strCache>
                <c:ptCount val="8"/>
                <c:pt idx="0">
                  <c:v>Groceries</c:v>
                </c:pt>
                <c:pt idx="1">
                  <c:v>Dining Out</c:v>
                </c:pt>
                <c:pt idx="2">
                  <c:v>Transportation</c:v>
                </c:pt>
                <c:pt idx="3">
                  <c:v>Entertainment</c:v>
                </c:pt>
                <c:pt idx="4">
                  <c:v>Shopping</c:v>
                </c:pt>
                <c:pt idx="5">
                  <c:v>Personal Care</c:v>
                </c:pt>
                <c:pt idx="6">
                  <c:v>Household Supplies</c:v>
                </c:pt>
                <c:pt idx="7">
                  <c:v>Miscellaneous</c:v>
                </c:pt>
              </c:strCache>
            </c:strRef>
          </c:cat>
          <c:val>
            <c:numRef>
              <c:f>'Paycheck Budget'!$O$16:$O$23</c:f>
              <c:numCache>
                <c:formatCode>[$$-409]#,##0.00;\([$$-409]#,##0.00\);"-"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FD7A-473F-B83A-0D6DC5F1BBA6}"/>
            </c:ext>
          </c:extLst>
        </c:ser>
        <c:dLbls>
          <c:showLegendKey val="0"/>
          <c:showVal val="0"/>
          <c:showCatName val="0"/>
          <c:showSerName val="0"/>
          <c:showPercent val="0"/>
          <c:showBubbleSize val="0"/>
        </c:dLbls>
        <c:gapWidth val="182"/>
        <c:axId val="517906984"/>
        <c:axId val="517905904"/>
      </c:barChart>
      <c:catAx>
        <c:axId val="517906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517905904"/>
        <c:crosses val="autoZero"/>
        <c:auto val="1"/>
        <c:lblAlgn val="ctr"/>
        <c:lblOffset val="100"/>
        <c:noMultiLvlLbl val="0"/>
      </c:catAx>
      <c:valAx>
        <c:axId val="517905904"/>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409]#,##0.00;\([$$-409]#,##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517906984"/>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D8D3CC"/>
      </a:solidFill>
      <a:prstDash val="solid"/>
      <a:round/>
    </a:ln>
    <a:effectLst/>
  </c:spPr>
  <c:txPr>
    <a:bodyPr/>
    <a:lstStyle/>
    <a:p>
      <a:pPr>
        <a:defRPr/>
      </a:pPr>
      <a:endParaRPr lang="nl-N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r>
              <a:rPr lang="en-US"/>
              <a:t>BUDGET VS ACTUAL</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endParaRPr lang="nl-NL"/>
        </a:p>
      </c:txPr>
    </c:title>
    <c:autoTitleDeleted val="0"/>
    <c:plotArea>
      <c:layout/>
      <c:barChart>
        <c:barDir val="col"/>
        <c:grouping val="clustered"/>
        <c:varyColors val="0"/>
        <c:ser>
          <c:idx val="0"/>
          <c:order val="0"/>
          <c:tx>
            <c:strRef>
              <c:f>'Paycheck Budget'!$O$26</c:f>
              <c:strCache>
                <c:ptCount val="1"/>
                <c:pt idx="0">
                  <c:v>Budget</c:v>
                </c:pt>
              </c:strCache>
            </c:strRef>
          </c:tx>
          <c:spPr>
            <a:solidFill>
              <a:srgbClr val="D8D3CC"/>
            </a:solidFill>
            <a:ln>
              <a:noFill/>
            </a:ln>
            <a:effectLst/>
          </c:spPr>
          <c:invertIfNegative val="0"/>
          <c:cat>
            <c:strRef>
              <c:f>'Paycheck Budget'!$N$27:$N$31</c:f>
              <c:strCache>
                <c:ptCount val="5"/>
                <c:pt idx="0">
                  <c:v>Income</c:v>
                </c:pt>
                <c:pt idx="1">
                  <c:v>Bills</c:v>
                </c:pt>
                <c:pt idx="2">
                  <c:v>Expenses</c:v>
                </c:pt>
                <c:pt idx="3">
                  <c:v>Savings</c:v>
                </c:pt>
                <c:pt idx="4">
                  <c:v>Debt</c:v>
                </c:pt>
              </c:strCache>
            </c:strRef>
          </c:cat>
          <c:val>
            <c:numRef>
              <c:f>'Paycheck Budget'!$O$27:$O$31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8279-46DC-B6F2-5ED1612F0099}"/>
            </c:ext>
          </c:extLst>
        </c:ser>
        <c:ser>
          <c:idx val="1"/>
          <c:order val="1"/>
          <c:tx>
            <c:strRef>
              <c:f>'Paycheck Budget'!$P$26</c:f>
              <c:strCache>
                <c:ptCount val="1"/>
                <c:pt idx="0">
                  <c:v>Actual</c:v>
                </c:pt>
              </c:strCache>
            </c:strRef>
          </c:tx>
          <c:spPr>
            <a:solidFill>
              <a:srgbClr val="F5D6DC"/>
            </a:solidFill>
            <a:ln>
              <a:noFill/>
            </a:ln>
            <a:effectLst/>
          </c:spPr>
          <c:invertIfNegative val="0"/>
          <c:dPt>
            <c:idx val="0"/>
            <c:invertIfNegative val="0"/>
            <c:bubble3D val="0"/>
            <c:spPr>
              <a:solidFill>
                <a:srgbClr val="A9C9A9"/>
              </a:solidFill>
              <a:ln>
                <a:noFill/>
              </a:ln>
              <a:effectLst/>
            </c:spPr>
            <c:extLst>
              <c:ext xmlns:c16="http://schemas.microsoft.com/office/drawing/2014/chart" uri="{C3380CC4-5D6E-409C-BE32-E72D297353CC}">
                <c16:uniqueId val="{00000000-BDA4-47A3-983C-89A2C2E381EF}"/>
              </c:ext>
            </c:extLst>
          </c:dPt>
          <c:dPt>
            <c:idx val="1"/>
            <c:invertIfNegative val="0"/>
            <c:bubble3D val="0"/>
            <c:spPr>
              <a:solidFill>
                <a:srgbClr val="9FC3D6"/>
              </a:solidFill>
              <a:ln>
                <a:noFill/>
              </a:ln>
              <a:effectLst/>
            </c:spPr>
            <c:extLst>
              <c:ext xmlns:c16="http://schemas.microsoft.com/office/drawing/2014/chart" uri="{C3380CC4-5D6E-409C-BE32-E72D297353CC}">
                <c16:uniqueId val="{00000001-BDA4-47A3-983C-89A2C2E381EF}"/>
              </c:ext>
            </c:extLst>
          </c:dPt>
          <c:dPt>
            <c:idx val="2"/>
            <c:invertIfNegative val="0"/>
            <c:bubble3D val="0"/>
            <c:spPr>
              <a:solidFill>
                <a:srgbClr val="E8AFC0"/>
              </a:solidFill>
              <a:ln>
                <a:noFill/>
              </a:ln>
              <a:effectLst/>
            </c:spPr>
            <c:extLst>
              <c:ext xmlns:c16="http://schemas.microsoft.com/office/drawing/2014/chart" uri="{C3380CC4-5D6E-409C-BE32-E72D297353CC}">
                <c16:uniqueId val="{00000002-BDA4-47A3-983C-89A2C2E381EF}"/>
              </c:ext>
            </c:extLst>
          </c:dPt>
          <c:dPt>
            <c:idx val="3"/>
            <c:invertIfNegative val="0"/>
            <c:bubble3D val="0"/>
            <c:spPr>
              <a:solidFill>
                <a:srgbClr val="EBD98F"/>
              </a:solidFill>
              <a:ln>
                <a:noFill/>
              </a:ln>
              <a:effectLst/>
            </c:spPr>
            <c:extLst>
              <c:ext xmlns:c16="http://schemas.microsoft.com/office/drawing/2014/chart" uri="{C3380CC4-5D6E-409C-BE32-E72D297353CC}">
                <c16:uniqueId val="{00000003-BDA4-47A3-983C-89A2C2E381EF}"/>
              </c:ext>
            </c:extLst>
          </c:dPt>
          <c:dPt>
            <c:idx val="4"/>
            <c:invertIfNegative val="0"/>
            <c:bubble3D val="0"/>
            <c:spPr>
              <a:solidFill>
                <a:srgbClr val="C7B8E8"/>
              </a:solidFill>
              <a:ln>
                <a:noFill/>
              </a:ln>
              <a:effectLst/>
            </c:spPr>
            <c:extLst>
              <c:ext xmlns:c16="http://schemas.microsoft.com/office/drawing/2014/chart" uri="{C3380CC4-5D6E-409C-BE32-E72D297353CC}">
                <c16:uniqueId val="{00000004-BDA4-47A3-983C-89A2C2E381EF}"/>
              </c:ext>
            </c:extLst>
          </c:dPt>
          <c:cat>
            <c:strRef>
              <c:f>'Paycheck Budget'!$N$27:$N$31</c:f>
              <c:strCache>
                <c:ptCount val="5"/>
                <c:pt idx="0">
                  <c:v>Income</c:v>
                </c:pt>
                <c:pt idx="1">
                  <c:v>Bills</c:v>
                </c:pt>
                <c:pt idx="2">
                  <c:v>Expenses</c:v>
                </c:pt>
                <c:pt idx="3">
                  <c:v>Savings</c:v>
                </c:pt>
                <c:pt idx="4">
                  <c:v>Debt</c:v>
                </c:pt>
              </c:strCache>
            </c:strRef>
          </c:cat>
          <c:val>
            <c:numRef>
              <c:f>'Paycheck Budget'!$P$27:$P$31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8279-46DC-B6F2-5ED1612F0099}"/>
            </c:ext>
          </c:extLst>
        </c:ser>
        <c:dLbls>
          <c:showLegendKey val="0"/>
          <c:showVal val="0"/>
          <c:showCatName val="0"/>
          <c:showSerName val="0"/>
          <c:showPercent val="0"/>
          <c:showBubbleSize val="0"/>
        </c:dLbls>
        <c:gapWidth val="219"/>
        <c:overlap val="-27"/>
        <c:axId val="696412128"/>
        <c:axId val="696416448"/>
      </c:barChart>
      <c:catAx>
        <c:axId val="69641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96416448"/>
        <c:crosses val="autoZero"/>
        <c:auto val="1"/>
        <c:lblAlgn val="ctr"/>
        <c:lblOffset val="100"/>
        <c:noMultiLvlLbl val="0"/>
      </c:catAx>
      <c:valAx>
        <c:axId val="69641644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96412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D8D3CC"/>
      </a:solidFill>
      <a:prstDash val="solid"/>
      <a:round/>
    </a:ln>
    <a:effectLst/>
  </c:spPr>
  <c:txPr>
    <a:bodyPr/>
    <a:lstStyle/>
    <a:p>
      <a:pPr>
        <a:defRPr/>
      </a:pPr>
      <a:endParaRPr lang="nl-N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r>
              <a:rPr lang="en-US"/>
              <a:t>SPENDING SNAPSHOT</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endParaRPr lang="nl-NL"/>
        </a:p>
      </c:txPr>
    </c:title>
    <c:autoTitleDeleted val="0"/>
    <c:plotArea>
      <c:layout/>
      <c:doughnutChart>
        <c:varyColors val="1"/>
        <c:ser>
          <c:idx val="0"/>
          <c:order val="0"/>
          <c:dPt>
            <c:idx val="0"/>
            <c:bubble3D val="0"/>
            <c:spPr>
              <a:solidFill>
                <a:srgbClr val="A9C9A9"/>
              </a:solidFill>
              <a:ln w="19050">
                <a:solidFill>
                  <a:schemeClr val="lt1"/>
                </a:solidFill>
              </a:ln>
              <a:effectLst/>
            </c:spPr>
            <c:extLst>
              <c:ext xmlns:c16="http://schemas.microsoft.com/office/drawing/2014/chart" uri="{C3380CC4-5D6E-409C-BE32-E72D297353CC}">
                <c16:uniqueId val="{00000001-A8D1-4EB0-B432-6A58266F5875}"/>
              </c:ext>
            </c:extLst>
          </c:dPt>
          <c:dPt>
            <c:idx val="1"/>
            <c:bubble3D val="0"/>
            <c:spPr>
              <a:solidFill>
                <a:srgbClr val="EFE9DD"/>
              </a:solidFill>
              <a:ln w="19050">
                <a:solidFill>
                  <a:schemeClr val="lt1"/>
                </a:solidFill>
              </a:ln>
              <a:effectLst/>
            </c:spPr>
            <c:extLst>
              <c:ext xmlns:c16="http://schemas.microsoft.com/office/drawing/2014/chart" uri="{C3380CC4-5D6E-409C-BE32-E72D297353CC}">
                <c16:uniqueId val="{00000003-A8D1-4EB0-B432-6A58266F5875}"/>
              </c:ext>
            </c:extLst>
          </c:dPt>
          <c:cat>
            <c:strRef>
              <c:f>'Flexible Income Budget'!$N$4:$N$5</c:f>
              <c:strCache>
                <c:ptCount val="2"/>
                <c:pt idx="0">
                  <c:v>Left to Spend</c:v>
                </c:pt>
                <c:pt idx="1">
                  <c:v>Spent</c:v>
                </c:pt>
              </c:strCache>
            </c:strRef>
          </c:cat>
          <c:val>
            <c:numRef>
              <c:f>'Flexible Income Budget'!$O$4:$O$5</c:f>
              <c:numCache>
                <c:formatCode>[$$-409]#,##0.00;\([$$-409]#,##0.00\);"-"</c:formatCode>
                <c:ptCount val="2"/>
                <c:pt idx="0">
                  <c:v>0</c:v>
                </c:pt>
                <c:pt idx="1">
                  <c:v>0</c:v>
                </c:pt>
              </c:numCache>
            </c:numRef>
          </c:val>
          <c:extLst>
            <c:ext xmlns:c16="http://schemas.microsoft.com/office/drawing/2014/chart" uri="{C3380CC4-5D6E-409C-BE32-E72D297353CC}">
              <c16:uniqueId val="{00000004-A8D1-4EB0-B432-6A58266F5875}"/>
            </c:ext>
          </c:extLst>
        </c:ser>
        <c:dLbls>
          <c:showLegendKey val="0"/>
          <c:showVal val="0"/>
          <c:showCatName val="0"/>
          <c:showSerName val="0"/>
          <c:showPercent val="0"/>
          <c:showBubbleSize val="0"/>
          <c:showLeaderLines val="1"/>
        </c:dLbls>
        <c:firstSliceAng val="0"/>
        <c:holeSize val="75"/>
      </c:doughnutChart>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D8D3CC"/>
      </a:solidFill>
      <a:prstDash val="solid"/>
      <a:round/>
    </a:ln>
    <a:effectLst/>
  </c:spPr>
  <c:txPr>
    <a:bodyPr/>
    <a:lstStyle/>
    <a:p>
      <a:pPr>
        <a:defRPr/>
      </a:pPr>
      <a:endParaRPr lang="nl-N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r>
              <a:rPr lang="en-US"/>
              <a:t>ALLOCATION BREAKDOWN</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endParaRPr lang="nl-NL"/>
        </a:p>
      </c:txPr>
    </c:title>
    <c:autoTitleDeleted val="0"/>
    <c:plotArea>
      <c:layout/>
      <c:pieChart>
        <c:varyColors val="1"/>
        <c:ser>
          <c:idx val="0"/>
          <c:order val="0"/>
          <c:dPt>
            <c:idx val="0"/>
            <c:bubble3D val="0"/>
            <c:spPr>
              <a:solidFill>
                <a:srgbClr val="9FC3D6"/>
              </a:solidFill>
              <a:ln w="19050">
                <a:solidFill>
                  <a:schemeClr val="lt1"/>
                </a:solidFill>
              </a:ln>
              <a:effectLst/>
            </c:spPr>
            <c:extLst>
              <c:ext xmlns:c16="http://schemas.microsoft.com/office/drawing/2014/chart" uri="{C3380CC4-5D6E-409C-BE32-E72D297353CC}">
                <c16:uniqueId val="{00000001-83A6-4478-A45C-967098D2048F}"/>
              </c:ext>
            </c:extLst>
          </c:dPt>
          <c:dPt>
            <c:idx val="1"/>
            <c:bubble3D val="0"/>
            <c:spPr>
              <a:solidFill>
                <a:srgbClr val="E8AFC0"/>
              </a:solidFill>
              <a:ln w="19050">
                <a:solidFill>
                  <a:schemeClr val="lt1"/>
                </a:solidFill>
              </a:ln>
              <a:effectLst/>
            </c:spPr>
            <c:extLst>
              <c:ext xmlns:c16="http://schemas.microsoft.com/office/drawing/2014/chart" uri="{C3380CC4-5D6E-409C-BE32-E72D297353CC}">
                <c16:uniqueId val="{00000003-83A6-4478-A45C-967098D2048F}"/>
              </c:ext>
            </c:extLst>
          </c:dPt>
          <c:dPt>
            <c:idx val="2"/>
            <c:bubble3D val="0"/>
            <c:spPr>
              <a:solidFill>
                <a:srgbClr val="EBD98F"/>
              </a:solidFill>
              <a:ln w="19050">
                <a:solidFill>
                  <a:schemeClr val="lt1"/>
                </a:solidFill>
              </a:ln>
              <a:effectLst/>
            </c:spPr>
            <c:extLst>
              <c:ext xmlns:c16="http://schemas.microsoft.com/office/drawing/2014/chart" uri="{C3380CC4-5D6E-409C-BE32-E72D297353CC}">
                <c16:uniqueId val="{00000005-83A6-4478-A45C-967098D2048F}"/>
              </c:ext>
            </c:extLst>
          </c:dPt>
          <c:dPt>
            <c:idx val="3"/>
            <c:bubble3D val="0"/>
            <c:spPr>
              <a:solidFill>
                <a:srgbClr val="C7B8E8"/>
              </a:solidFill>
              <a:ln w="19050">
                <a:solidFill>
                  <a:schemeClr val="lt1"/>
                </a:solidFill>
              </a:ln>
              <a:effectLst/>
            </c:spPr>
            <c:extLst>
              <c:ext xmlns:c16="http://schemas.microsoft.com/office/drawing/2014/chart" uri="{C3380CC4-5D6E-409C-BE32-E72D297353CC}">
                <c16:uniqueId val="{00000007-83A6-4478-A45C-967098D2048F}"/>
              </c:ext>
            </c:extLst>
          </c:dPt>
          <c:dPt>
            <c:idx val="4"/>
            <c:bubble3D val="0"/>
            <c:spPr>
              <a:solidFill>
                <a:srgbClr val="A9C9A9"/>
              </a:solidFill>
              <a:ln w="19050">
                <a:solidFill>
                  <a:schemeClr val="lt1"/>
                </a:solidFill>
              </a:ln>
              <a:effectLst/>
            </c:spPr>
            <c:extLst>
              <c:ext xmlns:c16="http://schemas.microsoft.com/office/drawing/2014/chart" uri="{C3380CC4-5D6E-409C-BE32-E72D297353CC}">
                <c16:uniqueId val="{00000009-83A6-4478-A45C-967098D2048F}"/>
              </c:ext>
            </c:extLst>
          </c:dPt>
          <c:cat>
            <c:strRef>
              <c:f>'Flexible Income Budget'!$N$8:$N$12</c:f>
              <c:strCache>
                <c:ptCount val="5"/>
                <c:pt idx="0">
                  <c:v>Bills</c:v>
                </c:pt>
                <c:pt idx="1">
                  <c:v>Expenses</c:v>
                </c:pt>
                <c:pt idx="2">
                  <c:v>Savings</c:v>
                </c:pt>
                <c:pt idx="3">
                  <c:v>Debt</c:v>
                </c:pt>
                <c:pt idx="4">
                  <c:v>Left to Spend</c:v>
                </c:pt>
              </c:strCache>
            </c:strRef>
          </c:cat>
          <c:val>
            <c:numRef>
              <c:f>'Flexible Income Budget'!$O$8:$O$12</c:f>
              <c:numCache>
                <c:formatCode>[$$-409]#,##0.00;\([$$-409]#,##0.00\);"-"</c:formatCode>
                <c:ptCount val="5"/>
                <c:pt idx="0">
                  <c:v>0</c:v>
                </c:pt>
                <c:pt idx="1">
                  <c:v>0</c:v>
                </c:pt>
                <c:pt idx="2">
                  <c:v>0</c:v>
                </c:pt>
                <c:pt idx="3">
                  <c:v>0</c:v>
                </c:pt>
                <c:pt idx="4">
                  <c:v>0</c:v>
                </c:pt>
              </c:numCache>
            </c:numRef>
          </c:val>
          <c:extLst>
            <c:ext xmlns:c16="http://schemas.microsoft.com/office/drawing/2014/chart" uri="{C3380CC4-5D6E-409C-BE32-E72D297353CC}">
              <c16:uniqueId val="{0000000A-83A6-4478-A45C-967098D2048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D8D3CC"/>
      </a:solidFill>
      <a:prstDash val="solid"/>
      <a:round/>
    </a:ln>
    <a:effectLst/>
  </c:spPr>
  <c:txPr>
    <a:bodyPr/>
    <a:lstStyle/>
    <a:p>
      <a:pPr>
        <a:defRPr/>
      </a:pPr>
      <a:endParaRPr lang="nl-N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r>
              <a:rPr lang="en-US"/>
              <a:t>EXPENSE BREAKDOWN</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endParaRPr lang="nl-NL"/>
        </a:p>
      </c:txPr>
    </c:title>
    <c:autoTitleDeleted val="0"/>
    <c:plotArea>
      <c:layout/>
      <c:barChart>
        <c:barDir val="bar"/>
        <c:grouping val="clustered"/>
        <c:varyColors val="0"/>
        <c:ser>
          <c:idx val="0"/>
          <c:order val="0"/>
          <c:tx>
            <c:strRef>
              <c:f>'Flexible Income Budget'!$O$15</c:f>
              <c:strCache>
                <c:ptCount val="1"/>
                <c:pt idx="0">
                  <c:v>Actual</c:v>
                </c:pt>
              </c:strCache>
            </c:strRef>
          </c:tx>
          <c:spPr>
            <a:solidFill>
              <a:srgbClr val="E8AFC0"/>
            </a:solidFill>
            <a:ln>
              <a:noFill/>
            </a:ln>
            <a:effectLst/>
          </c:spPr>
          <c:invertIfNegative val="0"/>
          <c:cat>
            <c:strRef>
              <c:f>'Flexible Income Budget'!$N$16:$N$23</c:f>
              <c:strCache>
                <c:ptCount val="8"/>
                <c:pt idx="0">
                  <c:v>Groceries</c:v>
                </c:pt>
                <c:pt idx="1">
                  <c:v>Dining Out</c:v>
                </c:pt>
                <c:pt idx="2">
                  <c:v>Transportation</c:v>
                </c:pt>
                <c:pt idx="3">
                  <c:v>Entertainment</c:v>
                </c:pt>
                <c:pt idx="4">
                  <c:v>Shopping</c:v>
                </c:pt>
                <c:pt idx="5">
                  <c:v>Personal Care</c:v>
                </c:pt>
                <c:pt idx="6">
                  <c:v>Household Supplies</c:v>
                </c:pt>
                <c:pt idx="7">
                  <c:v>Miscellaneous</c:v>
                </c:pt>
              </c:strCache>
            </c:strRef>
          </c:cat>
          <c:val>
            <c:numRef>
              <c:f>'Flexible Income Budget'!$O$16:$O$23</c:f>
              <c:numCache>
                <c:formatCode>[$$-409]#,##0.00;\([$$-409]#,##0.00\);"-"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72D3-4CE0-85C9-E6EE8D406B57}"/>
            </c:ext>
          </c:extLst>
        </c:ser>
        <c:dLbls>
          <c:showLegendKey val="0"/>
          <c:showVal val="0"/>
          <c:showCatName val="0"/>
          <c:showSerName val="0"/>
          <c:showPercent val="0"/>
          <c:showBubbleSize val="0"/>
        </c:dLbls>
        <c:gapWidth val="182"/>
        <c:axId val="517906984"/>
        <c:axId val="517905904"/>
      </c:barChart>
      <c:catAx>
        <c:axId val="517906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517905904"/>
        <c:crosses val="autoZero"/>
        <c:auto val="1"/>
        <c:lblAlgn val="ctr"/>
        <c:lblOffset val="100"/>
        <c:noMultiLvlLbl val="0"/>
      </c:catAx>
      <c:valAx>
        <c:axId val="517905904"/>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409]#,##0.00;\([$$-409]#,##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517906984"/>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D8D3CC"/>
      </a:solidFill>
      <a:prstDash val="solid"/>
      <a:round/>
    </a:ln>
    <a:effectLst/>
  </c:spPr>
  <c:txPr>
    <a:bodyPr/>
    <a:lstStyle/>
    <a:p>
      <a:pPr>
        <a:defRPr/>
      </a:pPr>
      <a:endParaRPr lang="nl-N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r>
              <a:rPr lang="en-US"/>
              <a:t>BUDGET VS ACTUAL</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B3733"/>
              </a:solidFill>
              <a:latin typeface="Calibri"/>
              <a:ea typeface="Calibri"/>
              <a:cs typeface="Calibri"/>
            </a:defRPr>
          </a:pPr>
          <a:endParaRPr lang="nl-NL"/>
        </a:p>
      </c:txPr>
    </c:title>
    <c:autoTitleDeleted val="0"/>
    <c:plotArea>
      <c:layout/>
      <c:barChart>
        <c:barDir val="col"/>
        <c:grouping val="clustered"/>
        <c:varyColors val="0"/>
        <c:ser>
          <c:idx val="0"/>
          <c:order val="0"/>
          <c:tx>
            <c:strRef>
              <c:f>'Flexible Income Budget'!$O$26</c:f>
              <c:strCache>
                <c:ptCount val="1"/>
                <c:pt idx="0">
                  <c:v>Budget</c:v>
                </c:pt>
              </c:strCache>
            </c:strRef>
          </c:tx>
          <c:spPr>
            <a:solidFill>
              <a:srgbClr val="D8D3CC"/>
            </a:solidFill>
            <a:ln>
              <a:noFill/>
            </a:ln>
            <a:effectLst/>
          </c:spPr>
          <c:invertIfNegative val="0"/>
          <c:cat>
            <c:strRef>
              <c:f>'Flexible Income Budget'!$N$27:$N$31</c:f>
              <c:strCache>
                <c:ptCount val="5"/>
                <c:pt idx="0">
                  <c:v>Income</c:v>
                </c:pt>
                <c:pt idx="1">
                  <c:v>Bills</c:v>
                </c:pt>
                <c:pt idx="2">
                  <c:v>Expenses</c:v>
                </c:pt>
                <c:pt idx="3">
                  <c:v>Savings</c:v>
                </c:pt>
                <c:pt idx="4">
                  <c:v>Debt</c:v>
                </c:pt>
              </c:strCache>
            </c:strRef>
          </c:cat>
          <c:val>
            <c:numRef>
              <c:f>'Flexible Income Budget'!$O$27:$O$31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12DB-41DB-A5EC-5609CF754769}"/>
            </c:ext>
          </c:extLst>
        </c:ser>
        <c:ser>
          <c:idx val="1"/>
          <c:order val="1"/>
          <c:tx>
            <c:strRef>
              <c:f>'Flexible Income Budget'!$P$26</c:f>
              <c:strCache>
                <c:ptCount val="1"/>
                <c:pt idx="0">
                  <c:v>Actual</c:v>
                </c:pt>
              </c:strCache>
            </c:strRef>
          </c:tx>
          <c:spPr>
            <a:solidFill>
              <a:srgbClr val="F5D6DC"/>
            </a:solidFill>
            <a:ln>
              <a:noFill/>
            </a:ln>
            <a:effectLst/>
          </c:spPr>
          <c:invertIfNegative val="0"/>
          <c:dPt>
            <c:idx val="0"/>
            <c:invertIfNegative val="0"/>
            <c:bubble3D val="0"/>
            <c:spPr>
              <a:solidFill>
                <a:srgbClr val="A9C9A9"/>
              </a:solidFill>
              <a:ln>
                <a:noFill/>
              </a:ln>
              <a:effectLst/>
            </c:spPr>
            <c:extLst>
              <c:ext xmlns:c16="http://schemas.microsoft.com/office/drawing/2014/chart" uri="{C3380CC4-5D6E-409C-BE32-E72D297353CC}">
                <c16:uniqueId val="{00000000-91A7-4C3F-8812-390DA786323D}"/>
              </c:ext>
            </c:extLst>
          </c:dPt>
          <c:dPt>
            <c:idx val="1"/>
            <c:invertIfNegative val="0"/>
            <c:bubble3D val="0"/>
            <c:spPr>
              <a:solidFill>
                <a:srgbClr val="9FC3D6"/>
              </a:solidFill>
              <a:ln>
                <a:noFill/>
              </a:ln>
              <a:effectLst/>
            </c:spPr>
            <c:extLst>
              <c:ext xmlns:c16="http://schemas.microsoft.com/office/drawing/2014/chart" uri="{C3380CC4-5D6E-409C-BE32-E72D297353CC}">
                <c16:uniqueId val="{00000001-91A7-4C3F-8812-390DA786323D}"/>
              </c:ext>
            </c:extLst>
          </c:dPt>
          <c:dPt>
            <c:idx val="2"/>
            <c:invertIfNegative val="0"/>
            <c:bubble3D val="0"/>
            <c:spPr>
              <a:solidFill>
                <a:srgbClr val="E8AFC0"/>
              </a:solidFill>
              <a:ln>
                <a:noFill/>
              </a:ln>
              <a:effectLst/>
            </c:spPr>
            <c:extLst>
              <c:ext xmlns:c16="http://schemas.microsoft.com/office/drawing/2014/chart" uri="{C3380CC4-5D6E-409C-BE32-E72D297353CC}">
                <c16:uniqueId val="{00000002-91A7-4C3F-8812-390DA786323D}"/>
              </c:ext>
            </c:extLst>
          </c:dPt>
          <c:dPt>
            <c:idx val="3"/>
            <c:invertIfNegative val="0"/>
            <c:bubble3D val="0"/>
            <c:spPr>
              <a:solidFill>
                <a:srgbClr val="EBD98F"/>
              </a:solidFill>
              <a:ln>
                <a:noFill/>
              </a:ln>
              <a:effectLst/>
            </c:spPr>
            <c:extLst>
              <c:ext xmlns:c16="http://schemas.microsoft.com/office/drawing/2014/chart" uri="{C3380CC4-5D6E-409C-BE32-E72D297353CC}">
                <c16:uniqueId val="{00000003-91A7-4C3F-8812-390DA786323D}"/>
              </c:ext>
            </c:extLst>
          </c:dPt>
          <c:dPt>
            <c:idx val="4"/>
            <c:invertIfNegative val="0"/>
            <c:bubble3D val="0"/>
            <c:spPr>
              <a:solidFill>
                <a:srgbClr val="C7B8E8"/>
              </a:solidFill>
              <a:ln>
                <a:noFill/>
              </a:ln>
              <a:effectLst/>
            </c:spPr>
            <c:extLst>
              <c:ext xmlns:c16="http://schemas.microsoft.com/office/drawing/2014/chart" uri="{C3380CC4-5D6E-409C-BE32-E72D297353CC}">
                <c16:uniqueId val="{00000004-91A7-4C3F-8812-390DA786323D}"/>
              </c:ext>
            </c:extLst>
          </c:dPt>
          <c:cat>
            <c:strRef>
              <c:f>'Flexible Income Budget'!$N$27:$N$31</c:f>
              <c:strCache>
                <c:ptCount val="5"/>
                <c:pt idx="0">
                  <c:v>Income</c:v>
                </c:pt>
                <c:pt idx="1">
                  <c:v>Bills</c:v>
                </c:pt>
                <c:pt idx="2">
                  <c:v>Expenses</c:v>
                </c:pt>
                <c:pt idx="3">
                  <c:v>Savings</c:v>
                </c:pt>
                <c:pt idx="4">
                  <c:v>Debt</c:v>
                </c:pt>
              </c:strCache>
            </c:strRef>
          </c:cat>
          <c:val>
            <c:numRef>
              <c:f>'Flexible Income Budget'!$P$27:$P$31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12DB-41DB-A5EC-5609CF754769}"/>
            </c:ext>
          </c:extLst>
        </c:ser>
        <c:dLbls>
          <c:showLegendKey val="0"/>
          <c:showVal val="0"/>
          <c:showCatName val="0"/>
          <c:showSerName val="0"/>
          <c:showPercent val="0"/>
          <c:showBubbleSize val="0"/>
        </c:dLbls>
        <c:gapWidth val="219"/>
        <c:overlap val="-27"/>
        <c:axId val="808780360"/>
        <c:axId val="808773520"/>
      </c:barChart>
      <c:catAx>
        <c:axId val="808780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08773520"/>
        <c:crosses val="autoZero"/>
        <c:auto val="1"/>
        <c:lblAlgn val="ctr"/>
        <c:lblOffset val="100"/>
        <c:noMultiLvlLbl val="0"/>
      </c:catAx>
      <c:valAx>
        <c:axId val="80877352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08780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D8D3CC"/>
      </a:solidFill>
      <a:prstDash val="solid"/>
      <a:round/>
    </a:ln>
    <a:effectLst/>
  </c:spPr>
  <c:txPr>
    <a:bodyPr/>
    <a:lstStyle/>
    <a:p>
      <a:pPr>
        <a:defRPr/>
      </a:pPr>
      <a:endParaRPr lang="nl-N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rgbClr val="3B3733"/>
                </a:solidFill>
                <a:latin typeface="Georgia"/>
                <a:ea typeface="Georgia"/>
                <a:cs typeface="Georgia"/>
              </a:defRPr>
            </a:pPr>
            <a:r>
              <a:rPr lang="en-US"/>
              <a:t>Subscription Overview</a:t>
            </a:r>
          </a:p>
        </c:rich>
      </c:tx>
      <c:overlay val="0"/>
      <c:spPr>
        <a:noFill/>
        <a:ln>
          <a:noFill/>
        </a:ln>
        <a:effectLst/>
      </c:spPr>
      <c:txPr>
        <a:bodyPr rot="0" spcFirstLastPara="1" vertOverflow="ellipsis" vert="horz" wrap="square" anchor="ctr" anchorCtr="1"/>
        <a:lstStyle/>
        <a:p>
          <a:pPr>
            <a:defRPr sz="1300" b="0" i="0" u="none" strike="noStrike" kern="1200" spc="0" baseline="0">
              <a:solidFill>
                <a:srgbClr val="3B3733"/>
              </a:solidFill>
              <a:latin typeface="Georgia"/>
              <a:ea typeface="Georgia"/>
              <a:cs typeface="Georgia"/>
            </a:defRPr>
          </a:pPr>
          <a:endParaRPr lang="nl-NL"/>
        </a:p>
      </c:txPr>
    </c:title>
    <c:autoTitleDeleted val="0"/>
    <c:plotArea>
      <c:layout/>
      <c:pieChart>
        <c:varyColors val="1"/>
        <c:ser>
          <c:idx val="0"/>
          <c:order val="0"/>
          <c:dPt>
            <c:idx val="0"/>
            <c:bubble3D val="0"/>
            <c:spPr>
              <a:solidFill>
                <a:srgbClr val="F5D6DC"/>
              </a:solidFill>
              <a:ln w="19050">
                <a:solidFill>
                  <a:schemeClr val="lt1"/>
                </a:solidFill>
              </a:ln>
              <a:effectLst/>
            </c:spPr>
            <c:extLst>
              <c:ext xmlns:c16="http://schemas.microsoft.com/office/drawing/2014/chart" uri="{C3380CC4-5D6E-409C-BE32-E72D297353CC}">
                <c16:uniqueId val="{00000001-5223-4D8C-99F0-EAADEED3D33D}"/>
              </c:ext>
            </c:extLst>
          </c:dPt>
          <c:dPt>
            <c:idx val="1"/>
            <c:bubble3D val="0"/>
            <c:spPr>
              <a:solidFill>
                <a:srgbClr val="CFE2ED"/>
              </a:solidFill>
              <a:ln w="19050">
                <a:solidFill>
                  <a:schemeClr val="lt1"/>
                </a:solidFill>
              </a:ln>
              <a:effectLst/>
            </c:spPr>
            <c:extLst>
              <c:ext xmlns:c16="http://schemas.microsoft.com/office/drawing/2014/chart" uri="{C3380CC4-5D6E-409C-BE32-E72D297353CC}">
                <c16:uniqueId val="{00000002-5223-4D8C-99F0-EAADEED3D33D}"/>
              </c:ext>
            </c:extLst>
          </c:dPt>
          <c:dPt>
            <c:idx val="2"/>
            <c:bubble3D val="0"/>
            <c:spPr>
              <a:solidFill>
                <a:srgbClr val="D6E8D6"/>
              </a:solidFill>
              <a:ln w="19050">
                <a:solidFill>
                  <a:schemeClr val="lt1"/>
                </a:solidFill>
              </a:ln>
              <a:effectLst/>
            </c:spPr>
            <c:extLst>
              <c:ext xmlns:c16="http://schemas.microsoft.com/office/drawing/2014/chart" uri="{C3380CC4-5D6E-409C-BE32-E72D297353CC}">
                <c16:uniqueId val="{00000003-5223-4D8C-99F0-EAADEED3D33D}"/>
              </c:ext>
            </c:extLst>
          </c:dPt>
          <c:dPt>
            <c:idx val="3"/>
            <c:bubble3D val="0"/>
            <c:spPr>
              <a:solidFill>
                <a:srgbClr val="F7ECC9"/>
              </a:solidFill>
              <a:ln w="19050">
                <a:solidFill>
                  <a:schemeClr val="lt1"/>
                </a:solidFill>
              </a:ln>
              <a:effectLst/>
            </c:spPr>
            <c:extLst>
              <c:ext xmlns:c16="http://schemas.microsoft.com/office/drawing/2014/chart" uri="{C3380CC4-5D6E-409C-BE32-E72D297353CC}">
                <c16:uniqueId val="{00000004-5223-4D8C-99F0-EAADEED3D33D}"/>
              </c:ext>
            </c:extLst>
          </c:dPt>
          <c:dPt>
            <c:idx val="4"/>
            <c:bubble3D val="0"/>
            <c:spPr>
              <a:solidFill>
                <a:srgbClr val="E3DCEF"/>
              </a:solidFill>
              <a:ln w="19050">
                <a:solidFill>
                  <a:schemeClr val="lt1"/>
                </a:solidFill>
              </a:ln>
              <a:effectLst/>
            </c:spPr>
            <c:extLst>
              <c:ext xmlns:c16="http://schemas.microsoft.com/office/drawing/2014/chart" uri="{C3380CC4-5D6E-409C-BE32-E72D297353CC}">
                <c16:uniqueId val="{00000005-5223-4D8C-99F0-EAADEED3D33D}"/>
              </c:ext>
            </c:extLst>
          </c:dPt>
          <c:dPt>
            <c:idx val="5"/>
            <c:bubble3D val="0"/>
            <c:spPr>
              <a:solidFill>
                <a:srgbClr val="FBE3D5"/>
              </a:solidFill>
              <a:ln w="19050">
                <a:solidFill>
                  <a:schemeClr val="lt1"/>
                </a:solidFill>
              </a:ln>
              <a:effectLst/>
            </c:spPr>
            <c:extLst>
              <c:ext xmlns:c16="http://schemas.microsoft.com/office/drawing/2014/chart" uri="{C3380CC4-5D6E-409C-BE32-E72D297353CC}">
                <c16:uniqueId val="{00000006-5223-4D8C-99F0-EAADEED3D33D}"/>
              </c:ext>
            </c:extLst>
          </c:dPt>
          <c:dPt>
            <c:idx val="6"/>
            <c:bubble3D val="0"/>
            <c:spPr>
              <a:solidFill>
                <a:srgbClr val="D5E8E4"/>
              </a:solidFill>
              <a:ln w="19050">
                <a:solidFill>
                  <a:schemeClr val="lt1"/>
                </a:solidFill>
              </a:ln>
              <a:effectLst/>
            </c:spPr>
            <c:extLst>
              <c:ext xmlns:c16="http://schemas.microsoft.com/office/drawing/2014/chart" uri="{C3380CC4-5D6E-409C-BE32-E72D297353CC}">
                <c16:uniqueId val="{00000007-5223-4D8C-99F0-EAADEED3D33D}"/>
              </c:ext>
            </c:extLst>
          </c:dPt>
          <c:dPt>
            <c:idx val="7"/>
            <c:bubble3D val="0"/>
            <c:spPr>
              <a:solidFill>
                <a:srgbClr val="E8D6E0"/>
              </a:solidFill>
              <a:ln w="19050">
                <a:solidFill>
                  <a:schemeClr val="lt1"/>
                </a:solidFill>
              </a:ln>
              <a:effectLst/>
            </c:spPr>
            <c:extLst>
              <c:ext xmlns:c16="http://schemas.microsoft.com/office/drawing/2014/chart" uri="{C3380CC4-5D6E-409C-BE32-E72D297353CC}">
                <c16:uniqueId val="{00000008-5223-4D8C-99F0-EAADEED3D33D}"/>
              </c:ext>
            </c:extLst>
          </c:dPt>
          <c:cat>
            <c:strRef>
              <c:f>'Subscription Tracker'!$K$6:$K$13</c:f>
              <c:strCache>
                <c:ptCount val="8"/>
                <c:pt idx="0">
                  <c:v>Streaming</c:v>
                </c:pt>
                <c:pt idx="1">
                  <c:v>Software &amp; Apps</c:v>
                </c:pt>
                <c:pt idx="2">
                  <c:v>Music</c:v>
                </c:pt>
                <c:pt idx="3">
                  <c:v>News &amp; Reading</c:v>
                </c:pt>
                <c:pt idx="4">
                  <c:v>Gaming</c:v>
                </c:pt>
                <c:pt idx="5">
                  <c:v>Fitness &amp; Wellness</c:v>
                </c:pt>
                <c:pt idx="6">
                  <c:v>Memberships</c:v>
                </c:pt>
                <c:pt idx="7">
                  <c:v>Other</c:v>
                </c:pt>
              </c:strCache>
            </c:strRef>
          </c:cat>
          <c:val>
            <c:numRef>
              <c:f>'Subscription Tracker'!$L$6:$L$13</c:f>
              <c:numCache>
                <c:formatCode>[$$-409]#,##0.00;\([$$-409]#,##0.00\);"-"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5223-4D8C-99F0-EAADEED3D33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3B3733"/>
                </a:solidFill>
                <a:latin typeface="Georgia"/>
                <a:ea typeface="Georgia"/>
                <a:cs typeface="Georgia"/>
              </a:defRPr>
            </a:pPr>
            <a:r>
              <a:rPr lang="en-US"/>
              <a:t>SAVINGS GOALS PROGRESS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3B3733"/>
              </a:solidFill>
              <a:latin typeface="Georgia"/>
              <a:ea typeface="Georgia"/>
              <a:cs typeface="Georgia"/>
            </a:defRPr>
          </a:pPr>
          <a:endParaRPr lang="nl-NL"/>
        </a:p>
      </c:txPr>
    </c:title>
    <c:autoTitleDeleted val="0"/>
    <c:plotArea>
      <c:layout/>
      <c:barChart>
        <c:barDir val="bar"/>
        <c:grouping val="clustered"/>
        <c:varyColors val="0"/>
        <c:ser>
          <c:idx val="0"/>
          <c:order val="0"/>
          <c:spPr>
            <a:solidFill>
              <a:srgbClr val="EBD98F"/>
            </a:solidFill>
            <a:ln>
              <a:noFill/>
            </a:ln>
            <a:effectLst/>
          </c:spPr>
          <c:invertIfNegative val="0"/>
          <c:cat>
            <c:strRef>
              <c:f>'Savings &amp; Debt Goal Tracker'!$A$6:$A$13</c:f>
              <c:strCache>
                <c:ptCount val="5"/>
                <c:pt idx="0">
                  <c:v>Emergency Fund</c:v>
                </c:pt>
                <c:pt idx="1">
                  <c:v>Vacation Fund</c:v>
                </c:pt>
                <c:pt idx="2">
                  <c:v>Holiday Fund</c:v>
                </c:pt>
                <c:pt idx="3">
                  <c:v>Retirement Savings</c:v>
                </c:pt>
                <c:pt idx="4">
                  <c:v>General Savings</c:v>
                </c:pt>
              </c:strCache>
            </c:strRef>
          </c:cat>
          <c:val>
            <c:numRef>
              <c:f>'Savings &amp; Debt Goal Tracker'!$G$6:$G$13</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0F53-4584-A15B-007CD96DE155}"/>
            </c:ext>
          </c:extLst>
        </c:ser>
        <c:dLbls>
          <c:showLegendKey val="0"/>
          <c:showVal val="0"/>
          <c:showCatName val="0"/>
          <c:showSerName val="0"/>
          <c:showPercent val="0"/>
          <c:showBubbleSize val="0"/>
        </c:dLbls>
        <c:gapWidth val="182"/>
        <c:axId val="839526760"/>
        <c:axId val="839527840"/>
      </c:barChart>
      <c:catAx>
        <c:axId val="839526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39527840"/>
        <c:crosses val="autoZero"/>
        <c:auto val="1"/>
        <c:lblAlgn val="ctr"/>
        <c:lblOffset val="100"/>
        <c:noMultiLvlLbl val="0"/>
      </c:catAx>
      <c:valAx>
        <c:axId val="8395278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39526760"/>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3B3733"/>
                </a:solidFill>
                <a:latin typeface="Georgia"/>
                <a:ea typeface="Georgia"/>
                <a:cs typeface="Georgia"/>
              </a:defRPr>
            </a:pPr>
            <a:r>
              <a:rPr lang="en-US"/>
              <a:t>DEBT PAYOFF PROGRESS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3B3733"/>
              </a:solidFill>
              <a:latin typeface="Georgia"/>
              <a:ea typeface="Georgia"/>
              <a:cs typeface="Georgia"/>
            </a:defRPr>
          </a:pPr>
          <a:endParaRPr lang="nl-NL"/>
        </a:p>
      </c:txPr>
    </c:title>
    <c:autoTitleDeleted val="0"/>
    <c:plotArea>
      <c:layout/>
      <c:barChart>
        <c:barDir val="bar"/>
        <c:grouping val="clustered"/>
        <c:varyColors val="0"/>
        <c:ser>
          <c:idx val="0"/>
          <c:order val="0"/>
          <c:spPr>
            <a:solidFill>
              <a:srgbClr val="C7B8E8"/>
            </a:solidFill>
            <a:ln>
              <a:noFill/>
            </a:ln>
            <a:effectLst/>
          </c:spPr>
          <c:invertIfNegative val="0"/>
          <c:cat>
            <c:strRef>
              <c:f>'Savings &amp; Debt Goal Tracker'!$A$17:$A$24</c:f>
              <c:strCache>
                <c:ptCount val="4"/>
                <c:pt idx="0">
                  <c:v>Credit Card</c:v>
                </c:pt>
                <c:pt idx="1">
                  <c:v>Student Loan</c:v>
                </c:pt>
                <c:pt idx="2">
                  <c:v>Personal Loan</c:v>
                </c:pt>
                <c:pt idx="3">
                  <c:v>Medical Debt</c:v>
                </c:pt>
              </c:strCache>
            </c:strRef>
          </c:cat>
          <c:val>
            <c:numRef>
              <c:f>'Savings &amp; Debt Goal Tracker'!$G$17:$G$24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48A4-4479-B28D-2DF29EF9C7A9}"/>
            </c:ext>
          </c:extLst>
        </c:ser>
        <c:dLbls>
          <c:showLegendKey val="0"/>
          <c:showVal val="0"/>
          <c:showCatName val="0"/>
          <c:showSerName val="0"/>
          <c:showPercent val="0"/>
          <c:showBubbleSize val="0"/>
        </c:dLbls>
        <c:gapWidth val="182"/>
        <c:axId val="839527120"/>
        <c:axId val="839527480"/>
      </c:barChart>
      <c:catAx>
        <c:axId val="839527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39527480"/>
        <c:crosses val="autoZero"/>
        <c:auto val="1"/>
        <c:lblAlgn val="ctr"/>
        <c:lblOffset val="100"/>
        <c:noMultiLvlLbl val="0"/>
      </c:catAx>
      <c:valAx>
        <c:axId val="8395274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39527120"/>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3B3733"/>
                </a:solidFill>
                <a:latin typeface="Georgia"/>
                <a:ea typeface="Georgia"/>
                <a:cs typeface="Georgia"/>
              </a:defRPr>
            </a:pPr>
            <a:r>
              <a:rPr lang="en-US"/>
              <a:t>Habits Completed per Day</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3B3733"/>
              </a:solidFill>
              <a:latin typeface="Georgia"/>
              <a:ea typeface="Georgia"/>
              <a:cs typeface="Georgia"/>
            </a:defRPr>
          </a:pPr>
          <a:endParaRPr lang="nl-NL"/>
        </a:p>
      </c:txPr>
    </c:title>
    <c:autoTitleDeleted val="0"/>
    <c:plotArea>
      <c:layout/>
      <c:barChart>
        <c:barDir val="col"/>
        <c:grouping val="clustered"/>
        <c:varyColors val="0"/>
        <c:ser>
          <c:idx val="0"/>
          <c:order val="0"/>
          <c:tx>
            <c:strRef>
              <c:f>'Habit Tracker'!$AI$1</c:f>
              <c:strCache>
                <c:ptCount val="1"/>
              </c:strCache>
            </c:strRef>
          </c:tx>
          <c:spPr>
            <a:solidFill>
              <a:srgbClr val="9FC3D6"/>
            </a:solidFill>
            <a:ln>
              <a:noFill/>
            </a:ln>
            <a:effectLst/>
          </c:spPr>
          <c:invertIfNegative val="0"/>
          <c:cat>
            <c:numRef>
              <c:f>'Habit Tracker'!$AJ$2:$AJ$32</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'Habit Tracker'!$AI$2:$AI$32</c:f>
              <c:numCache>
                <c:formatCode>General</c:formatCode>
                <c:ptCount val="31"/>
              </c:numCache>
            </c:numRef>
          </c:val>
          <c:extLst>
            <c:ext xmlns:c16="http://schemas.microsoft.com/office/drawing/2014/chart" uri="{C3380CC4-5D6E-409C-BE32-E72D297353CC}">
              <c16:uniqueId val="{00000000-BEB1-43D8-9576-A86C4B14C655}"/>
            </c:ext>
          </c:extLst>
        </c:ser>
        <c:dLbls>
          <c:showLegendKey val="0"/>
          <c:showVal val="0"/>
          <c:showCatName val="0"/>
          <c:showSerName val="0"/>
          <c:showPercent val="0"/>
          <c:showBubbleSize val="0"/>
        </c:dLbls>
        <c:gapWidth val="219"/>
        <c:overlap val="-27"/>
        <c:axId val="726450680"/>
        <c:axId val="726444560"/>
      </c:barChart>
      <c:catAx>
        <c:axId val="726450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726444560"/>
        <c:crosses val="autoZero"/>
        <c:auto val="1"/>
        <c:lblAlgn val="ctr"/>
        <c:lblOffset val="100"/>
        <c:noMultiLvlLbl val="0"/>
      </c:catAx>
      <c:valAx>
        <c:axId val="72644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726450680"/>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3B3733"/>
                </a:solidFill>
                <a:latin typeface="Georgia"/>
                <a:ea typeface="Georgia"/>
                <a:cs typeface="Georgia"/>
              </a:defRPr>
            </a:pPr>
            <a:r>
              <a:rPr lang="en-US"/>
              <a:t>COMPLETION % BY HABIT</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3B3733"/>
              </a:solidFill>
              <a:latin typeface="Georgia"/>
              <a:ea typeface="Georgia"/>
              <a:cs typeface="Georgia"/>
            </a:defRPr>
          </a:pPr>
          <a:endParaRPr lang="nl-NL"/>
        </a:p>
      </c:txPr>
    </c:title>
    <c:autoTitleDeleted val="0"/>
    <c:plotArea>
      <c:layout/>
      <c:barChart>
        <c:barDir val="bar"/>
        <c:grouping val="clustered"/>
        <c:varyColors val="0"/>
        <c:ser>
          <c:idx val="0"/>
          <c:order val="0"/>
          <c:spPr>
            <a:solidFill>
              <a:srgbClr val="A9C9A9"/>
            </a:solidFill>
            <a:ln>
              <a:noFill/>
            </a:ln>
            <a:effectLst/>
          </c:spPr>
          <c:invertIfNegative val="0"/>
          <c:cat>
            <c:strRef>
              <c:f>'Habit Tracker'!$A$9:$A$18</c:f>
              <c:strCache>
                <c:ptCount val="3"/>
                <c:pt idx="0">
                  <c:v>Drink Water</c:v>
                </c:pt>
                <c:pt idx="1">
                  <c:v>Move My Body</c:v>
                </c:pt>
                <c:pt idx="2">
                  <c:v>Sleep 7+ Hours</c:v>
                </c:pt>
              </c:strCache>
            </c:strRef>
          </c:cat>
          <c:val>
            <c:numRef>
              <c:f>'Habit Tracker'!$AH$9:$AH$18</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7435-4831-B064-88DE906C4DA3}"/>
            </c:ext>
          </c:extLst>
        </c:ser>
        <c:dLbls>
          <c:showLegendKey val="0"/>
          <c:showVal val="0"/>
          <c:showCatName val="0"/>
          <c:showSerName val="0"/>
          <c:showPercent val="0"/>
          <c:showBubbleSize val="0"/>
        </c:dLbls>
        <c:gapWidth val="182"/>
        <c:axId val="734100128"/>
        <c:axId val="734100848"/>
      </c:barChart>
      <c:catAx>
        <c:axId val="734100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734100848"/>
        <c:crosses val="autoZero"/>
        <c:auto val="1"/>
        <c:lblAlgn val="ctr"/>
        <c:lblOffset val="100"/>
        <c:noMultiLvlLbl val="0"/>
      </c:catAx>
      <c:valAx>
        <c:axId val="7341008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734100128"/>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31750</xdr:rowOff>
    </xdr:from>
    <xdr:to>
      <xdr:col>0</xdr:col>
      <xdr:colOff>2222500</xdr:colOff>
      <xdr:row>2</xdr:row>
      <xdr:rowOff>387350</xdr:rowOff>
    </xdr:to>
    <xdr:sp macro="" textlink="">
      <xdr:nvSpPr>
        <xdr:cNvPr id="2" name="Rechthoek: afgeronde hoeken 1">
          <a:extLst>
            <a:ext uri="{FF2B5EF4-FFF2-40B4-BE49-F238E27FC236}">
              <a16:creationId xmlns:a16="http://schemas.microsoft.com/office/drawing/2014/main" id="{A95A882F-D3D6-484A-95C1-B372F17BF8DC}"/>
            </a:ext>
          </a:extLst>
        </xdr:cNvPr>
        <xdr:cNvSpPr/>
      </xdr:nvSpPr>
      <xdr:spPr>
        <a:xfrm>
          <a:off x="0" y="736600"/>
          <a:ext cx="2222500" cy="355600"/>
        </a:xfrm>
        <a:prstGeom prst="roundRect">
          <a:avLst/>
        </a:prstGeom>
        <a:solidFill>
          <a:srgbClr val="D6E8D6"/>
        </a:solidFill>
        <a:ln w="12700" cap="flat" cmpd="sng" algn="ctr">
          <a:solidFill>
            <a:srgbClr val="A9C9A9"/>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nl-NL" sz="900" b="1" i="0" u="none" strike="noStrike" kern="0" cap="none" spc="0" normalizeH="0" baseline="0" noProof="0">
              <a:ln>
                <a:noFill/>
              </a:ln>
              <a:solidFill>
                <a:srgbClr val="3B3733"/>
              </a:solidFill>
              <a:effectLst/>
              <a:uLnTx/>
              <a:uFillTx/>
              <a:latin typeface="Calibri"/>
              <a:cs typeface="Calibri"/>
            </a:rPr>
            <a:t>Automatically Calculated</a:t>
          </a:r>
        </a:p>
      </xdr:txBody>
    </xdr:sp>
    <xdr:clientData/>
  </xdr:twoCellAnchor>
  <xdr:twoCellAnchor>
    <xdr:from>
      <xdr:col>0</xdr:col>
      <xdr:colOff>2413000</xdr:colOff>
      <xdr:row>2</xdr:row>
      <xdr:rowOff>31750</xdr:rowOff>
    </xdr:from>
    <xdr:to>
      <xdr:col>0</xdr:col>
      <xdr:colOff>4635500</xdr:colOff>
      <xdr:row>2</xdr:row>
      <xdr:rowOff>387350</xdr:rowOff>
    </xdr:to>
    <xdr:sp macro="" textlink="">
      <xdr:nvSpPr>
        <xdr:cNvPr id="3" name="Rechthoek: afgeronde hoeken 2">
          <a:extLst>
            <a:ext uri="{FF2B5EF4-FFF2-40B4-BE49-F238E27FC236}">
              <a16:creationId xmlns:a16="http://schemas.microsoft.com/office/drawing/2014/main" id="{DBC9BE13-1C28-4DFF-8282-BD4BBDF7DF53}"/>
            </a:ext>
          </a:extLst>
        </xdr:cNvPr>
        <xdr:cNvSpPr/>
      </xdr:nvSpPr>
      <xdr:spPr>
        <a:xfrm>
          <a:off x="2413000" y="736600"/>
          <a:ext cx="2222500" cy="355600"/>
        </a:xfrm>
        <a:prstGeom prst="roundRect">
          <a:avLst/>
        </a:prstGeom>
        <a:solidFill>
          <a:srgbClr val="CFE2ED"/>
        </a:solidFill>
        <a:ln w="12700" cap="flat" cmpd="sng" algn="ctr">
          <a:solidFill>
            <a:srgbClr val="9FC3D6"/>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nl-NL" sz="900" b="1" i="0" u="none" strike="noStrike" kern="0" cap="none" spc="0" normalizeH="0" baseline="0" noProof="0">
              <a:ln>
                <a:noFill/>
              </a:ln>
              <a:solidFill>
                <a:srgbClr val="3B3733"/>
              </a:solidFill>
              <a:effectLst/>
              <a:uLnTx/>
              <a:uFillTx/>
              <a:latin typeface="Calibri"/>
              <a:cs typeface="Calibri"/>
            </a:rPr>
            <a:t>Works Whenever You Start</a:t>
          </a:r>
        </a:p>
      </xdr:txBody>
    </xdr:sp>
    <xdr:clientData/>
  </xdr:twoCellAnchor>
  <xdr:twoCellAnchor>
    <xdr:from>
      <xdr:col>0</xdr:col>
      <xdr:colOff>4953000</xdr:colOff>
      <xdr:row>2</xdr:row>
      <xdr:rowOff>31750</xdr:rowOff>
    </xdr:from>
    <xdr:to>
      <xdr:col>0</xdr:col>
      <xdr:colOff>7175500</xdr:colOff>
      <xdr:row>2</xdr:row>
      <xdr:rowOff>387350</xdr:rowOff>
    </xdr:to>
    <xdr:sp macro="" textlink="">
      <xdr:nvSpPr>
        <xdr:cNvPr id="4" name="Rechthoek: afgeronde hoeken 3">
          <a:extLst>
            <a:ext uri="{FF2B5EF4-FFF2-40B4-BE49-F238E27FC236}">
              <a16:creationId xmlns:a16="http://schemas.microsoft.com/office/drawing/2014/main" id="{EAAB124F-85BC-429F-957A-B3286F21F359}"/>
            </a:ext>
          </a:extLst>
        </xdr:cNvPr>
        <xdr:cNvSpPr/>
      </xdr:nvSpPr>
      <xdr:spPr>
        <a:xfrm>
          <a:off x="4953000" y="736600"/>
          <a:ext cx="2222500" cy="355600"/>
        </a:xfrm>
        <a:prstGeom prst="roundRect">
          <a:avLst/>
        </a:prstGeom>
        <a:solidFill>
          <a:srgbClr val="F7ECC9"/>
        </a:solidFill>
        <a:ln w="12700" cap="flat" cmpd="sng" algn="ctr">
          <a:solidFill>
            <a:srgbClr val="EBD98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nl-NL" sz="900" b="1" i="0" u="none" strike="noStrike" kern="0" cap="none" spc="0" normalizeH="0" baseline="0" noProof="0">
              <a:ln>
                <a:noFill/>
              </a:ln>
              <a:solidFill>
                <a:srgbClr val="3B3733"/>
              </a:solidFill>
              <a:effectLst/>
              <a:uLnTx/>
              <a:uFillTx/>
              <a:latin typeface="Calibri"/>
              <a:cs typeface="Calibri"/>
            </a:rPr>
            <a:t>Beginner Friendly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3</xdr:row>
      <xdr:rowOff>133350</xdr:rowOff>
    </xdr:from>
    <xdr:to>
      <xdr:col>12</xdr:col>
      <xdr:colOff>425450</xdr:colOff>
      <xdr:row>16</xdr:row>
      <xdr:rowOff>190500</xdr:rowOff>
    </xdr:to>
    <xdr:graphicFrame macro="">
      <xdr:nvGraphicFramePr>
        <xdr:cNvPr id="2" name="ChartLeftToSpend">
          <a:extLst>
            <a:ext uri="{FF2B5EF4-FFF2-40B4-BE49-F238E27FC236}">
              <a16:creationId xmlns:a16="http://schemas.microsoft.com/office/drawing/2014/main" id="{4B0641E1-0822-483C-9534-23CF810EC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615950</xdr:colOff>
      <xdr:row>3</xdr:row>
      <xdr:rowOff>133350</xdr:rowOff>
    </xdr:from>
    <xdr:to>
      <xdr:col>23</xdr:col>
      <xdr:colOff>441325</xdr:colOff>
      <xdr:row>16</xdr:row>
      <xdr:rowOff>190500</xdr:rowOff>
    </xdr:to>
    <xdr:graphicFrame macro="">
      <xdr:nvGraphicFramePr>
        <xdr:cNvPr id="3" name="ChartAllocation">
          <a:extLst>
            <a:ext uri="{FF2B5EF4-FFF2-40B4-BE49-F238E27FC236}">
              <a16:creationId xmlns:a16="http://schemas.microsoft.com/office/drawing/2014/main" id="{C9E91FC5-CE16-4FA5-BCAA-5153BAAD6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17</xdr:row>
      <xdr:rowOff>152400</xdr:rowOff>
    </xdr:from>
    <xdr:to>
      <xdr:col>12</xdr:col>
      <xdr:colOff>425450</xdr:colOff>
      <xdr:row>29</xdr:row>
      <xdr:rowOff>152400</xdr:rowOff>
    </xdr:to>
    <xdr:graphicFrame macro="">
      <xdr:nvGraphicFramePr>
        <xdr:cNvPr id="6" name="ChartExpenseBreakdown">
          <a:extLst>
            <a:ext uri="{FF2B5EF4-FFF2-40B4-BE49-F238E27FC236}">
              <a16:creationId xmlns:a16="http://schemas.microsoft.com/office/drawing/2014/main" id="{31ACB195-E7A8-404E-BA0D-FC4DDA8F0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615950</xdr:colOff>
      <xdr:row>17</xdr:row>
      <xdr:rowOff>152400</xdr:rowOff>
    </xdr:from>
    <xdr:to>
      <xdr:col>23</xdr:col>
      <xdr:colOff>441325</xdr:colOff>
      <xdr:row>29</xdr:row>
      <xdr:rowOff>152400</xdr:rowOff>
    </xdr:to>
    <xdr:graphicFrame macro="">
      <xdr:nvGraphicFramePr>
        <xdr:cNvPr id="7" name="ChartBudgetVsActual">
          <a:extLst>
            <a:ext uri="{FF2B5EF4-FFF2-40B4-BE49-F238E27FC236}">
              <a16:creationId xmlns:a16="http://schemas.microsoft.com/office/drawing/2014/main" id="{A294AEA1-6A2D-3207-8CBD-DDDEED2278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3</xdr:row>
      <xdr:rowOff>133350</xdr:rowOff>
    </xdr:from>
    <xdr:to>
      <xdr:col>12</xdr:col>
      <xdr:colOff>425450</xdr:colOff>
      <xdr:row>16</xdr:row>
      <xdr:rowOff>190500</xdr:rowOff>
    </xdr:to>
    <xdr:graphicFrame macro="">
      <xdr:nvGraphicFramePr>
        <xdr:cNvPr id="2" name="ChartLeftToSpend">
          <a:extLst>
            <a:ext uri="{FF2B5EF4-FFF2-40B4-BE49-F238E27FC236}">
              <a16:creationId xmlns:a16="http://schemas.microsoft.com/office/drawing/2014/main" id="{FF8C7CFA-6C9A-3AEA-7B8A-80D184308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615950</xdr:colOff>
      <xdr:row>3</xdr:row>
      <xdr:rowOff>133350</xdr:rowOff>
    </xdr:from>
    <xdr:to>
      <xdr:col>23</xdr:col>
      <xdr:colOff>441325</xdr:colOff>
      <xdr:row>16</xdr:row>
      <xdr:rowOff>190500</xdr:rowOff>
    </xdr:to>
    <xdr:graphicFrame macro="">
      <xdr:nvGraphicFramePr>
        <xdr:cNvPr id="3" name="ChartAllocation">
          <a:extLst>
            <a:ext uri="{FF2B5EF4-FFF2-40B4-BE49-F238E27FC236}">
              <a16:creationId xmlns:a16="http://schemas.microsoft.com/office/drawing/2014/main" id="{CB860325-1C7F-D2F8-B70D-B9F30B59F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17</xdr:row>
      <xdr:rowOff>152400</xdr:rowOff>
    </xdr:from>
    <xdr:to>
      <xdr:col>12</xdr:col>
      <xdr:colOff>425450</xdr:colOff>
      <xdr:row>29</xdr:row>
      <xdr:rowOff>152400</xdr:rowOff>
    </xdr:to>
    <xdr:graphicFrame macro="">
      <xdr:nvGraphicFramePr>
        <xdr:cNvPr id="6" name="ChartExpenseBreakdown">
          <a:extLst>
            <a:ext uri="{FF2B5EF4-FFF2-40B4-BE49-F238E27FC236}">
              <a16:creationId xmlns:a16="http://schemas.microsoft.com/office/drawing/2014/main" id="{1F8D89CC-49F3-3B45-AFA6-5798B0B4A5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615950</xdr:colOff>
      <xdr:row>17</xdr:row>
      <xdr:rowOff>152400</xdr:rowOff>
    </xdr:from>
    <xdr:to>
      <xdr:col>23</xdr:col>
      <xdr:colOff>441325</xdr:colOff>
      <xdr:row>29</xdr:row>
      <xdr:rowOff>152400</xdr:rowOff>
    </xdr:to>
    <xdr:graphicFrame macro="">
      <xdr:nvGraphicFramePr>
        <xdr:cNvPr id="7" name="ChartBudgetVsActual">
          <a:extLst>
            <a:ext uri="{FF2B5EF4-FFF2-40B4-BE49-F238E27FC236}">
              <a16:creationId xmlns:a16="http://schemas.microsoft.com/office/drawing/2014/main" id="{F796527D-F5B7-A9AF-9790-1630E18AB2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3</xdr:row>
      <xdr:rowOff>133350</xdr:rowOff>
    </xdr:from>
    <xdr:to>
      <xdr:col>12</xdr:col>
      <xdr:colOff>425450</xdr:colOff>
      <xdr:row>16</xdr:row>
      <xdr:rowOff>190500</xdr:rowOff>
    </xdr:to>
    <xdr:graphicFrame macro="">
      <xdr:nvGraphicFramePr>
        <xdr:cNvPr id="2" name="ChartLeftToSpend">
          <a:extLst>
            <a:ext uri="{FF2B5EF4-FFF2-40B4-BE49-F238E27FC236}">
              <a16:creationId xmlns:a16="http://schemas.microsoft.com/office/drawing/2014/main" id="{C2C41806-48D5-42BA-A08D-2E4460A35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615950</xdr:colOff>
      <xdr:row>3</xdr:row>
      <xdr:rowOff>133350</xdr:rowOff>
    </xdr:from>
    <xdr:to>
      <xdr:col>23</xdr:col>
      <xdr:colOff>441325</xdr:colOff>
      <xdr:row>16</xdr:row>
      <xdr:rowOff>190500</xdr:rowOff>
    </xdr:to>
    <xdr:graphicFrame macro="">
      <xdr:nvGraphicFramePr>
        <xdr:cNvPr id="3" name="ChartAllocation">
          <a:extLst>
            <a:ext uri="{FF2B5EF4-FFF2-40B4-BE49-F238E27FC236}">
              <a16:creationId xmlns:a16="http://schemas.microsoft.com/office/drawing/2014/main" id="{D52F150C-5371-4716-B557-00CA6228F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17</xdr:row>
      <xdr:rowOff>152400</xdr:rowOff>
    </xdr:from>
    <xdr:to>
      <xdr:col>12</xdr:col>
      <xdr:colOff>425450</xdr:colOff>
      <xdr:row>29</xdr:row>
      <xdr:rowOff>152400</xdr:rowOff>
    </xdr:to>
    <xdr:graphicFrame macro="">
      <xdr:nvGraphicFramePr>
        <xdr:cNvPr id="6" name="ChartExpenseBreakdown">
          <a:extLst>
            <a:ext uri="{FF2B5EF4-FFF2-40B4-BE49-F238E27FC236}">
              <a16:creationId xmlns:a16="http://schemas.microsoft.com/office/drawing/2014/main" id="{35E0C3AE-2CC4-4D74-B39A-13B3B5198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615950</xdr:colOff>
      <xdr:row>17</xdr:row>
      <xdr:rowOff>152400</xdr:rowOff>
    </xdr:from>
    <xdr:to>
      <xdr:col>23</xdr:col>
      <xdr:colOff>441325</xdr:colOff>
      <xdr:row>29</xdr:row>
      <xdr:rowOff>152400</xdr:rowOff>
    </xdr:to>
    <xdr:graphicFrame macro="">
      <xdr:nvGraphicFramePr>
        <xdr:cNvPr id="7" name="ChartBudgetVsActual">
          <a:extLst>
            <a:ext uri="{FF2B5EF4-FFF2-40B4-BE49-F238E27FC236}">
              <a16:creationId xmlns:a16="http://schemas.microsoft.com/office/drawing/2014/main" id="{E275D0D9-3982-30C8-86EB-2DC1CBB50F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0</xdr:colOff>
      <xdr:row>4</xdr:row>
      <xdr:rowOff>0</xdr:rowOff>
    </xdr:from>
    <xdr:to>
      <xdr:col>19</xdr:col>
      <xdr:colOff>0</xdr:colOff>
      <xdr:row>20</xdr:row>
      <xdr:rowOff>0</xdr:rowOff>
    </xdr:to>
    <xdr:graphicFrame macro="">
      <xdr:nvGraphicFramePr>
        <xdr:cNvPr id="2" name="ChartSubOverview">
          <a:extLst>
            <a:ext uri="{FF2B5EF4-FFF2-40B4-BE49-F238E27FC236}">
              <a16:creationId xmlns:a16="http://schemas.microsoft.com/office/drawing/2014/main" id="{D6F5E894-F384-6D92-497D-8DD3F188E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91</xdr:row>
      <xdr:rowOff>0</xdr:rowOff>
    </xdr:from>
    <xdr:to>
      <xdr:col>6</xdr:col>
      <xdr:colOff>0</xdr:colOff>
      <xdr:row>112</xdr:row>
      <xdr:rowOff>0</xdr:rowOff>
    </xdr:to>
    <xdr:graphicFrame macro="">
      <xdr:nvGraphicFramePr>
        <xdr:cNvPr id="2" name="ChartSavingsProgress">
          <a:extLst>
            <a:ext uri="{FF2B5EF4-FFF2-40B4-BE49-F238E27FC236}">
              <a16:creationId xmlns:a16="http://schemas.microsoft.com/office/drawing/2014/main" id="{E9ED8F87-122B-658F-D9A1-0DBABC832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xdr:colOff>
      <xdr:row>91</xdr:row>
      <xdr:rowOff>0</xdr:rowOff>
    </xdr:from>
    <xdr:to>
      <xdr:col>13</xdr:col>
      <xdr:colOff>1</xdr:colOff>
      <xdr:row>112</xdr:row>
      <xdr:rowOff>0</xdr:rowOff>
    </xdr:to>
    <xdr:graphicFrame macro="">
      <xdr:nvGraphicFramePr>
        <xdr:cNvPr id="3" name="ChartDebtProgress">
          <a:extLst>
            <a:ext uri="{FF2B5EF4-FFF2-40B4-BE49-F238E27FC236}">
              <a16:creationId xmlns:a16="http://schemas.microsoft.com/office/drawing/2014/main" id="{DCC30B18-56A0-4606-7FAC-6F5CFB18BE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21</xdr:row>
      <xdr:rowOff>12700</xdr:rowOff>
    </xdr:from>
    <xdr:to>
      <xdr:col>10</xdr:col>
      <xdr:colOff>79375</xdr:colOff>
      <xdr:row>38</xdr:row>
      <xdr:rowOff>76200</xdr:rowOff>
    </xdr:to>
    <xdr:graphicFrame macro="">
      <xdr:nvGraphicFramePr>
        <xdr:cNvPr id="2" name="ChartHabits">
          <a:extLst>
            <a:ext uri="{FF2B5EF4-FFF2-40B4-BE49-F238E27FC236}">
              <a16:creationId xmlns:a16="http://schemas.microsoft.com/office/drawing/2014/main" id="{1D678470-9551-1E56-F3D9-DB5D37A292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57150</xdr:colOff>
      <xdr:row>21</xdr:row>
      <xdr:rowOff>12700</xdr:rowOff>
    </xdr:from>
    <xdr:to>
      <xdr:col>29</xdr:col>
      <xdr:colOff>165100</xdr:colOff>
      <xdr:row>38</xdr:row>
      <xdr:rowOff>76200</xdr:rowOff>
    </xdr:to>
    <xdr:graphicFrame macro="">
      <xdr:nvGraphicFramePr>
        <xdr:cNvPr id="4" name="ChartHabitCompletion">
          <a:extLst>
            <a:ext uri="{FF2B5EF4-FFF2-40B4-BE49-F238E27FC236}">
              <a16:creationId xmlns:a16="http://schemas.microsoft.com/office/drawing/2014/main" id="{F4B612BB-8532-7088-C015-E7EC51338A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Nina Graft" id="{C9B03A57-AD1A-4B04-B24F-8A432A23AEEB}" userId="S::Nina.Graft@talentonline.nl::8e1cba3b-08a1-44c5-916c-6797e536699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AF94B1-EA9F-41D7-92F1-63CF38C2446F}" name="TransactionsLog" displayName="TransactionsLog" ref="A4:E304" totalsRowShown="0" headerRowDxfId="62" dataDxfId="61">
  <autoFilter ref="A4:E304" xr:uid="{F4AF94B1-EA9F-41D7-92F1-63CF38C2446F}"/>
  <tableColumns count="5">
    <tableColumn id="1" xr3:uid="{8B550A46-E079-41C5-9F35-74F81F345AD6}" name="Date" dataDxfId="60">
      <calculatedColumnFormula>DATE(2026,1,5)</calculatedColumnFormula>
    </tableColumn>
    <tableColumn id="2" xr3:uid="{FC6DDBAF-A885-4060-A622-DA5332C99D3B}" name="Category" dataDxfId="59"/>
    <tableColumn id="3" xr3:uid="{56D52A44-7DA3-4324-AB07-2A21D0F92452}" name="Type" dataDxfId="58">
      <calculatedColumnFormula>IFERROR(_xlfn.XLOOKUP(TransactionsLog[[#This Row],[Category]],CategoryList,CategoryTypeList),"")</calculatedColumnFormula>
    </tableColumn>
    <tableColumn id="4" xr3:uid="{9F9EFF38-DFB3-490A-8A68-8356C0AD45E6}" name="Amount" dataDxfId="57"/>
    <tableColumn id="5" xr3:uid="{64043544-F2B7-472D-B2DE-C25A88DCD6E8}" name="Notes" dataDxfId="56"/>
  </tableColumns>
  <tableStyleInfo name="TableStyleMedium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4DE61B-D6E1-4348-B4E8-889AA4643D23}" name="SubscriptionTracker" displayName="SubscriptionTracker" ref="A6:I36" totalsRowShown="0" headerRowDxfId="55" dataDxfId="54">
  <autoFilter ref="A6:I36" xr:uid="{6A4DE61B-D6E1-4348-B4E8-889AA4643D23}"/>
  <tableColumns count="9">
    <tableColumn id="1" xr3:uid="{6CA8FCB0-76B8-40A8-A90F-2F09080F9524}" name="Subscription" dataDxfId="53"/>
    <tableColumn id="2" xr3:uid="{F1D2F9BC-6E8D-4257-96DC-784A208DDD8A}" name="Category" dataDxfId="52"/>
    <tableColumn id="3" xr3:uid="{6FF9FBB9-164B-4628-A4D8-7D775A659D59}" name="Billing Frequency" dataDxfId="51"/>
    <tableColumn id="4" xr3:uid="{7818A9D3-CFBE-4B61-99D5-375593D2F1A2}" name="Auto-Renew" dataDxfId="50"/>
    <tableColumn id="5" xr3:uid="{932557A5-8420-4E12-B89A-6BA35D411318}" name="Debit Day" dataDxfId="49"/>
    <tableColumn id="6" xr3:uid="{162411E7-E658-42C0-B71A-ED231FDADF33}" name="Price" dataDxfId="48"/>
    <tableColumn id="7" xr3:uid="{A762BAFD-F0F5-495C-B1D7-3FEF4FC65C41}" name="Monthly Price" dataDxfId="47">
      <calculatedColumnFormula>IFERROR(IF(SubscriptionTracker[[#This Row],[Billing Frequency]]="Monthly",SubscriptionTracker[[#This Row],[Price]],IF(SubscriptionTracker[[#This Row],[Billing Frequency]]="Quarterly",SubscriptionTracker[[#This Row],[Price]]/3,IF(SubscriptionTracker[[#This Row],[Billing Frequency]]="Annually",SubscriptionTracker[[#This Row],[Price]]/12,""))),"")</calculatedColumnFormula>
    </tableColumn>
    <tableColumn id="8" xr3:uid="{582B02A6-55B3-43DF-AA8B-D82D6161D1E3}" name="Annual Price" dataDxfId="46">
      <calculatedColumnFormula>IFERROR(SubscriptionTracker[[#This Row],[Monthly Price]]*12,"")</calculatedColumnFormula>
    </tableColumn>
    <tableColumn id="9" xr3:uid="{FA637FFD-3C8B-4DA5-A64C-58FBF150D578}" name="Notes" dataDxfId="45"/>
  </tableColumns>
  <tableStyleInfo name="TableStyleMedium15"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70AA68C-8AC6-4ACD-930F-60AB0F9EA3A8}" name="GoalLog" displayName="GoalLog" ref="A30:D90" totalsRowShown="0" headerRowDxfId="44" dataDxfId="43">
  <autoFilter ref="A30:D90" xr:uid="{370AA68C-8AC6-4ACD-930F-60AB0F9EA3A8}"/>
  <tableColumns count="4">
    <tableColumn id="1" xr3:uid="{6C54A5BD-B1B5-4780-9F86-AD6AE23A5330}" name="Date" dataDxfId="42"/>
    <tableColumn id="2" xr3:uid="{D6B410B2-B469-4541-87BE-EF3C70005653}" name="Goal Name" dataDxfId="41"/>
    <tableColumn id="3" xr3:uid="{9D75E1A6-4983-4EB3-8B04-6A8D5F8443F2}" name="Amount" dataDxfId="40"/>
    <tableColumn id="4" xr3:uid="{24D090A6-D45E-4D98-A486-7BBE15A1EA34}" name="Notes" dataDxfId="39"/>
  </tableColumns>
  <tableStyleInfo name="TableStyleMedium15" showFirstColumn="0" showLastColumn="0" showRowStripes="0"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31" dT="2026-08-14T16:28:35.09" personId="{C9B03A57-AD1A-4B04-B24F-8A432A23AEEB}" id="{1D41EC34-8403-42A1-A440-C7A217B54FF8}">
    <text>This total is linked from the Subscription Tracker tab — don't log individual subscriptions here too.</text>
  </threadedComment>
</ThreadedComments>
</file>

<file path=xl/threadedComments/threadedComment2.xml><?xml version="1.0" encoding="utf-8"?>
<ThreadedComments xmlns="http://schemas.microsoft.com/office/spreadsheetml/2018/threadedcomments" xmlns:x="http://schemas.openxmlformats.org/spreadsheetml/2006/main">
  <threadedComment ref="C14" dT="2026-08-14T17:05:33.67" personId="{C9B03A57-AD1A-4B04-B24F-8A432A23AEEB}" id="{907B566A-4B98-4B0A-809D-49D4CA429BBC}">
    <text>This usually fills in on its own from your Transactions Log. You can type over a number here if you need to, but then that one cell will stop updating automatically.</text>
  </threadedComment>
  <threadedComment ref="C23" dT="2026-08-14T17:05:33.67" personId="{C9B03A57-AD1A-4B04-B24F-8A432A23AEEB}" id="{C9F9D6A7-0316-4C91-B81B-B374761FF163}">
    <text>This usually fills in on its own from your Transactions Log. You can type over a number here if you need to, but then that one cell will stop updating automatically.</text>
  </threadedComment>
  <threadedComment ref="C31" dT="2026-08-14T16:24:57.00" personId="{C9B03A57-AD1A-4B04-B24F-8A432A23AEEB}" id="{B5831E77-0655-4592-B191-D98C9E6E01E7}">
    <text>This total is linked from the Subscription Tracker tab — don't log individual subscriptions here too.</text>
  </threadedComment>
  <threadedComment ref="C35" dT="2026-08-14T17:05:33.67" personId="{C9B03A57-AD1A-4B04-B24F-8A432A23AEEB}" id="{F3F68E2D-9876-4403-B51B-3631C95D5DA1}">
    <text>This usually fills in on its own from your Transactions Log. You can type over a number here if you need to, but then that one cell will stop updating automatically.</text>
  </threadedComment>
  <threadedComment ref="C47" dT="2026-08-14T17:05:33.68" personId="{C9B03A57-AD1A-4B04-B24F-8A432A23AEEB}" id="{67B9B526-B8DA-4ECB-A379-9E6A99720437}">
    <text>This usually fills in on its own from your Transactions Log. You can type over a number here if you need to, but then that one cell will stop updating automatically.</text>
  </threadedComment>
  <threadedComment ref="C56" dT="2026-08-14T17:05:33.68" personId="{C9B03A57-AD1A-4B04-B24F-8A432A23AEEB}" id="{864CF0EB-8F7F-4EDB-853D-2960FAB5B087}">
    <text>This usually fills in on its own from your Transactions Log. You can type over a number here if you need to, but then that one cell will stop updating automatically.</text>
  </threadedComment>
</ThreadedComments>
</file>

<file path=xl/threadedComments/threadedComment3.xml><?xml version="1.0" encoding="utf-8"?>
<ThreadedComments xmlns="http://schemas.microsoft.com/office/spreadsheetml/2018/threadedcomments" xmlns:x="http://schemas.openxmlformats.org/spreadsheetml/2006/main">
  <threadedComment ref="C14" dT="2026-08-14T17:05:33.68" personId="{C9B03A57-AD1A-4B04-B24F-8A432A23AEEB}" id="{987E449E-E24D-4632-AC6E-4F214AB1D261}">
    <text>This usually fills in on its own from your Transactions Log. You can type over a number here if you need to, but then that one cell will stop updating automatically.</text>
  </threadedComment>
  <threadedComment ref="C23" dT="2026-08-14T17:05:33.68" personId="{C9B03A57-AD1A-4B04-B24F-8A432A23AEEB}" id="{BC35EB27-F404-4D36-85FE-73735C4E8C00}">
    <text>This usually fills in on its own from your Transactions Log. You can type over a number here if you need to, but then that one cell will stop updating automatically.</text>
  </threadedComment>
  <threadedComment ref="C31" dT="2026-08-14T16:28:35.59" personId="{C9B03A57-AD1A-4B04-B24F-8A432A23AEEB}" id="{0D4ED7CA-5F11-454D-A5CD-B4B24A0799E1}">
    <text>This total is linked from the Subscription Tracker tab — don't log individual subscriptions here too.</text>
  </threadedComment>
  <threadedComment ref="C35" dT="2026-08-14T17:05:33.69" personId="{C9B03A57-AD1A-4B04-B24F-8A432A23AEEB}" id="{1A07E15D-1692-4B7E-A84D-C1503C1EEDFE}">
    <text>This usually fills in on its own from your Transactions Log. You can type over a number here if you need to, but then that one cell will stop updating automatically.</text>
  </threadedComment>
  <threadedComment ref="C47" dT="2026-08-14T17:05:33.69" personId="{C9B03A57-AD1A-4B04-B24F-8A432A23AEEB}" id="{E856161F-8314-4F62-BFAB-46A2FDDF98AF}">
    <text>This usually fills in on its own from your Transactions Log. You can type over a number here if you need to, but then that one cell will stop updating automatically.</text>
  </threadedComment>
  <threadedComment ref="C56" dT="2026-08-14T17:05:33.70" personId="{C9B03A57-AD1A-4B04-B24F-8A432A23AEEB}" id="{5658D569-BEA7-429D-8446-8653D82DCC78}">
    <text>This usually fills in on its own from your Transactions Log. You can type over a number here if you need to, but then that one cell will stop updating automatically.</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679E3E5-EC9D-4B62-9034-5BEB68BC9DDC}">
  <we:reference id="WA200009404" version="1.0.0.8" store="Omex" storeType="OMEX"/>
  <we:alternateReferences>
    <we:reference id="WA200009404" version="1.0.0.8" store="WA200009404" storeType="OMEX"/>
  </we:alternateReferences>
  <we:properties>
    <we:property name="claude.fileId" value="&quot;abdc5f9d-cb03-4649-8b9b-18a4ce9ccf6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FCC39-EFC3-4B7E-873A-6AC9126E6EE5}">
  <sheetPr>
    <tabColor rgb="FF3B3733"/>
  </sheetPr>
  <dimension ref="A1:A30"/>
  <sheetViews>
    <sheetView showGridLines="0" topLeftCell="A2" workbookViewId="0">
      <selection activeCell="A26" sqref="A26"/>
    </sheetView>
  </sheetViews>
  <sheetFormatPr defaultRowHeight="15" x14ac:dyDescent="0.25"/>
  <cols>
    <col min="1" max="1" width="148.5703125" customWidth="1"/>
  </cols>
  <sheetData>
    <row r="1" spans="1:1" ht="37.5" x14ac:dyDescent="0.5">
      <c r="A1" s="121" t="s">
        <v>165</v>
      </c>
    </row>
    <row r="2" spans="1:1" ht="18" x14ac:dyDescent="0.25">
      <c r="A2" s="38" t="s">
        <v>197</v>
      </c>
    </row>
    <row r="3" spans="1:1" ht="36" customHeight="1" x14ac:dyDescent="0.25">
      <c r="A3" s="41"/>
    </row>
    <row r="4" spans="1:1" ht="15.75" x14ac:dyDescent="0.25">
      <c r="A4" s="39" t="s">
        <v>198</v>
      </c>
    </row>
    <row r="5" spans="1:1" x14ac:dyDescent="0.25">
      <c r="A5" s="41"/>
    </row>
    <row r="6" spans="1:1" x14ac:dyDescent="0.25">
      <c r="A6" s="45" t="s">
        <v>166</v>
      </c>
    </row>
    <row r="7" spans="1:1" x14ac:dyDescent="0.25">
      <c r="A7" s="41"/>
    </row>
    <row r="8" spans="1:1" ht="20.25" x14ac:dyDescent="0.3">
      <c r="A8" s="40" t="s">
        <v>167</v>
      </c>
    </row>
    <row r="9" spans="1:1" ht="30" x14ac:dyDescent="0.25">
      <c r="A9" s="41" t="s">
        <v>199</v>
      </c>
    </row>
    <row r="10" spans="1:1" ht="30" x14ac:dyDescent="0.25">
      <c r="A10" s="41" t="s">
        <v>200</v>
      </c>
    </row>
    <row r="11" spans="1:1" ht="30" x14ac:dyDescent="0.25">
      <c r="A11" s="41" t="s">
        <v>201</v>
      </c>
    </row>
    <row r="12" spans="1:1" ht="30" x14ac:dyDescent="0.25">
      <c r="A12" s="41" t="s">
        <v>202</v>
      </c>
    </row>
    <row r="13" spans="1:1" ht="30" x14ac:dyDescent="0.25">
      <c r="A13" s="41" t="s">
        <v>168</v>
      </c>
    </row>
    <row r="14" spans="1:1" ht="30" x14ac:dyDescent="0.25">
      <c r="A14" s="41" t="s">
        <v>169</v>
      </c>
    </row>
    <row r="15" spans="1:1" ht="30" x14ac:dyDescent="0.25">
      <c r="A15" s="41" t="s">
        <v>203</v>
      </c>
    </row>
    <row r="16" spans="1:1" x14ac:dyDescent="0.25">
      <c r="A16" s="41"/>
    </row>
    <row r="17" spans="1:1" ht="18" x14ac:dyDescent="0.25">
      <c r="A17" s="42" t="s">
        <v>170</v>
      </c>
    </row>
    <row r="18" spans="1:1" x14ac:dyDescent="0.25">
      <c r="A18" s="41" t="s">
        <v>171</v>
      </c>
    </row>
    <row r="19" spans="1:1" ht="30" x14ac:dyDescent="0.25">
      <c r="A19" s="41" t="s">
        <v>204</v>
      </c>
    </row>
    <row r="20" spans="1:1" x14ac:dyDescent="0.25">
      <c r="A20" s="41"/>
    </row>
    <row r="21" spans="1:1" ht="18" x14ac:dyDescent="0.25">
      <c r="A21" s="43" t="s">
        <v>172</v>
      </c>
    </row>
    <row r="22" spans="1:1" x14ac:dyDescent="0.25">
      <c r="A22" s="41" t="s">
        <v>205</v>
      </c>
    </row>
    <row r="23" spans="1:1" x14ac:dyDescent="0.25">
      <c r="A23" s="41" t="s">
        <v>173</v>
      </c>
    </row>
    <row r="24" spans="1:1" x14ac:dyDescent="0.25">
      <c r="A24" s="41" t="s">
        <v>174</v>
      </c>
    </row>
    <row r="25" spans="1:1" x14ac:dyDescent="0.25">
      <c r="A25" s="41" t="s">
        <v>175</v>
      </c>
    </row>
    <row r="26" spans="1:1" ht="30" x14ac:dyDescent="0.25">
      <c r="A26" s="163" t="s">
        <v>222</v>
      </c>
    </row>
    <row r="27" spans="1:1" ht="16.5" x14ac:dyDescent="0.25">
      <c r="A27" s="47" t="s">
        <v>176</v>
      </c>
    </row>
    <row r="28" spans="1:1" x14ac:dyDescent="0.25">
      <c r="A28" s="44" t="s">
        <v>177</v>
      </c>
    </row>
    <row r="29" spans="1:1" x14ac:dyDescent="0.25">
      <c r="A29" s="46" t="s">
        <v>178</v>
      </c>
    </row>
    <row r="30" spans="1:1" x14ac:dyDescent="0.25">
      <c r="A30" s="45"/>
    </row>
  </sheetData>
  <sheetProtection sheet="1" objects="1" scenarios="1" formatCells="0" sort="0" autoFilter="0"/>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5DE3C-0C48-40CC-B9F5-464FCD441C14}">
  <sheetPr>
    <tabColor rgb="FFD6E8D6"/>
    <pageSetUpPr fitToPage="1"/>
  </sheetPr>
  <dimension ref="A1:Z211"/>
  <sheetViews>
    <sheetView showGridLines="0" zoomScale="70" zoomScaleNormal="70" workbookViewId="0">
      <selection activeCell="A2" sqref="A2:F2"/>
    </sheetView>
  </sheetViews>
  <sheetFormatPr defaultRowHeight="15" outlineLevelCol="4" x14ac:dyDescent="0.25"/>
  <cols>
    <col min="1" max="1" width="28.5703125" customWidth="1"/>
    <col min="2" max="3" width="13.42578125" bestFit="1" customWidth="1"/>
    <col min="4" max="4" width="29.7109375" bestFit="1" customWidth="1"/>
    <col min="5" max="5" width="14.28515625" customWidth="1"/>
    <col min="6" max="6" width="13.28515625" customWidth="1"/>
    <col min="7" max="8" width="11" customWidth="1"/>
    <col min="9" max="13" width="15.28515625" customWidth="1"/>
    <col min="14" max="15" width="0" style="12" hidden="1" customWidth="1" outlineLevel="4"/>
    <col min="16" max="16" width="0" hidden="1" customWidth="1" outlineLevel="3"/>
    <col min="17" max="17" width="9.140625" collapsed="1"/>
  </cols>
  <sheetData>
    <row r="1" spans="1:26" ht="36" customHeight="1" x14ac:dyDescent="0.5">
      <c r="A1" s="120" t="s">
        <v>212</v>
      </c>
      <c r="B1" s="53"/>
      <c r="C1" s="53"/>
      <c r="D1" s="53"/>
      <c r="E1" s="53"/>
      <c r="F1" s="53"/>
      <c r="G1" s="208" t="s">
        <v>196</v>
      </c>
      <c r="H1" s="209"/>
      <c r="I1" s="174" t="s">
        <v>216</v>
      </c>
      <c r="J1" s="175" t="s">
        <v>217</v>
      </c>
      <c r="K1" s="176" t="s">
        <v>218</v>
      </c>
      <c r="L1" s="177" t="s">
        <v>219</v>
      </c>
      <c r="M1" s="178" t="s">
        <v>220</v>
      </c>
      <c r="N1" s="191"/>
      <c r="O1" s="191"/>
      <c r="P1" s="191"/>
      <c r="Q1" s="64"/>
      <c r="R1" s="64"/>
      <c r="S1" s="64"/>
      <c r="T1" s="64"/>
      <c r="U1" s="64"/>
      <c r="V1" s="64"/>
      <c r="W1" s="64"/>
      <c r="X1" s="64"/>
      <c r="Y1" s="64"/>
      <c r="Z1" s="64"/>
    </row>
    <row r="2" spans="1:26" ht="30" customHeight="1" x14ac:dyDescent="0.25">
      <c r="A2" s="201" t="s">
        <v>213</v>
      </c>
      <c r="B2" s="201"/>
      <c r="C2" s="201"/>
      <c r="D2" s="201"/>
      <c r="E2" s="201"/>
      <c r="F2" s="202"/>
      <c r="G2" s="210">
        <f>E10</f>
        <v>233.02999999999997</v>
      </c>
      <c r="H2" s="211"/>
      <c r="I2" s="214">
        <f>C20</f>
        <v>3850</v>
      </c>
      <c r="J2" s="216">
        <f>C32</f>
        <v>1942.97</v>
      </c>
      <c r="K2" s="218">
        <f>C44</f>
        <v>1049</v>
      </c>
      <c r="L2" s="220">
        <f>C53</f>
        <v>475</v>
      </c>
      <c r="M2" s="204">
        <f>C61</f>
        <v>150</v>
      </c>
      <c r="N2" s="143"/>
      <c r="O2" s="143"/>
      <c r="P2" s="144"/>
      <c r="Q2" s="64"/>
      <c r="R2" s="64"/>
      <c r="S2" s="64"/>
      <c r="T2" s="64"/>
      <c r="U2" s="64"/>
      <c r="V2" s="64"/>
      <c r="W2" s="64"/>
      <c r="X2" s="64"/>
      <c r="Y2" s="64"/>
      <c r="Z2" s="64"/>
    </row>
    <row r="3" spans="1:26" ht="26.1" customHeight="1" thickBot="1" x14ac:dyDescent="0.3">
      <c r="A3" s="53"/>
      <c r="B3" s="53"/>
      <c r="C3" s="53"/>
      <c r="D3" s="53"/>
      <c r="E3" s="53"/>
      <c r="F3" s="53"/>
      <c r="G3" s="212"/>
      <c r="H3" s="213"/>
      <c r="I3" s="215"/>
      <c r="J3" s="217"/>
      <c r="K3" s="219"/>
      <c r="L3" s="221"/>
      <c r="M3" s="205"/>
      <c r="N3" s="145" t="s">
        <v>100</v>
      </c>
      <c r="O3" s="143"/>
      <c r="P3" s="144"/>
      <c r="Q3" s="64"/>
      <c r="R3" s="64"/>
      <c r="S3" s="64"/>
      <c r="T3" s="64"/>
      <c r="U3" s="64"/>
      <c r="V3" s="64"/>
      <c r="W3" s="64"/>
      <c r="X3" s="64"/>
      <c r="Y3" s="64"/>
      <c r="Z3" s="64"/>
    </row>
    <row r="4" spans="1:26" ht="16.5" x14ac:dyDescent="0.25">
      <c r="A4" s="14" t="s">
        <v>78</v>
      </c>
      <c r="B4" s="15"/>
      <c r="C4" s="55"/>
      <c r="D4" s="14" t="s">
        <v>81</v>
      </c>
      <c r="E4" s="13"/>
      <c r="F4" s="15"/>
      <c r="G4" s="206" t="str">
        <f ca="1">"Days left: "&amp;IF(ISNUMBER(B7),MAX(B7-TODAY(),0),0)</f>
        <v>Days left: 0</v>
      </c>
      <c r="H4" s="207"/>
      <c r="I4" s="207"/>
      <c r="J4" s="207"/>
      <c r="K4" s="207"/>
      <c r="L4" s="207"/>
      <c r="M4" s="207"/>
      <c r="N4" s="143" t="s">
        <v>101</v>
      </c>
      <c r="O4" s="146">
        <f>MAX(E10,0)</f>
        <v>233.02999999999997</v>
      </c>
      <c r="P4" s="144"/>
      <c r="Q4" s="64"/>
      <c r="R4" s="64"/>
      <c r="S4" s="64"/>
      <c r="T4" s="64"/>
      <c r="U4" s="64"/>
      <c r="V4" s="64"/>
      <c r="W4" s="64"/>
      <c r="X4" s="64"/>
      <c r="Y4" s="64"/>
      <c r="Z4" s="64"/>
    </row>
    <row r="5" spans="1:26" x14ac:dyDescent="0.25">
      <c r="A5" s="56" t="s">
        <v>79</v>
      </c>
      <c r="B5" s="148">
        <v>46023</v>
      </c>
      <c r="C5" s="53"/>
      <c r="D5" s="56" t="s">
        <v>4</v>
      </c>
      <c r="E5" s="57">
        <f>C20</f>
        <v>3850</v>
      </c>
      <c r="F5" s="58"/>
      <c r="G5" s="53"/>
      <c r="H5" s="53"/>
      <c r="I5" s="53"/>
      <c r="J5" s="53"/>
      <c r="K5" s="53"/>
      <c r="L5" s="53"/>
      <c r="M5" s="53"/>
      <c r="N5" s="143" t="s">
        <v>102</v>
      </c>
      <c r="O5" s="146">
        <f>C32+C44+C53+C61</f>
        <v>3616.9700000000003</v>
      </c>
      <c r="P5" s="144"/>
      <c r="Q5" s="64"/>
      <c r="R5" s="64"/>
      <c r="S5" s="64"/>
      <c r="T5" s="64"/>
      <c r="U5" s="64"/>
      <c r="V5" s="64"/>
      <c r="W5" s="64"/>
      <c r="X5" s="64"/>
      <c r="Y5" s="64"/>
      <c r="Z5" s="64"/>
    </row>
    <row r="6" spans="1:26" x14ac:dyDescent="0.25">
      <c r="A6" s="56" t="s">
        <v>39</v>
      </c>
      <c r="B6" s="172" t="s">
        <v>43</v>
      </c>
      <c r="C6" s="53"/>
      <c r="D6" s="56" t="s">
        <v>82</v>
      </c>
      <c r="E6" s="57">
        <f>-C32</f>
        <v>-1942.97</v>
      </c>
      <c r="F6" s="58"/>
      <c r="G6" s="53"/>
      <c r="H6" s="53"/>
      <c r="I6" s="53"/>
      <c r="J6" s="53"/>
      <c r="K6" s="53"/>
      <c r="L6" s="53"/>
      <c r="M6" s="53"/>
      <c r="N6" s="143"/>
      <c r="O6" s="143"/>
      <c r="P6" s="144"/>
      <c r="Q6" s="64"/>
      <c r="R6" s="64"/>
      <c r="S6" s="64"/>
      <c r="T6" s="64"/>
      <c r="U6" s="64"/>
      <c r="V6" s="64"/>
      <c r="W6" s="64"/>
      <c r="X6" s="64"/>
      <c r="Y6" s="64"/>
      <c r="Z6" s="64"/>
    </row>
    <row r="7" spans="1:26" x14ac:dyDescent="0.25">
      <c r="A7" s="56" t="s">
        <v>80</v>
      </c>
      <c r="B7" s="149">
        <v>46053</v>
      </c>
      <c r="C7" s="59"/>
      <c r="D7" s="56" t="s">
        <v>83</v>
      </c>
      <c r="E7" s="57">
        <f>-C44</f>
        <v>-1049</v>
      </c>
      <c r="F7" s="58"/>
      <c r="G7" s="53"/>
      <c r="H7" s="53"/>
      <c r="I7" s="53"/>
      <c r="J7" s="53"/>
      <c r="K7" s="53"/>
      <c r="L7" s="53"/>
      <c r="M7" s="53"/>
      <c r="N7" s="143"/>
      <c r="O7" s="143"/>
      <c r="P7" s="144"/>
      <c r="Q7" s="64"/>
      <c r="R7" s="64"/>
      <c r="S7" s="64"/>
      <c r="T7" s="64"/>
      <c r="U7" s="64"/>
      <c r="V7" s="64"/>
      <c r="W7" s="64"/>
      <c r="X7" s="64"/>
      <c r="Y7" s="64"/>
      <c r="Z7" s="64"/>
    </row>
    <row r="8" spans="1:26" x14ac:dyDescent="0.25">
      <c r="A8" s="60" t="s">
        <v>44</v>
      </c>
      <c r="B8" s="173" t="s">
        <v>45</v>
      </c>
      <c r="C8" s="53"/>
      <c r="D8" s="56" t="s">
        <v>84</v>
      </c>
      <c r="E8" s="57">
        <f>-C53</f>
        <v>-475</v>
      </c>
      <c r="F8" s="58"/>
      <c r="G8" s="53"/>
      <c r="H8" s="53"/>
      <c r="I8" s="53"/>
      <c r="J8" s="53"/>
      <c r="K8" s="53"/>
      <c r="L8" s="53"/>
      <c r="M8" s="53"/>
      <c r="N8" s="143" t="s">
        <v>82</v>
      </c>
      <c r="O8" s="146">
        <f>C32</f>
        <v>1942.97</v>
      </c>
      <c r="P8" s="144"/>
      <c r="Q8" s="64"/>
      <c r="R8" s="64"/>
      <c r="S8" s="64"/>
      <c r="T8" s="64"/>
      <c r="U8" s="64"/>
      <c r="V8" s="64"/>
      <c r="W8" s="64"/>
      <c r="X8" s="64"/>
      <c r="Y8" s="64"/>
      <c r="Z8" s="64"/>
    </row>
    <row r="9" spans="1:26" x14ac:dyDescent="0.25">
      <c r="A9" s="53"/>
      <c r="B9" s="53"/>
      <c r="C9" s="53"/>
      <c r="D9" s="56" t="s">
        <v>34</v>
      </c>
      <c r="E9" s="57">
        <f>-C61</f>
        <v>-150</v>
      </c>
      <c r="F9" s="58"/>
      <c r="G9" s="53"/>
      <c r="H9" s="53"/>
      <c r="I9" s="53"/>
      <c r="J9" s="53"/>
      <c r="K9" s="53"/>
      <c r="L9" s="53"/>
      <c r="M9" s="53"/>
      <c r="N9" s="143" t="s">
        <v>83</v>
      </c>
      <c r="O9" s="146">
        <f>C44</f>
        <v>1049</v>
      </c>
      <c r="P9" s="144"/>
      <c r="Q9" s="64"/>
      <c r="R9" s="64"/>
      <c r="S9" s="64"/>
      <c r="T9" s="64"/>
      <c r="U9" s="64"/>
      <c r="V9" s="64"/>
      <c r="W9" s="64"/>
      <c r="X9" s="64"/>
      <c r="Y9" s="64"/>
      <c r="Z9" s="64"/>
    </row>
    <row r="10" spans="1:26" x14ac:dyDescent="0.25">
      <c r="A10" s="53"/>
      <c r="B10" s="53"/>
      <c r="C10" s="53"/>
      <c r="D10" s="62" t="s">
        <v>85</v>
      </c>
      <c r="E10" s="77">
        <f>E5+E6+E7+E8+E9</f>
        <v>233.02999999999997</v>
      </c>
      <c r="F10" s="61"/>
      <c r="G10" s="53"/>
      <c r="H10" s="53"/>
      <c r="I10" s="203">
        <f>E10</f>
        <v>233.02999999999997</v>
      </c>
      <c r="J10" s="203"/>
      <c r="K10" s="203"/>
      <c r="L10" s="53"/>
      <c r="M10" s="53"/>
      <c r="N10" s="143" t="s">
        <v>84</v>
      </c>
      <c r="O10" s="146">
        <f>C53</f>
        <v>475</v>
      </c>
      <c r="P10" s="144"/>
      <c r="Q10" s="64"/>
      <c r="R10" s="64"/>
      <c r="S10" s="64"/>
      <c r="T10" s="64"/>
      <c r="U10" s="64"/>
      <c r="V10" s="64"/>
      <c r="W10" s="64"/>
      <c r="X10" s="64"/>
      <c r="Y10" s="64"/>
      <c r="Z10" s="64"/>
    </row>
    <row r="11" spans="1:26" x14ac:dyDescent="0.25">
      <c r="A11" s="53"/>
      <c r="B11" s="53"/>
      <c r="C11" s="53"/>
      <c r="D11" s="53"/>
      <c r="E11" s="53"/>
      <c r="F11" s="53"/>
      <c r="G11" s="53"/>
      <c r="H11" s="53"/>
      <c r="I11" s="203"/>
      <c r="J11" s="203"/>
      <c r="K11" s="203"/>
      <c r="L11" s="53"/>
      <c r="M11" s="53"/>
      <c r="N11" s="143" t="s">
        <v>34</v>
      </c>
      <c r="O11" s="146">
        <f>C61</f>
        <v>150</v>
      </c>
      <c r="P11" s="144"/>
      <c r="Q11" s="64"/>
      <c r="R11" s="64"/>
      <c r="S11" s="64"/>
      <c r="T11" s="64"/>
      <c r="U11" s="64"/>
      <c r="V11" s="64"/>
      <c r="W11" s="64"/>
      <c r="X11" s="64"/>
      <c r="Y11" s="64"/>
      <c r="Z11" s="64"/>
    </row>
    <row r="12" spans="1:26" x14ac:dyDescent="0.25">
      <c r="A12" s="53"/>
      <c r="B12" s="53"/>
      <c r="C12" s="53"/>
      <c r="D12" s="53"/>
      <c r="E12" s="53"/>
      <c r="F12" s="53"/>
      <c r="G12" s="53"/>
      <c r="H12" s="53"/>
      <c r="I12" s="203"/>
      <c r="J12" s="203"/>
      <c r="K12" s="203"/>
      <c r="L12" s="53"/>
      <c r="M12" s="53"/>
      <c r="N12" s="143" t="s">
        <v>101</v>
      </c>
      <c r="O12" s="146">
        <f>MAX(E10,0)</f>
        <v>233.02999999999997</v>
      </c>
      <c r="P12" s="144"/>
      <c r="Q12" s="64"/>
      <c r="R12" s="64"/>
      <c r="S12" s="64"/>
      <c r="T12" s="64"/>
      <c r="U12" s="64"/>
      <c r="V12" s="64"/>
      <c r="W12" s="64"/>
      <c r="X12" s="64"/>
      <c r="Y12" s="64"/>
      <c r="Z12" s="64"/>
    </row>
    <row r="13" spans="1:26" x14ac:dyDescent="0.25">
      <c r="A13" s="53"/>
      <c r="B13" s="53"/>
      <c r="C13" s="53"/>
      <c r="D13" s="53"/>
      <c r="E13" s="53"/>
      <c r="F13" s="53"/>
      <c r="G13" s="53"/>
      <c r="H13" s="53"/>
      <c r="I13" s="53"/>
      <c r="J13" s="53"/>
      <c r="K13" s="53"/>
      <c r="L13" s="53"/>
      <c r="M13" s="53"/>
      <c r="N13" s="143"/>
      <c r="O13" s="143"/>
      <c r="P13" s="144"/>
      <c r="Q13" s="64"/>
      <c r="R13" s="64"/>
      <c r="S13" s="64"/>
      <c r="T13" s="64"/>
      <c r="U13" s="64"/>
      <c r="V13" s="64"/>
      <c r="W13" s="64"/>
      <c r="X13" s="64"/>
      <c r="Y13" s="64"/>
      <c r="Z13" s="64"/>
    </row>
    <row r="14" spans="1:26" ht="18" customHeight="1" x14ac:dyDescent="0.25">
      <c r="A14" s="83" t="s">
        <v>86</v>
      </c>
      <c r="B14" s="79" t="s">
        <v>87</v>
      </c>
      <c r="C14" s="79" t="s">
        <v>88</v>
      </c>
      <c r="D14" s="80" t="s">
        <v>89</v>
      </c>
      <c r="E14" s="86" t="s">
        <v>195</v>
      </c>
      <c r="F14" s="53"/>
      <c r="G14" s="53"/>
      <c r="H14" s="53"/>
      <c r="I14" s="53"/>
      <c r="J14" s="53"/>
      <c r="K14" s="53"/>
      <c r="L14" s="53"/>
      <c r="M14" s="53"/>
      <c r="N14" s="143"/>
      <c r="O14" s="143"/>
      <c r="P14" s="144"/>
      <c r="Q14" s="64"/>
      <c r="R14" s="64"/>
      <c r="S14" s="64"/>
      <c r="T14" s="64"/>
      <c r="U14" s="64"/>
      <c r="V14" s="64"/>
      <c r="W14" s="64"/>
      <c r="X14" s="64"/>
      <c r="Y14" s="64"/>
      <c r="Z14" s="64"/>
    </row>
    <row r="15" spans="1:26" ht="18" customHeight="1" x14ac:dyDescent="0.25">
      <c r="A15" s="84" t="str">
        <f>Settings!A3</f>
        <v>Paycheck</v>
      </c>
      <c r="B15" s="127">
        <v>3600</v>
      </c>
      <c r="C15" s="127">
        <v>3600</v>
      </c>
      <c r="D15" s="76">
        <f t="shared" ref="D15:D20" si="0">C15-B15</f>
        <v>0</v>
      </c>
      <c r="E15" s="128"/>
      <c r="F15" s="53"/>
      <c r="G15" s="53"/>
      <c r="H15" s="53"/>
      <c r="I15" s="53"/>
      <c r="J15" s="53"/>
      <c r="K15" s="53"/>
      <c r="L15" s="53"/>
      <c r="M15" s="53"/>
      <c r="N15" s="143" t="s">
        <v>1</v>
      </c>
      <c r="O15" s="143" t="s">
        <v>88</v>
      </c>
      <c r="P15" s="144"/>
      <c r="Q15" s="64"/>
      <c r="R15" s="64"/>
      <c r="S15" s="64"/>
      <c r="T15" s="64"/>
      <c r="U15" s="64"/>
      <c r="V15" s="64"/>
      <c r="W15" s="64"/>
      <c r="X15" s="64"/>
      <c r="Y15" s="64"/>
      <c r="Z15" s="64"/>
    </row>
    <row r="16" spans="1:26" ht="18" customHeight="1" x14ac:dyDescent="0.25">
      <c r="A16" s="84" t="str">
        <f>Settings!A4</f>
        <v>Side Income</v>
      </c>
      <c r="B16" s="127">
        <v>200</v>
      </c>
      <c r="C16" s="127">
        <v>150</v>
      </c>
      <c r="D16" s="76">
        <f t="shared" si="0"/>
        <v>-50</v>
      </c>
      <c r="E16" s="128"/>
      <c r="F16" s="53"/>
      <c r="G16" s="53"/>
      <c r="H16" s="53"/>
      <c r="I16" s="53"/>
      <c r="J16" s="53"/>
      <c r="K16" s="53"/>
      <c r="L16" s="53"/>
      <c r="M16" s="53"/>
      <c r="N16" s="143" t="str">
        <f t="shared" ref="N16:N23" si="1">A36</f>
        <v>Groceries</v>
      </c>
      <c r="O16" s="146">
        <f t="shared" ref="O16:O23" si="2">C36</f>
        <v>445</v>
      </c>
      <c r="P16" s="144"/>
      <c r="Q16" s="64"/>
      <c r="R16" s="64"/>
      <c r="S16" s="64"/>
      <c r="T16" s="64"/>
      <c r="U16" s="64"/>
      <c r="V16" s="64"/>
      <c r="W16" s="64"/>
      <c r="X16" s="64"/>
      <c r="Y16" s="64"/>
      <c r="Z16" s="64"/>
    </row>
    <row r="17" spans="1:26" ht="18" customHeight="1" x14ac:dyDescent="0.25">
      <c r="A17" s="84" t="str">
        <f>Settings!A5</f>
        <v>Freelance Income</v>
      </c>
      <c r="B17" s="127">
        <v>0</v>
      </c>
      <c r="C17" s="127">
        <v>100</v>
      </c>
      <c r="D17" s="76">
        <f t="shared" si="0"/>
        <v>100</v>
      </c>
      <c r="E17" s="128"/>
      <c r="F17" s="53"/>
      <c r="G17" s="53"/>
      <c r="H17" s="53"/>
      <c r="I17" s="53"/>
      <c r="J17" s="53"/>
      <c r="K17" s="53"/>
      <c r="L17" s="53"/>
      <c r="M17" s="53"/>
      <c r="N17" s="143" t="str">
        <f t="shared" si="1"/>
        <v>Dining Out</v>
      </c>
      <c r="O17" s="146">
        <f t="shared" si="2"/>
        <v>187</v>
      </c>
      <c r="P17" s="144"/>
      <c r="Q17" s="64"/>
      <c r="R17" s="64"/>
      <c r="S17" s="64"/>
      <c r="T17" s="64"/>
      <c r="U17" s="64"/>
      <c r="V17" s="64"/>
      <c r="W17" s="64"/>
      <c r="X17" s="64"/>
      <c r="Y17" s="64"/>
      <c r="Z17" s="64"/>
    </row>
    <row r="18" spans="1:26" ht="18" customHeight="1" x14ac:dyDescent="0.25">
      <c r="A18" s="84" t="str">
        <f>Settings!A6</f>
        <v>Bonus</v>
      </c>
      <c r="B18" s="127">
        <v>0</v>
      </c>
      <c r="C18" s="127">
        <v>0</v>
      </c>
      <c r="D18" s="76">
        <f t="shared" si="0"/>
        <v>0</v>
      </c>
      <c r="E18" s="128"/>
      <c r="F18" s="53"/>
      <c r="G18" s="53"/>
      <c r="H18" s="53"/>
      <c r="I18" s="53"/>
      <c r="J18" s="53"/>
      <c r="K18" s="53"/>
      <c r="L18" s="53"/>
      <c r="M18" s="53"/>
      <c r="N18" s="143" t="str">
        <f t="shared" si="1"/>
        <v>Transportation</v>
      </c>
      <c r="O18" s="146">
        <f t="shared" si="2"/>
        <v>95</v>
      </c>
      <c r="P18" s="144"/>
      <c r="Q18" s="64"/>
      <c r="R18" s="64"/>
      <c r="S18" s="64"/>
      <c r="T18" s="64"/>
      <c r="U18" s="64"/>
      <c r="V18" s="64"/>
      <c r="W18" s="64"/>
      <c r="X18" s="64"/>
      <c r="Y18" s="64"/>
      <c r="Z18" s="64"/>
    </row>
    <row r="19" spans="1:26" ht="18" customHeight="1" x14ac:dyDescent="0.25">
      <c r="A19" s="84" t="str">
        <f>Settings!A7</f>
        <v>Other Income</v>
      </c>
      <c r="B19" s="127">
        <v>0</v>
      </c>
      <c r="C19" s="127">
        <v>0</v>
      </c>
      <c r="D19" s="76">
        <f t="shared" si="0"/>
        <v>0</v>
      </c>
      <c r="E19" s="128"/>
      <c r="F19" s="53"/>
      <c r="G19" s="53"/>
      <c r="H19" s="53"/>
      <c r="I19" s="53"/>
      <c r="J19" s="53"/>
      <c r="K19" s="53"/>
      <c r="L19" s="53"/>
      <c r="M19" s="53"/>
      <c r="N19" s="143" t="str">
        <f t="shared" si="1"/>
        <v>Entertainment</v>
      </c>
      <c r="O19" s="146">
        <f t="shared" si="2"/>
        <v>60</v>
      </c>
      <c r="P19" s="144"/>
      <c r="Q19" s="64"/>
      <c r="R19" s="64"/>
      <c r="S19" s="64"/>
      <c r="T19" s="64"/>
      <c r="U19" s="64"/>
      <c r="V19" s="64"/>
      <c r="W19" s="64"/>
      <c r="X19" s="64"/>
      <c r="Y19" s="64"/>
      <c r="Z19" s="64"/>
    </row>
    <row r="20" spans="1:26" ht="18" customHeight="1" x14ac:dyDescent="0.25">
      <c r="A20" s="85" t="s">
        <v>90</v>
      </c>
      <c r="B20" s="81">
        <f>SUM(B15:B19)</f>
        <v>3800</v>
      </c>
      <c r="C20" s="81">
        <f>SUM(C15:C19)</f>
        <v>3850</v>
      </c>
      <c r="D20" s="82">
        <f t="shared" si="0"/>
        <v>50</v>
      </c>
      <c r="E20" s="87"/>
      <c r="F20" s="53"/>
      <c r="G20" s="53"/>
      <c r="H20" s="53"/>
      <c r="I20" s="53"/>
      <c r="J20" s="53"/>
      <c r="K20" s="53"/>
      <c r="L20" s="53"/>
      <c r="M20" s="53"/>
      <c r="N20" s="143" t="str">
        <f t="shared" si="1"/>
        <v>Shopping</v>
      </c>
      <c r="O20" s="146">
        <f t="shared" si="2"/>
        <v>130</v>
      </c>
      <c r="P20" s="144"/>
      <c r="Q20" s="64"/>
      <c r="R20" s="64"/>
      <c r="S20" s="64"/>
      <c r="T20" s="64"/>
      <c r="U20" s="64"/>
      <c r="V20" s="64"/>
      <c r="W20" s="64"/>
      <c r="X20" s="64"/>
      <c r="Y20" s="64"/>
      <c r="Z20" s="64"/>
    </row>
    <row r="21" spans="1:26" x14ac:dyDescent="0.25">
      <c r="A21" s="53"/>
      <c r="B21" s="53"/>
      <c r="C21" s="53"/>
      <c r="D21" s="53"/>
      <c r="E21" s="53"/>
      <c r="F21" s="53"/>
      <c r="G21" s="53"/>
      <c r="H21" s="53"/>
      <c r="I21" s="53"/>
      <c r="J21" s="53"/>
      <c r="K21" s="53"/>
      <c r="L21" s="53"/>
      <c r="M21" s="53"/>
      <c r="N21" s="143" t="str">
        <f t="shared" si="1"/>
        <v>Personal Care</v>
      </c>
      <c r="O21" s="146">
        <f t="shared" si="2"/>
        <v>45</v>
      </c>
      <c r="P21" s="144"/>
      <c r="Q21" s="64"/>
      <c r="R21" s="64"/>
      <c r="S21" s="64"/>
      <c r="T21" s="64"/>
      <c r="U21" s="64"/>
      <c r="V21" s="64"/>
      <c r="W21" s="64"/>
      <c r="X21" s="64"/>
      <c r="Y21" s="64"/>
      <c r="Z21" s="64"/>
    </row>
    <row r="22" spans="1:26" x14ac:dyDescent="0.25">
      <c r="A22" s="53"/>
      <c r="B22" s="53"/>
      <c r="C22" s="53"/>
      <c r="D22" s="53"/>
      <c r="E22" s="53"/>
      <c r="F22" s="53"/>
      <c r="G22" s="53"/>
      <c r="H22" s="53"/>
      <c r="I22" s="53"/>
      <c r="J22" s="53"/>
      <c r="K22" s="53"/>
      <c r="L22" s="53"/>
      <c r="M22" s="53"/>
      <c r="N22" s="143" t="str">
        <f t="shared" si="1"/>
        <v>Household Supplies</v>
      </c>
      <c r="O22" s="146">
        <f t="shared" si="2"/>
        <v>35</v>
      </c>
      <c r="P22" s="144"/>
      <c r="Q22" s="64"/>
      <c r="R22" s="64"/>
      <c r="S22" s="64"/>
      <c r="T22" s="64"/>
      <c r="U22" s="64"/>
      <c r="V22" s="64"/>
      <c r="W22" s="64"/>
      <c r="X22" s="64"/>
      <c r="Y22" s="64"/>
      <c r="Z22" s="64"/>
    </row>
    <row r="23" spans="1:26" ht="18" customHeight="1" x14ac:dyDescent="0.25">
      <c r="A23" s="92" t="s">
        <v>91</v>
      </c>
      <c r="B23" s="88" t="s">
        <v>87</v>
      </c>
      <c r="C23" s="88" t="s">
        <v>88</v>
      </c>
      <c r="D23" s="89" t="s">
        <v>92</v>
      </c>
      <c r="E23" s="95" t="s">
        <v>195</v>
      </c>
      <c r="F23" s="53"/>
      <c r="G23" s="53"/>
      <c r="H23" s="53"/>
      <c r="I23" s="53"/>
      <c r="J23" s="53"/>
      <c r="K23" s="53"/>
      <c r="L23" s="53"/>
      <c r="M23" s="53"/>
      <c r="N23" s="143" t="str">
        <f t="shared" si="1"/>
        <v>Miscellaneous</v>
      </c>
      <c r="O23" s="146">
        <f t="shared" si="2"/>
        <v>52</v>
      </c>
      <c r="P23" s="144"/>
      <c r="Q23" s="64"/>
      <c r="R23" s="64"/>
      <c r="S23" s="64"/>
      <c r="T23" s="64"/>
      <c r="U23" s="64"/>
      <c r="V23" s="64"/>
      <c r="W23" s="64"/>
      <c r="X23" s="64"/>
      <c r="Y23" s="64"/>
      <c r="Z23" s="64"/>
    </row>
    <row r="24" spans="1:26" ht="18" customHeight="1" x14ac:dyDescent="0.25">
      <c r="A24" s="93" t="str">
        <f>Settings!A8</f>
        <v>Rent or Mortgage</v>
      </c>
      <c r="B24" s="127">
        <v>1200</v>
      </c>
      <c r="C24" s="127">
        <v>1200</v>
      </c>
      <c r="D24" s="76">
        <f>B24-C24</f>
        <v>0</v>
      </c>
      <c r="E24" s="129"/>
      <c r="F24" s="53"/>
      <c r="G24" s="53"/>
      <c r="H24" s="53"/>
      <c r="I24" s="53"/>
      <c r="J24" s="53"/>
      <c r="K24" s="53"/>
      <c r="L24" s="53"/>
      <c r="M24" s="53"/>
      <c r="N24" s="143"/>
      <c r="O24" s="143"/>
      <c r="P24" s="144"/>
      <c r="Q24" s="64"/>
      <c r="R24" s="64"/>
      <c r="S24" s="64"/>
      <c r="T24" s="64"/>
      <c r="U24" s="64"/>
      <c r="V24" s="64"/>
      <c r="W24" s="64"/>
      <c r="X24" s="64"/>
      <c r="Y24" s="64"/>
      <c r="Z24" s="64"/>
    </row>
    <row r="25" spans="1:26" ht="18" customHeight="1" x14ac:dyDescent="0.25">
      <c r="A25" s="93" t="str">
        <f>Settings!A9</f>
        <v>Electricity</v>
      </c>
      <c r="B25" s="127">
        <v>90</v>
      </c>
      <c r="C25" s="127">
        <v>102</v>
      </c>
      <c r="D25" s="76">
        <f t="shared" ref="D25:D30" si="3">B25-C25</f>
        <v>-12</v>
      </c>
      <c r="E25" s="129"/>
      <c r="F25" s="53"/>
      <c r="G25" s="53"/>
      <c r="H25" s="53"/>
      <c r="I25" s="53"/>
      <c r="J25" s="53"/>
      <c r="K25" s="53"/>
      <c r="L25" s="53"/>
      <c r="M25" s="53"/>
      <c r="N25" s="143"/>
      <c r="O25" s="143"/>
      <c r="P25" s="144"/>
      <c r="Q25" s="64"/>
      <c r="R25" s="64"/>
      <c r="S25" s="64"/>
      <c r="T25" s="64"/>
      <c r="U25" s="64"/>
      <c r="V25" s="64"/>
      <c r="W25" s="64"/>
      <c r="X25" s="64"/>
      <c r="Y25" s="64"/>
      <c r="Z25" s="64"/>
    </row>
    <row r="26" spans="1:26" ht="18" customHeight="1" x14ac:dyDescent="0.25">
      <c r="A26" s="93" t="str">
        <f>Settings!A10</f>
        <v>Water</v>
      </c>
      <c r="B26" s="127">
        <v>40</v>
      </c>
      <c r="C26" s="127">
        <v>38</v>
      </c>
      <c r="D26" s="76">
        <f t="shared" si="3"/>
        <v>2</v>
      </c>
      <c r="E26" s="129"/>
      <c r="F26" s="53"/>
      <c r="G26" s="53"/>
      <c r="H26" s="53"/>
      <c r="I26" s="53"/>
      <c r="J26" s="53"/>
      <c r="K26" s="53"/>
      <c r="L26" s="53"/>
      <c r="M26" s="53"/>
      <c r="N26" s="147" t="s">
        <v>1</v>
      </c>
      <c r="O26" s="147" t="s">
        <v>87</v>
      </c>
      <c r="P26" s="147" t="s">
        <v>88</v>
      </c>
      <c r="Q26" s="64"/>
      <c r="R26" s="64"/>
      <c r="S26" s="64"/>
      <c r="T26" s="64"/>
      <c r="U26" s="64"/>
      <c r="V26" s="64"/>
      <c r="W26" s="64"/>
      <c r="X26" s="64"/>
      <c r="Y26" s="64"/>
      <c r="Z26" s="64"/>
    </row>
    <row r="27" spans="1:26" ht="18" customHeight="1" x14ac:dyDescent="0.25">
      <c r="A27" s="93" t="str">
        <f>Settings!A11</f>
        <v>Internet</v>
      </c>
      <c r="B27" s="127">
        <v>60</v>
      </c>
      <c r="C27" s="127">
        <v>60</v>
      </c>
      <c r="D27" s="76">
        <f t="shared" si="3"/>
        <v>0</v>
      </c>
      <c r="E27" s="129"/>
      <c r="F27" s="53"/>
      <c r="G27" s="53"/>
      <c r="H27" s="53"/>
      <c r="I27" s="53"/>
      <c r="J27" s="53"/>
      <c r="K27" s="53"/>
      <c r="L27" s="53"/>
      <c r="M27" s="53"/>
      <c r="N27" s="147" t="s">
        <v>4</v>
      </c>
      <c r="O27" s="147">
        <f>B20</f>
        <v>3800</v>
      </c>
      <c r="P27" s="147">
        <f>C20</f>
        <v>3850</v>
      </c>
      <c r="Q27" s="64"/>
      <c r="R27" s="64"/>
      <c r="S27" s="64"/>
      <c r="T27" s="64"/>
      <c r="U27" s="64"/>
      <c r="V27" s="64"/>
      <c r="W27" s="64"/>
      <c r="X27" s="64"/>
      <c r="Y27" s="64"/>
      <c r="Z27" s="64"/>
    </row>
    <row r="28" spans="1:26" ht="18" customHeight="1" x14ac:dyDescent="0.25">
      <c r="A28" s="93" t="str">
        <f>Settings!A12</f>
        <v>Phone</v>
      </c>
      <c r="B28" s="127">
        <v>50</v>
      </c>
      <c r="C28" s="127">
        <v>50</v>
      </c>
      <c r="D28" s="76">
        <f t="shared" si="3"/>
        <v>0</v>
      </c>
      <c r="E28" s="129"/>
      <c r="F28" s="53"/>
      <c r="G28" s="53"/>
      <c r="H28" s="53"/>
      <c r="I28" s="53"/>
      <c r="J28" s="53"/>
      <c r="K28" s="53"/>
      <c r="L28" s="53"/>
      <c r="M28" s="53"/>
      <c r="N28" s="147" t="s">
        <v>82</v>
      </c>
      <c r="O28" s="147">
        <f>B32</f>
        <v>1930</v>
      </c>
      <c r="P28" s="147">
        <f>C32</f>
        <v>1942.97</v>
      </c>
      <c r="Q28" s="64"/>
      <c r="R28" s="64"/>
      <c r="S28" s="64"/>
      <c r="T28" s="64"/>
      <c r="U28" s="64"/>
      <c r="V28" s="64"/>
      <c r="W28" s="64"/>
      <c r="X28" s="64"/>
      <c r="Y28" s="64"/>
      <c r="Z28" s="64"/>
    </row>
    <row r="29" spans="1:26" ht="18" customHeight="1" x14ac:dyDescent="0.25">
      <c r="A29" s="93" t="str">
        <f>Settings!A13</f>
        <v>Car Payment</v>
      </c>
      <c r="B29" s="127">
        <v>300</v>
      </c>
      <c r="C29" s="127">
        <v>300</v>
      </c>
      <c r="D29" s="76">
        <f t="shared" si="3"/>
        <v>0</v>
      </c>
      <c r="E29" s="129"/>
      <c r="F29" s="53"/>
      <c r="G29" s="53"/>
      <c r="H29" s="53"/>
      <c r="I29" s="53"/>
      <c r="J29" s="53"/>
      <c r="K29" s="53"/>
      <c r="L29" s="53"/>
      <c r="M29" s="53"/>
      <c r="N29" s="147" t="s">
        <v>83</v>
      </c>
      <c r="O29" s="147">
        <f>B44</f>
        <v>1000</v>
      </c>
      <c r="P29" s="147">
        <f>C44</f>
        <v>1049</v>
      </c>
      <c r="Q29" s="64"/>
      <c r="R29" s="64"/>
      <c r="S29" s="64"/>
      <c r="T29" s="64"/>
      <c r="U29" s="64"/>
      <c r="V29" s="64"/>
      <c r="W29" s="64"/>
      <c r="X29" s="64"/>
      <c r="Y29" s="64"/>
      <c r="Z29" s="64"/>
    </row>
    <row r="30" spans="1:26" ht="18" customHeight="1" x14ac:dyDescent="0.25">
      <c r="A30" s="93" t="str">
        <f>Settings!A14</f>
        <v>Insurance</v>
      </c>
      <c r="B30" s="127">
        <v>150</v>
      </c>
      <c r="C30" s="127">
        <v>150</v>
      </c>
      <c r="D30" s="76">
        <f t="shared" si="3"/>
        <v>0</v>
      </c>
      <c r="E30" s="129"/>
      <c r="F30" s="53"/>
      <c r="G30" s="53"/>
      <c r="H30" s="53"/>
      <c r="I30" s="53"/>
      <c r="J30" s="53"/>
      <c r="K30" s="53"/>
      <c r="L30" s="53"/>
      <c r="M30" s="53"/>
      <c r="N30" s="147" t="s">
        <v>84</v>
      </c>
      <c r="O30" s="147">
        <f>B53</f>
        <v>450</v>
      </c>
      <c r="P30" s="147">
        <f>C53</f>
        <v>475</v>
      </c>
      <c r="Q30" s="64"/>
      <c r="R30" s="64"/>
      <c r="S30" s="64"/>
      <c r="T30" s="64"/>
      <c r="U30" s="64"/>
      <c r="V30" s="64"/>
      <c r="W30" s="64"/>
      <c r="X30" s="64"/>
      <c r="Y30" s="64"/>
      <c r="Z30" s="64"/>
    </row>
    <row r="31" spans="1:26" ht="18" customHeight="1" x14ac:dyDescent="0.25">
      <c r="A31" s="93" t="str">
        <f>Settings!A15</f>
        <v>Subscriptions</v>
      </c>
      <c r="B31" s="127">
        <v>40</v>
      </c>
      <c r="C31" s="127">
        <v>42.97</v>
      </c>
      <c r="D31" s="76">
        <f>B31-C31</f>
        <v>-2.9699999999999989</v>
      </c>
      <c r="E31" s="130"/>
      <c r="F31" s="53"/>
      <c r="G31" s="53"/>
      <c r="H31" s="53"/>
      <c r="I31" s="53"/>
      <c r="J31" s="53"/>
      <c r="K31" s="53"/>
      <c r="L31" s="53"/>
      <c r="M31" s="53"/>
      <c r="N31" s="147" t="s">
        <v>34</v>
      </c>
      <c r="O31" s="147">
        <f>B61</f>
        <v>150</v>
      </c>
      <c r="P31" s="147">
        <f>C61</f>
        <v>150</v>
      </c>
      <c r="Q31" s="64"/>
      <c r="R31" s="64"/>
      <c r="S31" s="64"/>
      <c r="T31" s="64"/>
      <c r="U31" s="64"/>
      <c r="V31" s="64"/>
      <c r="W31" s="64"/>
      <c r="X31" s="64"/>
      <c r="Y31" s="64"/>
      <c r="Z31" s="64"/>
    </row>
    <row r="32" spans="1:26" ht="18" customHeight="1" x14ac:dyDescent="0.25">
      <c r="A32" s="94" t="s">
        <v>93</v>
      </c>
      <c r="B32" s="90">
        <f>SUM(B24:B31)</f>
        <v>1930</v>
      </c>
      <c r="C32" s="90">
        <f>SUM(C24:C31)</f>
        <v>1942.97</v>
      </c>
      <c r="D32" s="91">
        <f>B32-C32</f>
        <v>-12.970000000000027</v>
      </c>
      <c r="E32" s="96"/>
      <c r="F32" s="53"/>
      <c r="G32" s="53"/>
      <c r="H32" s="53"/>
      <c r="I32" s="53"/>
      <c r="J32" s="53"/>
      <c r="K32" s="53"/>
      <c r="L32" s="53"/>
      <c r="M32" s="53"/>
      <c r="N32" s="143"/>
      <c r="O32" s="143"/>
      <c r="P32" s="144"/>
      <c r="Q32" s="64"/>
      <c r="R32" s="64"/>
      <c r="S32" s="64"/>
      <c r="T32" s="64"/>
      <c r="U32" s="64"/>
      <c r="V32" s="64"/>
      <c r="W32" s="64"/>
      <c r="X32" s="64"/>
      <c r="Y32" s="64"/>
      <c r="Z32" s="64"/>
    </row>
    <row r="33" spans="1:26" x14ac:dyDescent="0.25">
      <c r="A33" s="53"/>
      <c r="B33" s="53"/>
      <c r="C33" s="53"/>
      <c r="D33" s="53"/>
      <c r="E33" s="53"/>
      <c r="F33" s="53"/>
      <c r="G33" s="53"/>
      <c r="H33" s="53"/>
      <c r="I33" s="53"/>
      <c r="J33" s="53"/>
      <c r="K33" s="53"/>
      <c r="L33" s="53"/>
      <c r="M33" s="53"/>
      <c r="N33" s="143"/>
      <c r="O33" s="143"/>
      <c r="P33" s="144"/>
      <c r="Q33" s="64"/>
      <c r="R33" s="64"/>
      <c r="S33" s="64"/>
      <c r="T33" s="64"/>
      <c r="U33" s="64"/>
      <c r="V33" s="64"/>
      <c r="W33" s="64"/>
      <c r="X33" s="64"/>
      <c r="Y33" s="64"/>
      <c r="Z33" s="64"/>
    </row>
    <row r="34" spans="1:26" x14ac:dyDescent="0.25">
      <c r="A34" s="53"/>
      <c r="B34" s="53"/>
      <c r="C34" s="53"/>
      <c r="D34" s="53"/>
      <c r="E34" s="53"/>
      <c r="F34" s="53"/>
      <c r="G34" s="53"/>
      <c r="H34" s="53"/>
      <c r="I34" s="53"/>
      <c r="J34" s="53"/>
      <c r="K34" s="53"/>
      <c r="L34" s="53"/>
      <c r="M34" s="53"/>
      <c r="N34" s="143"/>
      <c r="O34" s="143"/>
      <c r="P34" s="144"/>
      <c r="Q34" s="64"/>
      <c r="R34" s="64"/>
      <c r="S34" s="64"/>
      <c r="T34" s="64"/>
      <c r="U34" s="64"/>
      <c r="V34" s="64"/>
      <c r="W34" s="64"/>
      <c r="X34" s="64"/>
      <c r="Y34" s="64"/>
      <c r="Z34" s="64"/>
    </row>
    <row r="35" spans="1:26" ht="18" customHeight="1" x14ac:dyDescent="0.25">
      <c r="A35" s="101" t="s">
        <v>94</v>
      </c>
      <c r="B35" s="97" t="s">
        <v>87</v>
      </c>
      <c r="C35" s="97" t="s">
        <v>88</v>
      </c>
      <c r="D35" s="98" t="s">
        <v>92</v>
      </c>
      <c r="E35" s="104" t="s">
        <v>195</v>
      </c>
      <c r="F35" s="53"/>
      <c r="G35" s="53"/>
      <c r="H35" s="53"/>
      <c r="I35" s="53"/>
      <c r="J35" s="53"/>
      <c r="K35" s="53"/>
      <c r="L35" s="53"/>
      <c r="M35" s="53"/>
      <c r="N35" s="143"/>
      <c r="O35" s="143"/>
      <c r="P35" s="144"/>
      <c r="Q35" s="64"/>
      <c r="R35" s="64"/>
      <c r="S35" s="64"/>
      <c r="T35" s="64"/>
      <c r="U35" s="64"/>
      <c r="V35" s="64"/>
      <c r="W35" s="64"/>
      <c r="X35" s="64"/>
      <c r="Y35" s="64"/>
      <c r="Z35" s="64"/>
    </row>
    <row r="36" spans="1:26" ht="18" customHeight="1" x14ac:dyDescent="0.25">
      <c r="A36" s="102" t="str">
        <f>Settings!A16</f>
        <v>Groceries</v>
      </c>
      <c r="B36" s="127">
        <v>400</v>
      </c>
      <c r="C36" s="127">
        <v>445</v>
      </c>
      <c r="D36" s="76">
        <f>B36-C36</f>
        <v>-45</v>
      </c>
      <c r="E36" s="131"/>
      <c r="F36" s="53"/>
      <c r="G36" s="53"/>
      <c r="H36" s="53"/>
      <c r="I36" s="53"/>
      <c r="J36" s="53"/>
      <c r="K36" s="53"/>
      <c r="L36" s="53"/>
      <c r="M36" s="53"/>
      <c r="N36" s="143"/>
      <c r="O36" s="143"/>
      <c r="P36" s="144"/>
      <c r="Q36" s="64"/>
      <c r="R36" s="64"/>
      <c r="S36" s="64"/>
      <c r="T36" s="64"/>
      <c r="U36" s="64"/>
      <c r="V36" s="64"/>
      <c r="W36" s="64"/>
      <c r="X36" s="64"/>
      <c r="Y36" s="64"/>
      <c r="Z36" s="64"/>
    </row>
    <row r="37" spans="1:26" ht="18" customHeight="1" x14ac:dyDescent="0.25">
      <c r="A37" s="102" t="str">
        <f>Settings!A17</f>
        <v>Dining Out</v>
      </c>
      <c r="B37" s="127">
        <v>150</v>
      </c>
      <c r="C37" s="127">
        <v>187</v>
      </c>
      <c r="D37" s="76">
        <f t="shared" ref="D37:D43" si="4">B37-C37</f>
        <v>-37</v>
      </c>
      <c r="E37" s="131"/>
      <c r="F37" s="53"/>
      <c r="G37" s="53"/>
      <c r="H37" s="53"/>
      <c r="I37" s="53"/>
      <c r="J37" s="53"/>
      <c r="K37" s="53"/>
      <c r="L37" s="53"/>
      <c r="M37" s="53"/>
      <c r="N37" s="143"/>
      <c r="O37" s="143"/>
      <c r="P37" s="144"/>
      <c r="Q37" s="64"/>
      <c r="R37" s="64"/>
      <c r="S37" s="64"/>
      <c r="T37" s="64"/>
      <c r="U37" s="64"/>
      <c r="V37" s="64"/>
      <c r="W37" s="64"/>
      <c r="X37" s="64"/>
      <c r="Y37" s="64"/>
      <c r="Z37" s="64"/>
    </row>
    <row r="38" spans="1:26" ht="18" customHeight="1" x14ac:dyDescent="0.25">
      <c r="A38" s="102" t="str">
        <f>Settings!A18</f>
        <v>Transportation</v>
      </c>
      <c r="B38" s="127">
        <v>120</v>
      </c>
      <c r="C38" s="127">
        <v>95</v>
      </c>
      <c r="D38" s="76">
        <f t="shared" si="4"/>
        <v>25</v>
      </c>
      <c r="E38" s="131"/>
      <c r="F38" s="53"/>
      <c r="G38" s="53"/>
      <c r="H38" s="53"/>
      <c r="I38" s="53"/>
      <c r="J38" s="53"/>
      <c r="K38" s="53"/>
      <c r="L38" s="53"/>
      <c r="M38" s="53"/>
      <c r="N38" s="143"/>
      <c r="O38" s="143"/>
      <c r="P38" s="144"/>
      <c r="Q38" s="64"/>
      <c r="R38" s="64"/>
      <c r="S38" s="64"/>
      <c r="T38" s="64"/>
      <c r="U38" s="64"/>
      <c r="V38" s="64"/>
      <c r="W38" s="64"/>
      <c r="X38" s="64"/>
      <c r="Y38" s="64"/>
      <c r="Z38" s="64"/>
    </row>
    <row r="39" spans="1:26" ht="18" customHeight="1" x14ac:dyDescent="0.25">
      <c r="A39" s="102" t="str">
        <f>Settings!A19</f>
        <v>Entertainment</v>
      </c>
      <c r="B39" s="127">
        <v>80</v>
      </c>
      <c r="C39" s="127">
        <v>60</v>
      </c>
      <c r="D39" s="76">
        <f t="shared" si="4"/>
        <v>20</v>
      </c>
      <c r="E39" s="131"/>
      <c r="F39" s="53"/>
      <c r="G39" s="53"/>
      <c r="H39" s="53"/>
      <c r="I39" s="53"/>
      <c r="J39" s="53"/>
      <c r="K39" s="53"/>
      <c r="L39" s="53"/>
      <c r="M39" s="53"/>
      <c r="N39" s="143"/>
      <c r="O39" s="143"/>
      <c r="P39" s="144"/>
      <c r="Q39" s="64"/>
      <c r="R39" s="64"/>
      <c r="S39" s="64"/>
      <c r="T39" s="64"/>
      <c r="U39" s="64"/>
      <c r="V39" s="64"/>
      <c r="W39" s="64"/>
      <c r="X39" s="64"/>
      <c r="Y39" s="64"/>
      <c r="Z39" s="64"/>
    </row>
    <row r="40" spans="1:26" ht="18" customHeight="1" x14ac:dyDescent="0.25">
      <c r="A40" s="102" t="str">
        <f>Settings!A20</f>
        <v>Shopping</v>
      </c>
      <c r="B40" s="127">
        <v>100</v>
      </c>
      <c r="C40" s="127">
        <v>130</v>
      </c>
      <c r="D40" s="76">
        <f t="shared" si="4"/>
        <v>-30</v>
      </c>
      <c r="E40" s="131"/>
      <c r="F40" s="53"/>
      <c r="G40" s="53"/>
      <c r="H40" s="53"/>
      <c r="I40" s="53"/>
      <c r="J40" s="53"/>
      <c r="K40" s="53"/>
      <c r="L40" s="53"/>
      <c r="M40" s="53"/>
      <c r="N40" s="143"/>
      <c r="O40" s="143"/>
      <c r="P40" s="144"/>
      <c r="Q40" s="64"/>
      <c r="R40" s="64"/>
      <c r="S40" s="64"/>
      <c r="T40" s="64"/>
      <c r="U40" s="64"/>
      <c r="V40" s="64"/>
      <c r="W40" s="64"/>
      <c r="X40" s="64"/>
      <c r="Y40" s="64"/>
      <c r="Z40" s="64"/>
    </row>
    <row r="41" spans="1:26" ht="18" customHeight="1" x14ac:dyDescent="0.25">
      <c r="A41" s="102" t="str">
        <f>Settings!A21</f>
        <v>Personal Care</v>
      </c>
      <c r="B41" s="127">
        <v>50</v>
      </c>
      <c r="C41" s="127">
        <v>45</v>
      </c>
      <c r="D41" s="76">
        <f t="shared" si="4"/>
        <v>5</v>
      </c>
      <c r="E41" s="131"/>
      <c r="F41" s="53"/>
      <c r="G41" s="53"/>
      <c r="H41" s="53"/>
      <c r="I41" s="53"/>
      <c r="J41" s="53"/>
      <c r="K41" s="53"/>
      <c r="L41" s="53"/>
      <c r="M41" s="53"/>
      <c r="N41" s="54"/>
      <c r="O41" s="54"/>
      <c r="P41" s="53"/>
      <c r="Q41" s="64"/>
      <c r="R41" s="64"/>
      <c r="S41" s="64"/>
      <c r="T41" s="64"/>
      <c r="U41" s="64"/>
      <c r="V41" s="64"/>
      <c r="W41" s="64"/>
      <c r="X41" s="64"/>
      <c r="Y41" s="64"/>
      <c r="Z41" s="64"/>
    </row>
    <row r="42" spans="1:26" ht="18" customHeight="1" x14ac:dyDescent="0.25">
      <c r="A42" s="102" t="str">
        <f>Settings!A22</f>
        <v>Household Supplies</v>
      </c>
      <c r="B42" s="127">
        <v>40</v>
      </c>
      <c r="C42" s="127">
        <v>35</v>
      </c>
      <c r="D42" s="76">
        <f t="shared" si="4"/>
        <v>5</v>
      </c>
      <c r="E42" s="131"/>
      <c r="F42" s="53"/>
      <c r="G42" s="53"/>
      <c r="H42" s="53"/>
      <c r="I42" s="53"/>
      <c r="J42" s="53"/>
      <c r="K42" s="53"/>
      <c r="L42" s="53"/>
      <c r="M42" s="53"/>
      <c r="N42" s="54"/>
      <c r="O42" s="54"/>
      <c r="P42" s="53"/>
      <c r="Q42" s="64"/>
      <c r="R42" s="64"/>
      <c r="S42" s="64"/>
      <c r="T42" s="64"/>
      <c r="U42" s="64"/>
      <c r="V42" s="64"/>
      <c r="W42" s="64"/>
      <c r="X42" s="64"/>
      <c r="Y42" s="64"/>
      <c r="Z42" s="64"/>
    </row>
    <row r="43" spans="1:26" ht="18" customHeight="1" x14ac:dyDescent="0.25">
      <c r="A43" s="102" t="str">
        <f>Settings!A23</f>
        <v>Miscellaneous</v>
      </c>
      <c r="B43" s="127">
        <v>60</v>
      </c>
      <c r="C43" s="127">
        <v>52</v>
      </c>
      <c r="D43" s="76">
        <f t="shared" si="4"/>
        <v>8</v>
      </c>
      <c r="E43" s="131"/>
      <c r="F43" s="53"/>
      <c r="G43" s="53"/>
      <c r="H43" s="53"/>
      <c r="I43" s="53"/>
      <c r="J43" s="53"/>
      <c r="K43" s="53"/>
      <c r="L43" s="53"/>
      <c r="M43" s="53"/>
      <c r="N43" s="54"/>
      <c r="O43" s="54"/>
      <c r="P43" s="53"/>
      <c r="Q43" s="64"/>
      <c r="R43" s="64"/>
      <c r="S43" s="64"/>
      <c r="T43" s="64"/>
      <c r="U43" s="64"/>
      <c r="V43" s="64"/>
      <c r="W43" s="64"/>
      <c r="X43" s="64"/>
      <c r="Y43" s="64"/>
      <c r="Z43" s="64"/>
    </row>
    <row r="44" spans="1:26" ht="18" customHeight="1" x14ac:dyDescent="0.25">
      <c r="A44" s="103" t="s">
        <v>95</v>
      </c>
      <c r="B44" s="99">
        <f>SUM(B36:B43)</f>
        <v>1000</v>
      </c>
      <c r="C44" s="99">
        <f>SUM(C36:C43)</f>
        <v>1049</v>
      </c>
      <c r="D44" s="100">
        <f>B44-C44</f>
        <v>-49</v>
      </c>
      <c r="E44" s="105"/>
      <c r="F44" s="53"/>
      <c r="G44" s="53"/>
      <c r="H44" s="53"/>
      <c r="I44" s="53"/>
      <c r="J44" s="53"/>
      <c r="K44" s="53"/>
      <c r="L44" s="53"/>
      <c r="M44" s="53"/>
      <c r="N44" s="54"/>
      <c r="O44" s="54"/>
      <c r="P44" s="53"/>
      <c r="Q44" s="64"/>
      <c r="R44" s="64"/>
      <c r="S44" s="64"/>
      <c r="T44" s="64"/>
      <c r="U44" s="64"/>
      <c r="V44" s="64"/>
      <c r="W44" s="64"/>
      <c r="X44" s="64"/>
      <c r="Y44" s="64"/>
      <c r="Z44" s="64"/>
    </row>
    <row r="45" spans="1:26" x14ac:dyDescent="0.25">
      <c r="A45" s="53"/>
      <c r="B45" s="53"/>
      <c r="C45" s="53"/>
      <c r="D45" s="53"/>
      <c r="E45" s="53"/>
      <c r="F45" s="53"/>
      <c r="G45" s="53"/>
      <c r="H45" s="53"/>
      <c r="I45" s="53"/>
      <c r="J45" s="53"/>
      <c r="K45" s="53"/>
      <c r="L45" s="53"/>
      <c r="M45" s="53"/>
      <c r="N45" s="54"/>
      <c r="O45" s="54"/>
      <c r="P45" s="53"/>
      <c r="Q45" s="64"/>
      <c r="R45" s="64"/>
      <c r="S45" s="64"/>
      <c r="T45" s="64"/>
      <c r="U45" s="64"/>
      <c r="V45" s="64"/>
      <c r="W45" s="64"/>
      <c r="X45" s="64"/>
      <c r="Y45" s="64"/>
      <c r="Z45" s="64"/>
    </row>
    <row r="46" spans="1:26" x14ac:dyDescent="0.25">
      <c r="A46" s="53"/>
      <c r="B46" s="53"/>
      <c r="C46" s="53"/>
      <c r="D46" s="53"/>
      <c r="E46" s="53"/>
      <c r="F46" s="53"/>
      <c r="G46" s="53"/>
      <c r="H46" s="53"/>
      <c r="I46" s="53"/>
      <c r="J46" s="53"/>
      <c r="K46" s="53"/>
      <c r="L46" s="53"/>
      <c r="M46" s="53"/>
      <c r="N46" s="54"/>
      <c r="O46" s="54"/>
      <c r="P46" s="53"/>
      <c r="Q46" s="64"/>
      <c r="R46" s="64"/>
      <c r="S46" s="64"/>
      <c r="T46" s="64"/>
      <c r="U46" s="64"/>
      <c r="V46" s="64"/>
      <c r="W46" s="64"/>
      <c r="X46" s="64"/>
      <c r="Y46" s="64"/>
      <c r="Z46" s="64"/>
    </row>
    <row r="47" spans="1:26" ht="18" customHeight="1" x14ac:dyDescent="0.25">
      <c r="A47" s="110" t="s">
        <v>96</v>
      </c>
      <c r="B47" s="106" t="s">
        <v>87</v>
      </c>
      <c r="C47" s="106" t="s">
        <v>88</v>
      </c>
      <c r="D47" s="107" t="s">
        <v>92</v>
      </c>
      <c r="E47" s="113" t="s">
        <v>195</v>
      </c>
      <c r="F47" s="53"/>
      <c r="G47" s="53"/>
      <c r="H47" s="53"/>
      <c r="I47" s="53"/>
      <c r="J47" s="53"/>
      <c r="K47" s="53"/>
      <c r="L47" s="53"/>
      <c r="M47" s="53"/>
      <c r="N47" s="54"/>
      <c r="O47" s="54"/>
      <c r="P47" s="53"/>
      <c r="Q47" s="64"/>
      <c r="R47" s="64"/>
      <c r="S47" s="64"/>
      <c r="T47" s="64"/>
      <c r="U47" s="64"/>
      <c r="V47" s="64"/>
      <c r="W47" s="64"/>
      <c r="X47" s="64"/>
      <c r="Y47" s="64"/>
      <c r="Z47" s="64"/>
    </row>
    <row r="48" spans="1:26" ht="18" customHeight="1" x14ac:dyDescent="0.25">
      <c r="A48" s="111" t="str">
        <f>Settings!A24</f>
        <v>Emergency Fund</v>
      </c>
      <c r="B48" s="127">
        <v>200</v>
      </c>
      <c r="C48" s="127">
        <v>200</v>
      </c>
      <c r="D48" s="76">
        <f t="shared" ref="D48:D53" si="5">B48-C48</f>
        <v>0</v>
      </c>
      <c r="E48" s="132"/>
      <c r="F48" s="53"/>
      <c r="G48" s="53"/>
      <c r="H48" s="53"/>
      <c r="I48" s="53"/>
      <c r="J48" s="53"/>
      <c r="K48" s="53"/>
      <c r="L48" s="53"/>
      <c r="M48" s="53"/>
      <c r="N48" s="54"/>
      <c r="O48" s="54"/>
      <c r="P48" s="53"/>
      <c r="Q48" s="64"/>
      <c r="R48" s="64"/>
      <c r="S48" s="64"/>
      <c r="T48" s="64"/>
      <c r="U48" s="64"/>
      <c r="V48" s="64"/>
      <c r="W48" s="64"/>
      <c r="X48" s="64"/>
      <c r="Y48" s="64"/>
      <c r="Z48" s="64"/>
    </row>
    <row r="49" spans="1:26" ht="18" customHeight="1" x14ac:dyDescent="0.25">
      <c r="A49" s="111" t="str">
        <f>Settings!A25</f>
        <v>Vacation Fund</v>
      </c>
      <c r="B49" s="127">
        <v>100</v>
      </c>
      <c r="C49" s="127">
        <v>100</v>
      </c>
      <c r="D49" s="76">
        <f t="shared" si="5"/>
        <v>0</v>
      </c>
      <c r="E49" s="132"/>
      <c r="F49" s="53"/>
      <c r="G49" s="53"/>
      <c r="H49" s="53"/>
      <c r="I49" s="53"/>
      <c r="J49" s="53"/>
      <c r="K49" s="53"/>
      <c r="L49" s="53"/>
      <c r="M49" s="53"/>
      <c r="N49" s="54"/>
      <c r="O49" s="54"/>
      <c r="P49" s="53"/>
      <c r="Q49" s="64"/>
      <c r="R49" s="64"/>
      <c r="S49" s="64"/>
      <c r="T49" s="64"/>
      <c r="U49" s="64"/>
      <c r="V49" s="64"/>
      <c r="W49" s="64"/>
      <c r="X49" s="64"/>
      <c r="Y49" s="64"/>
      <c r="Z49" s="64"/>
    </row>
    <row r="50" spans="1:26" ht="18" customHeight="1" x14ac:dyDescent="0.25">
      <c r="A50" s="111" t="str">
        <f>Settings!A26</f>
        <v>Holiday Fund</v>
      </c>
      <c r="B50" s="127">
        <v>50</v>
      </c>
      <c r="C50" s="127">
        <v>50</v>
      </c>
      <c r="D50" s="76">
        <f t="shared" si="5"/>
        <v>0</v>
      </c>
      <c r="E50" s="132"/>
      <c r="F50" s="53"/>
      <c r="G50" s="53"/>
      <c r="H50" s="53"/>
      <c r="I50" s="53"/>
      <c r="J50" s="53"/>
      <c r="K50" s="53"/>
      <c r="L50" s="53"/>
      <c r="M50" s="53"/>
      <c r="N50" s="54"/>
      <c r="O50" s="54"/>
      <c r="P50" s="53"/>
      <c r="Q50" s="64"/>
      <c r="R50" s="64"/>
      <c r="S50" s="64"/>
      <c r="T50" s="64"/>
      <c r="U50" s="64"/>
      <c r="V50" s="64"/>
      <c r="W50" s="64"/>
      <c r="X50" s="64"/>
      <c r="Y50" s="64"/>
      <c r="Z50" s="64"/>
    </row>
    <row r="51" spans="1:26" ht="18" customHeight="1" x14ac:dyDescent="0.25">
      <c r="A51" s="111" t="str">
        <f>Settings!A27</f>
        <v>Retirement Savings</v>
      </c>
      <c r="B51" s="127">
        <v>100</v>
      </c>
      <c r="C51" s="127">
        <v>100</v>
      </c>
      <c r="D51" s="76">
        <f t="shared" si="5"/>
        <v>0</v>
      </c>
      <c r="E51" s="132"/>
      <c r="F51" s="53"/>
      <c r="G51" s="53"/>
      <c r="H51" s="53"/>
      <c r="I51" s="53"/>
      <c r="J51" s="53"/>
      <c r="K51" s="53"/>
      <c r="L51" s="53"/>
      <c r="M51" s="53"/>
      <c r="N51" s="54"/>
      <c r="O51" s="54"/>
      <c r="P51" s="53"/>
      <c r="Q51" s="64"/>
      <c r="R51" s="64"/>
      <c r="S51" s="64"/>
      <c r="T51" s="64"/>
      <c r="U51" s="64"/>
      <c r="V51" s="64"/>
      <c r="W51" s="64"/>
      <c r="X51" s="64"/>
      <c r="Y51" s="64"/>
      <c r="Z51" s="64"/>
    </row>
    <row r="52" spans="1:26" ht="18" customHeight="1" x14ac:dyDescent="0.25">
      <c r="A52" s="111" t="str">
        <f>Settings!A28</f>
        <v>General Savings</v>
      </c>
      <c r="B52" s="127">
        <v>0</v>
      </c>
      <c r="C52" s="127">
        <v>25</v>
      </c>
      <c r="D52" s="76">
        <f t="shared" si="5"/>
        <v>-25</v>
      </c>
      <c r="E52" s="132"/>
      <c r="F52" s="53"/>
      <c r="G52" s="53"/>
      <c r="H52" s="53"/>
      <c r="I52" s="53"/>
      <c r="J52" s="53"/>
      <c r="K52" s="53"/>
      <c r="L52" s="53"/>
      <c r="M52" s="53"/>
      <c r="N52" s="54"/>
      <c r="O52" s="54"/>
      <c r="P52" s="53"/>
      <c r="Q52" s="64"/>
      <c r="R52" s="64"/>
      <c r="S52" s="64"/>
      <c r="T52" s="64"/>
      <c r="U52" s="64"/>
      <c r="V52" s="64"/>
      <c r="W52" s="64"/>
      <c r="X52" s="64"/>
      <c r="Y52" s="64"/>
      <c r="Z52" s="64"/>
    </row>
    <row r="53" spans="1:26" ht="18" customHeight="1" x14ac:dyDescent="0.25">
      <c r="A53" s="112" t="s">
        <v>97</v>
      </c>
      <c r="B53" s="108">
        <f>SUM(B48:B52)</f>
        <v>450</v>
      </c>
      <c r="C53" s="108">
        <f>SUM(C48:C52)</f>
        <v>475</v>
      </c>
      <c r="D53" s="109">
        <f t="shared" si="5"/>
        <v>-25</v>
      </c>
      <c r="E53" s="114"/>
      <c r="F53" s="53"/>
      <c r="G53" s="53"/>
      <c r="H53" s="53"/>
      <c r="I53" s="53"/>
      <c r="J53" s="53"/>
      <c r="K53" s="53"/>
      <c r="L53" s="53"/>
      <c r="M53" s="53"/>
      <c r="N53" s="54"/>
      <c r="O53" s="54"/>
      <c r="P53" s="53"/>
      <c r="Q53" s="64"/>
      <c r="R53" s="64"/>
      <c r="S53" s="64"/>
      <c r="T53" s="64"/>
      <c r="U53" s="64"/>
      <c r="V53" s="64"/>
      <c r="W53" s="64"/>
      <c r="X53" s="64"/>
      <c r="Y53" s="64"/>
      <c r="Z53" s="64"/>
    </row>
    <row r="54" spans="1:26" x14ac:dyDescent="0.25">
      <c r="A54" s="53"/>
      <c r="B54" s="53"/>
      <c r="C54" s="53"/>
      <c r="D54" s="53"/>
      <c r="E54" s="53"/>
      <c r="F54" s="53"/>
      <c r="G54" s="53"/>
      <c r="H54" s="53"/>
      <c r="I54" s="53"/>
      <c r="J54" s="53"/>
      <c r="K54" s="53"/>
      <c r="L54" s="53"/>
      <c r="M54" s="53"/>
      <c r="N54" s="54"/>
      <c r="O54" s="54"/>
      <c r="P54" s="53"/>
      <c r="Q54" s="64"/>
      <c r="R54" s="64"/>
      <c r="S54" s="64"/>
      <c r="T54" s="64"/>
      <c r="U54" s="64"/>
      <c r="V54" s="64"/>
      <c r="W54" s="64"/>
      <c r="X54" s="64"/>
      <c r="Y54" s="64"/>
      <c r="Z54" s="64"/>
    </row>
    <row r="55" spans="1:26" x14ac:dyDescent="0.25">
      <c r="A55" s="53"/>
      <c r="B55" s="53"/>
      <c r="C55" s="53"/>
      <c r="D55" s="53"/>
      <c r="E55" s="53"/>
      <c r="F55" s="53"/>
      <c r="G55" s="53"/>
      <c r="H55" s="53"/>
      <c r="I55" s="53"/>
      <c r="J55" s="53"/>
      <c r="K55" s="53"/>
      <c r="L55" s="53"/>
      <c r="M55" s="53"/>
      <c r="N55" s="54"/>
      <c r="O55" s="54"/>
      <c r="P55" s="53"/>
      <c r="Q55" s="64"/>
      <c r="R55" s="64"/>
      <c r="S55" s="64"/>
      <c r="T55" s="64"/>
      <c r="U55" s="64"/>
      <c r="V55" s="64"/>
      <c r="W55" s="64"/>
      <c r="X55" s="64"/>
      <c r="Y55" s="64"/>
      <c r="Z55" s="64"/>
    </row>
    <row r="56" spans="1:26" ht="18" customHeight="1" x14ac:dyDescent="0.25">
      <c r="A56" s="122" t="s">
        <v>98</v>
      </c>
      <c r="B56" s="123" t="s">
        <v>87</v>
      </c>
      <c r="C56" s="123" t="s">
        <v>88</v>
      </c>
      <c r="D56" s="124" t="s">
        <v>92</v>
      </c>
      <c r="E56" s="125" t="s">
        <v>195</v>
      </c>
      <c r="F56" s="53"/>
      <c r="G56" s="53"/>
      <c r="H56" s="53"/>
      <c r="I56" s="53"/>
      <c r="J56" s="53"/>
      <c r="K56" s="53"/>
      <c r="L56" s="53"/>
      <c r="M56" s="53"/>
      <c r="N56" s="54"/>
      <c r="O56" s="54"/>
      <c r="P56" s="53"/>
      <c r="Q56" s="64"/>
      <c r="R56" s="64"/>
      <c r="S56" s="64"/>
      <c r="T56" s="64"/>
      <c r="U56" s="64"/>
      <c r="V56" s="64"/>
      <c r="W56" s="64"/>
      <c r="X56" s="64"/>
      <c r="Y56" s="64"/>
      <c r="Z56" s="64"/>
    </row>
    <row r="57" spans="1:26" ht="18" customHeight="1" x14ac:dyDescent="0.25">
      <c r="A57" s="117" t="str">
        <f>Settings!A29</f>
        <v>Credit Card</v>
      </c>
      <c r="B57" s="127">
        <v>150</v>
      </c>
      <c r="C57" s="127">
        <v>150</v>
      </c>
      <c r="D57" s="76">
        <f>B57-C57</f>
        <v>0</v>
      </c>
      <c r="E57" s="133"/>
      <c r="F57" s="53"/>
      <c r="G57" s="53"/>
      <c r="H57" s="53"/>
      <c r="I57" s="53"/>
      <c r="J57" s="53"/>
      <c r="K57" s="53"/>
      <c r="L57" s="53"/>
      <c r="M57" s="53"/>
      <c r="N57" s="54"/>
      <c r="O57" s="54"/>
      <c r="P57" s="53"/>
      <c r="Q57" s="64"/>
      <c r="R57" s="64"/>
      <c r="S57" s="64"/>
      <c r="T57" s="64"/>
      <c r="U57" s="64"/>
      <c r="V57" s="64"/>
      <c r="W57" s="64"/>
      <c r="X57" s="64"/>
      <c r="Y57" s="64"/>
      <c r="Z57" s="64"/>
    </row>
    <row r="58" spans="1:26" ht="18" customHeight="1" x14ac:dyDescent="0.25">
      <c r="A58" s="117" t="str">
        <f>Settings!A30</f>
        <v>Student Loan</v>
      </c>
      <c r="B58" s="127">
        <v>0</v>
      </c>
      <c r="C58" s="127">
        <v>0</v>
      </c>
      <c r="D58" s="76">
        <f>B58-C58</f>
        <v>0</v>
      </c>
      <c r="E58" s="133"/>
      <c r="F58" s="53"/>
      <c r="G58" s="53"/>
      <c r="H58" s="53"/>
      <c r="I58" s="53"/>
      <c r="J58" s="53"/>
      <c r="K58" s="53"/>
      <c r="L58" s="53"/>
      <c r="M58" s="53"/>
      <c r="N58" s="54"/>
      <c r="O58" s="54"/>
      <c r="P58" s="53"/>
      <c r="Q58" s="64"/>
      <c r="R58" s="64"/>
      <c r="S58" s="64"/>
      <c r="T58" s="64"/>
      <c r="U58" s="64"/>
      <c r="V58" s="64"/>
      <c r="W58" s="64"/>
      <c r="X58" s="64"/>
      <c r="Y58" s="64"/>
      <c r="Z58" s="64"/>
    </row>
    <row r="59" spans="1:26" ht="18" customHeight="1" x14ac:dyDescent="0.25">
      <c r="A59" s="117" t="str">
        <f>Settings!A31</f>
        <v>Personal Loan</v>
      </c>
      <c r="B59" s="127">
        <v>0</v>
      </c>
      <c r="C59" s="127">
        <v>0</v>
      </c>
      <c r="D59" s="76">
        <f>B59-C59</f>
        <v>0</v>
      </c>
      <c r="E59" s="133"/>
      <c r="F59" s="53"/>
      <c r="G59" s="53"/>
      <c r="H59" s="53"/>
      <c r="I59" s="53"/>
      <c r="J59" s="53"/>
      <c r="K59" s="53"/>
      <c r="L59" s="53"/>
      <c r="M59" s="53"/>
      <c r="N59" s="54"/>
      <c r="O59" s="54"/>
      <c r="P59" s="53"/>
      <c r="Q59" s="64"/>
      <c r="R59" s="64"/>
      <c r="S59" s="64"/>
      <c r="T59" s="64"/>
      <c r="U59" s="64"/>
      <c r="V59" s="64"/>
      <c r="W59" s="64"/>
      <c r="X59" s="64"/>
      <c r="Y59" s="64"/>
      <c r="Z59" s="64"/>
    </row>
    <row r="60" spans="1:26" ht="18" customHeight="1" x14ac:dyDescent="0.25">
      <c r="A60" s="117" t="str">
        <f>Settings!A32</f>
        <v>Medical Debt</v>
      </c>
      <c r="B60" s="127">
        <v>0</v>
      </c>
      <c r="C60" s="127">
        <v>0</v>
      </c>
      <c r="D60" s="76">
        <f>B60-C60</f>
        <v>0</v>
      </c>
      <c r="E60" s="133"/>
      <c r="F60" s="53"/>
      <c r="G60" s="53"/>
      <c r="H60" s="53"/>
      <c r="I60" s="53"/>
      <c r="J60" s="53"/>
      <c r="K60" s="53"/>
      <c r="L60" s="53"/>
      <c r="M60" s="53"/>
      <c r="N60" s="54"/>
      <c r="O60" s="54"/>
      <c r="P60" s="53"/>
      <c r="Q60" s="64"/>
      <c r="R60" s="64"/>
      <c r="S60" s="64"/>
      <c r="T60" s="64"/>
      <c r="U60" s="64"/>
      <c r="V60" s="64"/>
      <c r="W60" s="64"/>
      <c r="X60" s="64"/>
      <c r="Y60" s="64"/>
      <c r="Z60" s="64"/>
    </row>
    <row r="61" spans="1:26" ht="18" customHeight="1" x14ac:dyDescent="0.25">
      <c r="A61" s="118" t="s">
        <v>99</v>
      </c>
      <c r="B61" s="115">
        <f>SUM(B57:B60)</f>
        <v>150</v>
      </c>
      <c r="C61" s="115">
        <f>SUM(C57:C60)</f>
        <v>150</v>
      </c>
      <c r="D61" s="116">
        <f>B61-C61</f>
        <v>0</v>
      </c>
      <c r="E61" s="119"/>
      <c r="F61" s="53"/>
      <c r="G61" s="53"/>
      <c r="H61" s="53"/>
      <c r="I61" s="53"/>
      <c r="J61" s="53"/>
      <c r="K61" s="53"/>
      <c r="L61" s="53"/>
      <c r="M61" s="53"/>
      <c r="N61" s="54"/>
      <c r="O61" s="54"/>
      <c r="P61" s="53"/>
      <c r="Q61" s="64"/>
      <c r="R61" s="64"/>
      <c r="S61" s="64"/>
      <c r="T61" s="64"/>
      <c r="U61" s="64"/>
      <c r="V61" s="64"/>
      <c r="W61" s="64"/>
      <c r="X61" s="64"/>
      <c r="Y61" s="64"/>
      <c r="Z61" s="64"/>
    </row>
    <row r="62" spans="1:26" x14ac:dyDescent="0.25">
      <c r="A62" s="53"/>
      <c r="B62" s="53"/>
      <c r="C62" s="53"/>
      <c r="D62" s="53"/>
      <c r="E62" s="53"/>
      <c r="F62" s="53"/>
      <c r="G62" s="53"/>
      <c r="H62" s="53"/>
      <c r="I62" s="53"/>
      <c r="J62" s="53"/>
      <c r="K62" s="53"/>
      <c r="L62" s="53"/>
      <c r="M62" s="53"/>
      <c r="N62" s="54"/>
      <c r="O62" s="54"/>
      <c r="P62" s="53"/>
      <c r="Q62" s="64"/>
      <c r="R62" s="64"/>
      <c r="S62" s="64"/>
      <c r="T62" s="64"/>
      <c r="U62" s="64"/>
      <c r="V62" s="64"/>
      <c r="W62" s="64"/>
      <c r="X62" s="64"/>
      <c r="Y62" s="64"/>
      <c r="Z62" s="64"/>
    </row>
    <row r="63" spans="1:26" x14ac:dyDescent="0.25">
      <c r="A63" s="64"/>
      <c r="B63" s="64"/>
      <c r="C63" s="64"/>
      <c r="D63" s="64"/>
      <c r="E63" s="64"/>
      <c r="F63" s="64"/>
      <c r="G63" s="64"/>
      <c r="H63" s="64"/>
      <c r="I63" s="64"/>
      <c r="J63" s="64"/>
      <c r="K63" s="64"/>
      <c r="L63" s="64"/>
      <c r="M63" s="64"/>
      <c r="N63" s="65"/>
      <c r="O63" s="65"/>
      <c r="P63" s="64"/>
      <c r="Q63" s="64"/>
      <c r="R63" s="64"/>
      <c r="S63" s="64"/>
      <c r="T63" s="64"/>
      <c r="U63" s="64"/>
      <c r="V63" s="64"/>
      <c r="W63" s="64"/>
      <c r="X63" s="64"/>
      <c r="Y63" s="64"/>
      <c r="Z63" s="64"/>
    </row>
    <row r="64" spans="1:26" x14ac:dyDescent="0.25">
      <c r="A64" s="64"/>
      <c r="B64" s="64"/>
      <c r="C64" s="64"/>
      <c r="D64" s="64"/>
      <c r="E64" s="64"/>
      <c r="F64" s="64"/>
      <c r="G64" s="64"/>
      <c r="H64" s="64"/>
      <c r="I64" s="64"/>
      <c r="J64" s="64"/>
      <c r="K64" s="64"/>
      <c r="L64" s="64"/>
      <c r="M64" s="64"/>
      <c r="N64" s="65"/>
      <c r="O64" s="65"/>
      <c r="P64" s="64"/>
      <c r="Q64" s="64"/>
      <c r="R64" s="64"/>
      <c r="S64" s="64"/>
      <c r="T64" s="64"/>
      <c r="U64" s="64"/>
      <c r="V64" s="64"/>
      <c r="W64" s="64"/>
      <c r="X64" s="64"/>
      <c r="Y64" s="64"/>
      <c r="Z64" s="64"/>
    </row>
    <row r="65" spans="1:26" x14ac:dyDescent="0.25">
      <c r="A65" s="64"/>
      <c r="B65" s="64"/>
      <c r="C65" s="64"/>
      <c r="D65" s="64"/>
      <c r="E65" s="64"/>
      <c r="F65" s="64"/>
      <c r="G65" s="64"/>
      <c r="H65" s="64"/>
      <c r="I65" s="64"/>
      <c r="J65" s="64"/>
      <c r="K65" s="64"/>
      <c r="L65" s="64"/>
      <c r="M65" s="64"/>
      <c r="N65" s="65"/>
      <c r="O65" s="65"/>
      <c r="P65" s="64"/>
      <c r="Q65" s="64"/>
      <c r="R65" s="64"/>
      <c r="S65" s="64"/>
      <c r="T65" s="64"/>
      <c r="U65" s="64"/>
      <c r="V65" s="64"/>
      <c r="W65" s="64"/>
      <c r="X65" s="64"/>
      <c r="Y65" s="64"/>
      <c r="Z65" s="64"/>
    </row>
    <row r="66" spans="1:26" x14ac:dyDescent="0.25">
      <c r="A66" s="64"/>
      <c r="B66" s="64"/>
      <c r="C66" s="64"/>
      <c r="D66" s="64"/>
      <c r="E66" s="64"/>
      <c r="F66" s="64"/>
      <c r="G66" s="64"/>
      <c r="H66" s="64"/>
      <c r="I66" s="64"/>
      <c r="J66" s="64"/>
      <c r="K66" s="64"/>
      <c r="L66" s="64"/>
      <c r="M66" s="64"/>
      <c r="N66" s="65"/>
      <c r="O66" s="65"/>
      <c r="P66" s="64"/>
      <c r="Q66" s="64"/>
      <c r="R66" s="64"/>
      <c r="S66" s="64"/>
      <c r="T66" s="64"/>
      <c r="U66" s="64"/>
      <c r="V66" s="64"/>
      <c r="W66" s="64"/>
      <c r="X66" s="64"/>
      <c r="Y66" s="64"/>
      <c r="Z66" s="64"/>
    </row>
    <row r="67" spans="1:26" x14ac:dyDescent="0.25">
      <c r="A67" s="64"/>
      <c r="B67" s="64"/>
      <c r="C67" s="64"/>
      <c r="D67" s="64"/>
      <c r="E67" s="64"/>
      <c r="F67" s="64"/>
      <c r="G67" s="64"/>
      <c r="H67" s="64"/>
      <c r="I67" s="64"/>
      <c r="J67" s="64"/>
      <c r="K67" s="64"/>
      <c r="L67" s="64"/>
      <c r="M67" s="64"/>
      <c r="N67" s="65"/>
      <c r="O67" s="65"/>
      <c r="P67" s="64"/>
      <c r="Q67" s="64"/>
      <c r="R67" s="64"/>
      <c r="S67" s="64"/>
      <c r="T67" s="64"/>
      <c r="U67" s="64"/>
      <c r="V67" s="64"/>
      <c r="W67" s="64"/>
      <c r="X67" s="64"/>
      <c r="Y67" s="64"/>
      <c r="Z67" s="64"/>
    </row>
    <row r="68" spans="1:26" x14ac:dyDescent="0.25">
      <c r="A68" s="64"/>
      <c r="B68" s="64"/>
      <c r="C68" s="64"/>
      <c r="D68" s="64"/>
      <c r="E68" s="64"/>
      <c r="F68" s="64"/>
      <c r="G68" s="64"/>
      <c r="H68" s="64"/>
      <c r="I68" s="64"/>
      <c r="J68" s="64"/>
      <c r="K68" s="64"/>
      <c r="L68" s="64"/>
      <c r="M68" s="64"/>
      <c r="N68" s="65"/>
      <c r="O68" s="65"/>
      <c r="P68" s="64"/>
      <c r="Q68" s="64"/>
      <c r="R68" s="64"/>
      <c r="S68" s="64"/>
      <c r="T68" s="64"/>
      <c r="U68" s="64"/>
      <c r="V68" s="64"/>
      <c r="W68" s="64"/>
      <c r="X68" s="64"/>
      <c r="Y68" s="64"/>
      <c r="Z68" s="64"/>
    </row>
    <row r="69" spans="1:26" x14ac:dyDescent="0.25">
      <c r="A69" s="64"/>
      <c r="B69" s="64"/>
      <c r="C69" s="64"/>
      <c r="D69" s="64"/>
      <c r="E69" s="64"/>
      <c r="F69" s="64"/>
      <c r="G69" s="64"/>
      <c r="H69" s="64"/>
      <c r="I69" s="64"/>
      <c r="J69" s="64"/>
      <c r="K69" s="64"/>
      <c r="L69" s="64"/>
      <c r="M69" s="64"/>
      <c r="N69" s="65"/>
      <c r="O69" s="65"/>
      <c r="P69" s="64"/>
      <c r="Q69" s="64"/>
      <c r="R69" s="64"/>
      <c r="S69" s="64"/>
      <c r="T69" s="64"/>
      <c r="U69" s="64"/>
      <c r="V69" s="64"/>
      <c r="W69" s="64"/>
      <c r="X69" s="64"/>
      <c r="Y69" s="64"/>
      <c r="Z69" s="64"/>
    </row>
    <row r="70" spans="1:26" x14ac:dyDescent="0.25">
      <c r="A70" s="64"/>
      <c r="B70" s="64"/>
      <c r="C70" s="64"/>
      <c r="D70" s="64"/>
      <c r="E70" s="64"/>
      <c r="F70" s="64"/>
      <c r="G70" s="64"/>
      <c r="H70" s="64"/>
      <c r="I70" s="64"/>
      <c r="J70" s="64"/>
      <c r="K70" s="64"/>
      <c r="L70" s="64"/>
      <c r="M70" s="64"/>
      <c r="N70" s="65"/>
      <c r="O70" s="65"/>
      <c r="P70" s="64"/>
      <c r="Q70" s="64"/>
      <c r="R70" s="64"/>
      <c r="S70" s="64"/>
      <c r="T70" s="64"/>
      <c r="U70" s="64"/>
      <c r="V70" s="64"/>
      <c r="W70" s="64"/>
      <c r="X70" s="64"/>
      <c r="Y70" s="64"/>
      <c r="Z70" s="64"/>
    </row>
    <row r="71" spans="1:26" x14ac:dyDescent="0.25">
      <c r="A71" s="64"/>
      <c r="B71" s="64"/>
      <c r="C71" s="64"/>
      <c r="D71" s="64"/>
      <c r="E71" s="64"/>
      <c r="F71" s="64"/>
      <c r="G71" s="64"/>
      <c r="H71" s="64"/>
      <c r="I71" s="64"/>
      <c r="J71" s="64"/>
      <c r="K71" s="64"/>
      <c r="L71" s="64"/>
      <c r="M71" s="64"/>
      <c r="N71" s="65"/>
      <c r="O71" s="65"/>
      <c r="P71" s="64"/>
      <c r="Q71" s="64"/>
      <c r="R71" s="64"/>
      <c r="S71" s="64"/>
      <c r="T71" s="64"/>
      <c r="U71" s="64"/>
      <c r="V71" s="64"/>
      <c r="W71" s="64"/>
      <c r="X71" s="64"/>
      <c r="Y71" s="64"/>
      <c r="Z71" s="64"/>
    </row>
    <row r="72" spans="1:26" x14ac:dyDescent="0.25">
      <c r="A72" s="64"/>
      <c r="B72" s="64"/>
      <c r="C72" s="64"/>
      <c r="D72" s="64"/>
      <c r="E72" s="64"/>
      <c r="F72" s="64"/>
      <c r="G72" s="64"/>
      <c r="H72" s="64"/>
      <c r="I72" s="64"/>
      <c r="J72" s="64"/>
      <c r="K72" s="64"/>
      <c r="L72" s="64"/>
      <c r="M72" s="64"/>
      <c r="N72" s="65"/>
      <c r="O72" s="65"/>
      <c r="P72" s="64"/>
      <c r="Q72" s="64"/>
      <c r="R72" s="64"/>
      <c r="S72" s="64"/>
      <c r="T72" s="64"/>
      <c r="U72" s="64"/>
      <c r="V72" s="64"/>
      <c r="W72" s="64"/>
      <c r="X72" s="64"/>
      <c r="Y72" s="64"/>
      <c r="Z72" s="64"/>
    </row>
    <row r="73" spans="1:26" x14ac:dyDescent="0.25">
      <c r="A73" s="64"/>
      <c r="B73" s="64"/>
      <c r="C73" s="64"/>
      <c r="D73" s="64"/>
      <c r="E73" s="64"/>
      <c r="F73" s="64"/>
      <c r="G73" s="64"/>
      <c r="H73" s="64"/>
      <c r="I73" s="64"/>
      <c r="J73" s="64"/>
      <c r="K73" s="64"/>
      <c r="L73" s="64"/>
      <c r="M73" s="64"/>
      <c r="N73" s="65"/>
      <c r="O73" s="65"/>
      <c r="P73" s="64"/>
      <c r="Q73" s="64"/>
      <c r="R73" s="64"/>
      <c r="S73" s="64"/>
      <c r="T73" s="64"/>
      <c r="U73" s="64"/>
      <c r="V73" s="64"/>
      <c r="W73" s="64"/>
      <c r="X73" s="64"/>
      <c r="Y73" s="64"/>
      <c r="Z73" s="64"/>
    </row>
    <row r="74" spans="1:26" x14ac:dyDescent="0.25">
      <c r="A74" s="64"/>
      <c r="B74" s="64"/>
      <c r="C74" s="64"/>
      <c r="D74" s="64"/>
      <c r="E74" s="64"/>
      <c r="F74" s="64"/>
      <c r="G74" s="64"/>
      <c r="H74" s="64"/>
      <c r="I74" s="64"/>
      <c r="J74" s="64"/>
      <c r="K74" s="64"/>
      <c r="L74" s="64"/>
      <c r="M74" s="64"/>
      <c r="N74" s="65"/>
      <c r="O74" s="65"/>
      <c r="P74" s="64"/>
      <c r="Q74" s="64"/>
      <c r="R74" s="64"/>
      <c r="S74" s="64"/>
      <c r="T74" s="64"/>
      <c r="U74" s="64"/>
      <c r="V74" s="64"/>
      <c r="W74" s="64"/>
      <c r="X74" s="64"/>
      <c r="Y74" s="64"/>
      <c r="Z74" s="64"/>
    </row>
    <row r="75" spans="1:26" x14ac:dyDescent="0.25">
      <c r="A75" s="64"/>
      <c r="B75" s="64"/>
      <c r="C75" s="64"/>
      <c r="D75" s="64"/>
      <c r="E75" s="64"/>
      <c r="F75" s="64"/>
      <c r="G75" s="64"/>
      <c r="H75" s="64"/>
      <c r="I75" s="64"/>
      <c r="J75" s="64"/>
      <c r="K75" s="64"/>
      <c r="L75" s="64"/>
      <c r="M75" s="64"/>
      <c r="N75" s="65"/>
      <c r="O75" s="65"/>
      <c r="P75" s="64"/>
      <c r="Q75" s="64"/>
      <c r="R75" s="64"/>
      <c r="S75" s="64"/>
      <c r="T75" s="64"/>
      <c r="U75" s="64"/>
      <c r="V75" s="64"/>
      <c r="W75" s="64"/>
      <c r="X75" s="64"/>
      <c r="Y75" s="64"/>
      <c r="Z75" s="64"/>
    </row>
    <row r="76" spans="1:26" x14ac:dyDescent="0.25">
      <c r="A76" s="64"/>
      <c r="B76" s="64"/>
      <c r="C76" s="64"/>
      <c r="D76" s="64"/>
      <c r="E76" s="64"/>
      <c r="F76" s="64"/>
      <c r="G76" s="64"/>
      <c r="H76" s="64"/>
      <c r="I76" s="64"/>
      <c r="J76" s="64"/>
      <c r="K76" s="64"/>
      <c r="L76" s="64"/>
      <c r="M76" s="64"/>
      <c r="N76" s="65"/>
      <c r="O76" s="65"/>
      <c r="P76" s="64"/>
      <c r="Q76" s="64"/>
      <c r="R76" s="64"/>
      <c r="S76" s="64"/>
      <c r="T76" s="64"/>
      <c r="U76" s="64"/>
      <c r="V76" s="64"/>
      <c r="W76" s="64"/>
      <c r="X76" s="64"/>
      <c r="Y76" s="64"/>
      <c r="Z76" s="64"/>
    </row>
    <row r="77" spans="1:26" x14ac:dyDescent="0.25">
      <c r="A77" s="64"/>
      <c r="B77" s="64"/>
      <c r="C77" s="64"/>
      <c r="D77" s="64"/>
      <c r="E77" s="64"/>
      <c r="F77" s="64"/>
      <c r="G77" s="64"/>
      <c r="H77" s="64"/>
      <c r="I77" s="64"/>
      <c r="J77" s="64"/>
      <c r="K77" s="64"/>
      <c r="L77" s="64"/>
      <c r="M77" s="64"/>
      <c r="N77" s="65"/>
      <c r="O77" s="65"/>
      <c r="P77" s="64"/>
      <c r="Q77" s="64"/>
      <c r="R77" s="64"/>
      <c r="S77" s="64"/>
      <c r="T77" s="64"/>
      <c r="U77" s="64"/>
      <c r="V77" s="64"/>
      <c r="W77" s="64"/>
      <c r="X77" s="64"/>
      <c r="Y77" s="64"/>
      <c r="Z77" s="64"/>
    </row>
    <row r="78" spans="1:26" x14ac:dyDescent="0.25">
      <c r="A78" s="64"/>
      <c r="B78" s="64"/>
      <c r="C78" s="64"/>
      <c r="D78" s="64"/>
      <c r="E78" s="64"/>
      <c r="F78" s="64"/>
      <c r="G78" s="64"/>
      <c r="H78" s="64"/>
      <c r="I78" s="64"/>
      <c r="J78" s="64"/>
      <c r="K78" s="64"/>
      <c r="L78" s="64"/>
      <c r="M78" s="64"/>
      <c r="N78" s="65"/>
      <c r="O78" s="65"/>
      <c r="P78" s="64"/>
      <c r="Q78" s="64"/>
      <c r="R78" s="64"/>
      <c r="S78" s="64"/>
      <c r="T78" s="64"/>
      <c r="U78" s="64"/>
      <c r="V78" s="64"/>
      <c r="W78" s="64"/>
      <c r="X78" s="64"/>
      <c r="Y78" s="64"/>
      <c r="Z78" s="64"/>
    </row>
    <row r="79" spans="1:26" x14ac:dyDescent="0.25">
      <c r="A79" s="64"/>
      <c r="B79" s="64"/>
      <c r="C79" s="64"/>
      <c r="D79" s="64"/>
      <c r="E79" s="64"/>
      <c r="F79" s="64"/>
      <c r="G79" s="64"/>
      <c r="H79" s="64"/>
      <c r="I79" s="64"/>
      <c r="J79" s="64"/>
      <c r="K79" s="64"/>
      <c r="L79" s="64"/>
      <c r="M79" s="64"/>
      <c r="N79" s="65"/>
      <c r="O79" s="65"/>
      <c r="P79" s="64"/>
      <c r="Q79" s="64"/>
      <c r="R79" s="64"/>
      <c r="S79" s="64"/>
      <c r="T79" s="64"/>
      <c r="U79" s="64"/>
      <c r="V79" s="64"/>
      <c r="W79" s="64"/>
      <c r="X79" s="64"/>
      <c r="Y79" s="64"/>
      <c r="Z79" s="64"/>
    </row>
    <row r="80" spans="1:26" x14ac:dyDescent="0.25">
      <c r="A80" s="64"/>
      <c r="B80" s="64"/>
      <c r="C80" s="64"/>
      <c r="D80" s="64"/>
      <c r="E80" s="64"/>
      <c r="F80" s="64"/>
      <c r="G80" s="64"/>
      <c r="H80" s="64"/>
      <c r="I80" s="64"/>
      <c r="J80" s="64"/>
      <c r="K80" s="64"/>
      <c r="L80" s="64"/>
      <c r="M80" s="64"/>
      <c r="N80" s="65"/>
      <c r="O80" s="65"/>
      <c r="P80" s="64"/>
      <c r="Q80" s="64"/>
      <c r="R80" s="64"/>
      <c r="S80" s="64"/>
      <c r="T80" s="64"/>
      <c r="U80" s="64"/>
      <c r="V80" s="64"/>
      <c r="W80" s="64"/>
      <c r="X80" s="64"/>
      <c r="Y80" s="64"/>
      <c r="Z80" s="64"/>
    </row>
    <row r="81" spans="1:26" x14ac:dyDescent="0.25">
      <c r="A81" s="64"/>
      <c r="B81" s="64"/>
      <c r="C81" s="64"/>
      <c r="D81" s="64"/>
      <c r="E81" s="64"/>
      <c r="F81" s="64"/>
      <c r="G81" s="64"/>
      <c r="H81" s="64"/>
      <c r="I81" s="64"/>
      <c r="J81" s="64"/>
      <c r="K81" s="64"/>
      <c r="L81" s="64"/>
      <c r="M81" s="64"/>
      <c r="N81" s="65"/>
      <c r="O81" s="65"/>
      <c r="P81" s="64"/>
      <c r="Q81" s="64"/>
      <c r="R81" s="64"/>
      <c r="S81" s="64"/>
      <c r="T81" s="64"/>
      <c r="U81" s="64"/>
      <c r="V81" s="64"/>
      <c r="W81" s="64"/>
      <c r="X81" s="64"/>
      <c r="Y81" s="64"/>
      <c r="Z81" s="64"/>
    </row>
    <row r="82" spans="1:26" x14ac:dyDescent="0.25">
      <c r="A82" s="64"/>
      <c r="B82" s="64"/>
      <c r="C82" s="64"/>
      <c r="D82" s="64"/>
      <c r="E82" s="64"/>
      <c r="F82" s="64"/>
      <c r="G82" s="64"/>
      <c r="H82" s="64"/>
      <c r="I82" s="64"/>
      <c r="J82" s="64"/>
      <c r="K82" s="64"/>
      <c r="L82" s="64"/>
      <c r="M82" s="64"/>
      <c r="N82" s="65"/>
      <c r="O82" s="65"/>
      <c r="P82" s="64"/>
      <c r="Q82" s="64"/>
      <c r="R82" s="64"/>
      <c r="S82" s="64"/>
      <c r="T82" s="64"/>
      <c r="U82" s="64"/>
      <c r="V82" s="64"/>
      <c r="W82" s="64"/>
      <c r="X82" s="64"/>
      <c r="Y82" s="64"/>
      <c r="Z82" s="64"/>
    </row>
    <row r="83" spans="1:26" x14ac:dyDescent="0.25">
      <c r="A83" s="64"/>
      <c r="B83" s="64"/>
      <c r="C83" s="64"/>
      <c r="D83" s="64"/>
      <c r="E83" s="64"/>
      <c r="F83" s="64"/>
      <c r="G83" s="64"/>
      <c r="H83" s="64"/>
      <c r="I83" s="64"/>
      <c r="J83" s="64"/>
      <c r="K83" s="64"/>
      <c r="L83" s="64"/>
      <c r="M83" s="64"/>
      <c r="N83" s="65"/>
      <c r="O83" s="65"/>
      <c r="P83" s="64"/>
      <c r="Q83" s="64"/>
      <c r="R83" s="64"/>
      <c r="S83" s="64"/>
      <c r="T83" s="64"/>
      <c r="U83" s="64"/>
      <c r="V83" s="64"/>
      <c r="W83" s="64"/>
      <c r="X83" s="64"/>
      <c r="Y83" s="64"/>
      <c r="Z83" s="64"/>
    </row>
    <row r="84" spans="1:26" x14ac:dyDescent="0.25">
      <c r="A84" s="64"/>
      <c r="B84" s="64"/>
      <c r="C84" s="64"/>
      <c r="D84" s="64"/>
      <c r="E84" s="64"/>
      <c r="F84" s="64"/>
      <c r="G84" s="64"/>
      <c r="H84" s="64"/>
      <c r="I84" s="64"/>
      <c r="J84" s="64"/>
      <c r="K84" s="64"/>
      <c r="L84" s="64"/>
      <c r="M84" s="64"/>
      <c r="N84" s="65"/>
      <c r="O84" s="65"/>
      <c r="P84" s="64"/>
      <c r="Q84" s="64"/>
      <c r="R84" s="64"/>
      <c r="S84" s="64"/>
      <c r="T84" s="64"/>
      <c r="U84" s="64"/>
      <c r="V84" s="64"/>
      <c r="W84" s="64"/>
      <c r="X84" s="64"/>
      <c r="Y84" s="64"/>
      <c r="Z84" s="64"/>
    </row>
    <row r="85" spans="1:26" x14ac:dyDescent="0.25">
      <c r="A85" s="64"/>
      <c r="B85" s="64"/>
      <c r="C85" s="64"/>
      <c r="D85" s="64"/>
      <c r="E85" s="64"/>
      <c r="F85" s="64"/>
      <c r="G85" s="64"/>
      <c r="H85" s="64"/>
      <c r="I85" s="64"/>
      <c r="J85" s="64"/>
      <c r="K85" s="64"/>
      <c r="L85" s="64"/>
      <c r="M85" s="64"/>
      <c r="N85" s="65"/>
      <c r="O85" s="65"/>
      <c r="P85" s="64"/>
      <c r="Q85" s="64"/>
      <c r="R85" s="64"/>
      <c r="S85" s="64"/>
      <c r="T85" s="64"/>
      <c r="U85" s="64"/>
      <c r="V85" s="64"/>
      <c r="W85" s="64"/>
      <c r="X85" s="64"/>
      <c r="Y85" s="64"/>
      <c r="Z85" s="64"/>
    </row>
    <row r="86" spans="1:26" x14ac:dyDescent="0.25">
      <c r="A86" s="64"/>
      <c r="B86" s="64"/>
      <c r="C86" s="64"/>
      <c r="D86" s="64"/>
      <c r="E86" s="64"/>
      <c r="F86" s="64"/>
      <c r="G86" s="64"/>
      <c r="H86" s="64"/>
      <c r="I86" s="64"/>
      <c r="J86" s="64"/>
      <c r="K86" s="64"/>
      <c r="L86" s="64"/>
      <c r="M86" s="64"/>
      <c r="N86" s="65"/>
      <c r="O86" s="65"/>
      <c r="P86" s="64"/>
      <c r="Q86" s="64"/>
      <c r="R86" s="64"/>
      <c r="S86" s="64"/>
      <c r="T86" s="64"/>
      <c r="U86" s="64"/>
      <c r="V86" s="64"/>
      <c r="W86" s="64"/>
      <c r="X86" s="64"/>
      <c r="Y86" s="64"/>
      <c r="Z86" s="64"/>
    </row>
    <row r="87" spans="1:26" x14ac:dyDescent="0.25">
      <c r="A87" s="64"/>
      <c r="B87" s="64"/>
      <c r="C87" s="64"/>
      <c r="D87" s="64"/>
      <c r="E87" s="64"/>
      <c r="F87" s="64"/>
      <c r="G87" s="64"/>
      <c r="H87" s="64"/>
      <c r="I87" s="64"/>
      <c r="J87" s="64"/>
      <c r="K87" s="64"/>
      <c r="L87" s="64"/>
      <c r="M87" s="64"/>
      <c r="N87" s="65"/>
      <c r="O87" s="65"/>
      <c r="P87" s="64"/>
      <c r="Q87" s="64"/>
      <c r="R87" s="64"/>
      <c r="S87" s="64"/>
      <c r="T87" s="64"/>
      <c r="U87" s="64"/>
      <c r="V87" s="64"/>
      <c r="W87" s="64"/>
      <c r="X87" s="64"/>
      <c r="Y87" s="64"/>
      <c r="Z87" s="64"/>
    </row>
    <row r="88" spans="1:26" x14ac:dyDescent="0.25">
      <c r="A88" s="64"/>
      <c r="B88" s="64"/>
      <c r="C88" s="64"/>
      <c r="D88" s="64"/>
      <c r="E88" s="64"/>
      <c r="F88" s="64"/>
      <c r="G88" s="64"/>
      <c r="H88" s="64"/>
      <c r="I88" s="64"/>
      <c r="J88" s="64"/>
      <c r="K88" s="64"/>
      <c r="L88" s="64"/>
      <c r="M88" s="64"/>
      <c r="N88" s="65"/>
      <c r="O88" s="65"/>
      <c r="P88" s="64"/>
      <c r="Q88" s="64"/>
      <c r="R88" s="64"/>
      <c r="S88" s="64"/>
      <c r="T88" s="64"/>
      <c r="U88" s="64"/>
      <c r="V88" s="64"/>
      <c r="W88" s="64"/>
      <c r="X88" s="64"/>
      <c r="Y88" s="64"/>
      <c r="Z88" s="64"/>
    </row>
    <row r="89" spans="1:26" x14ac:dyDescent="0.25">
      <c r="A89" s="64"/>
      <c r="B89" s="64"/>
      <c r="C89" s="64"/>
      <c r="D89" s="64"/>
      <c r="E89" s="64"/>
      <c r="F89" s="64"/>
      <c r="G89" s="64"/>
      <c r="H89" s="64"/>
      <c r="I89" s="64"/>
      <c r="J89" s="64"/>
      <c r="K89" s="64"/>
      <c r="L89" s="64"/>
      <c r="M89" s="64"/>
      <c r="N89" s="65"/>
      <c r="O89" s="65"/>
      <c r="P89" s="64"/>
      <c r="Q89" s="64"/>
      <c r="R89" s="64"/>
      <c r="S89" s="64"/>
      <c r="T89" s="64"/>
      <c r="U89" s="64"/>
      <c r="V89" s="64"/>
      <c r="W89" s="64"/>
      <c r="X89" s="64"/>
      <c r="Y89" s="64"/>
      <c r="Z89" s="64"/>
    </row>
    <row r="90" spans="1:26" x14ac:dyDescent="0.25">
      <c r="A90" s="64"/>
      <c r="B90" s="64"/>
      <c r="C90" s="64"/>
      <c r="D90" s="64"/>
      <c r="E90" s="64"/>
      <c r="F90" s="64"/>
      <c r="G90" s="64"/>
      <c r="H90" s="64"/>
      <c r="I90" s="64"/>
      <c r="J90" s="64"/>
      <c r="K90" s="64"/>
      <c r="L90" s="64"/>
      <c r="M90" s="64"/>
      <c r="N90" s="65"/>
      <c r="O90" s="65"/>
      <c r="P90" s="64"/>
      <c r="Q90" s="64"/>
      <c r="R90" s="64"/>
      <c r="S90" s="64"/>
      <c r="T90" s="64"/>
      <c r="U90" s="64"/>
      <c r="V90" s="64"/>
      <c r="W90" s="64"/>
      <c r="X90" s="64"/>
      <c r="Y90" s="64"/>
      <c r="Z90" s="64"/>
    </row>
    <row r="91" spans="1:26" x14ac:dyDescent="0.25">
      <c r="A91" s="64"/>
      <c r="B91" s="64"/>
      <c r="C91" s="64"/>
      <c r="D91" s="64"/>
      <c r="E91" s="64"/>
      <c r="F91" s="64"/>
      <c r="G91" s="64"/>
      <c r="H91" s="64"/>
      <c r="I91" s="64"/>
      <c r="J91" s="64"/>
      <c r="K91" s="64"/>
      <c r="L91" s="64"/>
      <c r="M91" s="64"/>
      <c r="N91" s="65"/>
      <c r="O91" s="65"/>
      <c r="P91" s="64"/>
      <c r="Q91" s="64"/>
      <c r="R91" s="64"/>
      <c r="S91" s="64"/>
      <c r="T91" s="64"/>
      <c r="U91" s="64"/>
      <c r="V91" s="64"/>
      <c r="W91" s="64"/>
      <c r="X91" s="64"/>
      <c r="Y91" s="64"/>
      <c r="Z91" s="64"/>
    </row>
    <row r="92" spans="1:26" x14ac:dyDescent="0.25">
      <c r="A92" s="64"/>
      <c r="B92" s="64"/>
      <c r="C92" s="64"/>
      <c r="D92" s="64"/>
      <c r="E92" s="64"/>
      <c r="F92" s="64"/>
      <c r="G92" s="64"/>
      <c r="H92" s="64"/>
      <c r="I92" s="64"/>
      <c r="J92" s="64"/>
      <c r="K92" s="64"/>
      <c r="L92" s="64"/>
      <c r="M92" s="64"/>
      <c r="N92" s="65"/>
      <c r="O92" s="65"/>
      <c r="P92" s="64"/>
      <c r="Q92" s="64"/>
      <c r="R92" s="64"/>
      <c r="S92" s="64"/>
      <c r="T92" s="64"/>
      <c r="U92" s="64"/>
      <c r="V92" s="64"/>
      <c r="W92" s="64"/>
      <c r="X92" s="64"/>
      <c r="Y92" s="64"/>
      <c r="Z92" s="64"/>
    </row>
    <row r="93" spans="1:26" x14ac:dyDescent="0.25">
      <c r="A93" s="64"/>
      <c r="B93" s="64"/>
      <c r="C93" s="64"/>
      <c r="D93" s="64"/>
      <c r="E93" s="64"/>
      <c r="F93" s="64"/>
      <c r="G93" s="64"/>
      <c r="H93" s="64"/>
      <c r="I93" s="64"/>
      <c r="J93" s="64"/>
      <c r="K93" s="64"/>
      <c r="L93" s="64"/>
      <c r="M93" s="64"/>
      <c r="N93" s="65"/>
      <c r="O93" s="65"/>
      <c r="P93" s="64"/>
      <c r="Q93" s="64"/>
      <c r="R93" s="64"/>
      <c r="S93" s="64"/>
      <c r="T93" s="64"/>
      <c r="U93" s="64"/>
      <c r="V93" s="64"/>
      <c r="W93" s="64"/>
      <c r="X93" s="64"/>
      <c r="Y93" s="64"/>
      <c r="Z93" s="64"/>
    </row>
    <row r="94" spans="1:26" x14ac:dyDescent="0.25">
      <c r="A94" s="64"/>
      <c r="B94" s="64"/>
      <c r="C94" s="64"/>
      <c r="D94" s="64"/>
      <c r="E94" s="64"/>
      <c r="F94" s="64"/>
      <c r="G94" s="64"/>
      <c r="H94" s="64"/>
      <c r="I94" s="64"/>
      <c r="J94" s="64"/>
      <c r="K94" s="64"/>
      <c r="L94" s="64"/>
      <c r="M94" s="64"/>
      <c r="N94" s="65"/>
      <c r="O94" s="65"/>
      <c r="P94" s="64"/>
      <c r="Q94" s="64"/>
      <c r="R94" s="64"/>
      <c r="S94" s="64"/>
      <c r="T94" s="64"/>
      <c r="U94" s="64"/>
      <c r="V94" s="64"/>
      <c r="W94" s="64"/>
      <c r="X94" s="64"/>
      <c r="Y94" s="64"/>
      <c r="Z94" s="64"/>
    </row>
    <row r="95" spans="1:26" x14ac:dyDescent="0.25">
      <c r="A95" s="64"/>
      <c r="B95" s="64"/>
      <c r="C95" s="64"/>
      <c r="D95" s="64"/>
      <c r="E95" s="64"/>
      <c r="F95" s="64"/>
      <c r="G95" s="64"/>
      <c r="H95" s="64"/>
      <c r="I95" s="64"/>
      <c r="J95" s="64"/>
      <c r="K95" s="64"/>
      <c r="L95" s="64"/>
      <c r="M95" s="64"/>
      <c r="N95" s="65"/>
      <c r="O95" s="65"/>
      <c r="P95" s="64"/>
      <c r="Q95" s="64"/>
      <c r="R95" s="64"/>
      <c r="S95" s="64"/>
      <c r="T95" s="64"/>
      <c r="U95" s="64"/>
      <c r="V95" s="64"/>
      <c r="W95" s="64"/>
      <c r="X95" s="64"/>
      <c r="Y95" s="64"/>
      <c r="Z95" s="64"/>
    </row>
    <row r="96" spans="1:26" x14ac:dyDescent="0.25">
      <c r="A96" s="64"/>
      <c r="B96" s="64"/>
      <c r="C96" s="64"/>
      <c r="D96" s="64"/>
      <c r="E96" s="64"/>
      <c r="F96" s="64"/>
      <c r="G96" s="64"/>
      <c r="H96" s="64"/>
      <c r="I96" s="64"/>
      <c r="J96" s="64"/>
      <c r="K96" s="64"/>
      <c r="L96" s="64"/>
      <c r="M96" s="64"/>
      <c r="N96" s="65"/>
      <c r="O96" s="65"/>
      <c r="P96" s="64"/>
      <c r="Q96" s="64"/>
      <c r="R96" s="64"/>
      <c r="S96" s="64"/>
      <c r="T96" s="64"/>
      <c r="U96" s="64"/>
      <c r="V96" s="64"/>
      <c r="W96" s="64"/>
      <c r="X96" s="64"/>
      <c r="Y96" s="64"/>
      <c r="Z96" s="64"/>
    </row>
    <row r="97" spans="1:26" x14ac:dyDescent="0.25">
      <c r="A97" s="64"/>
      <c r="B97" s="64"/>
      <c r="C97" s="64"/>
      <c r="D97" s="64"/>
      <c r="E97" s="64"/>
      <c r="F97" s="64"/>
      <c r="G97" s="64"/>
      <c r="H97" s="64"/>
      <c r="I97" s="64"/>
      <c r="J97" s="64"/>
      <c r="K97" s="64"/>
      <c r="L97" s="64"/>
      <c r="M97" s="64"/>
      <c r="N97" s="65"/>
      <c r="O97" s="65"/>
      <c r="P97" s="64"/>
      <c r="Q97" s="64"/>
      <c r="R97" s="64"/>
      <c r="S97" s="64"/>
      <c r="T97" s="64"/>
      <c r="U97" s="64"/>
      <c r="V97" s="64"/>
      <c r="W97" s="64"/>
      <c r="X97" s="64"/>
      <c r="Y97" s="64"/>
      <c r="Z97" s="64"/>
    </row>
    <row r="98" spans="1:26" x14ac:dyDescent="0.25">
      <c r="A98" s="64"/>
      <c r="B98" s="64"/>
      <c r="C98" s="64"/>
      <c r="D98" s="64"/>
      <c r="E98" s="64"/>
      <c r="F98" s="64"/>
      <c r="G98" s="64"/>
      <c r="H98" s="64"/>
      <c r="I98" s="64"/>
      <c r="J98" s="64"/>
      <c r="K98" s="64"/>
      <c r="L98" s="64"/>
      <c r="M98" s="64"/>
      <c r="N98" s="65"/>
      <c r="O98" s="65"/>
      <c r="P98" s="64"/>
      <c r="Q98" s="64"/>
      <c r="R98" s="64"/>
      <c r="S98" s="64"/>
      <c r="T98" s="64"/>
      <c r="U98" s="64"/>
      <c r="V98" s="64"/>
      <c r="W98" s="64"/>
      <c r="X98" s="64"/>
      <c r="Y98" s="64"/>
      <c r="Z98" s="64"/>
    </row>
    <row r="99" spans="1:26" x14ac:dyDescent="0.25">
      <c r="A99" s="64"/>
      <c r="B99" s="64"/>
      <c r="C99" s="64"/>
      <c r="D99" s="64"/>
      <c r="E99" s="64"/>
      <c r="F99" s="64"/>
      <c r="G99" s="64"/>
      <c r="H99" s="64"/>
      <c r="I99" s="64"/>
      <c r="J99" s="64"/>
      <c r="K99" s="64"/>
      <c r="L99" s="64"/>
      <c r="M99" s="64"/>
      <c r="N99" s="65"/>
      <c r="O99" s="65"/>
      <c r="P99" s="64"/>
      <c r="Q99" s="64"/>
      <c r="R99" s="64"/>
      <c r="S99" s="64"/>
      <c r="T99" s="64"/>
      <c r="U99" s="64"/>
      <c r="V99" s="64"/>
      <c r="W99" s="64"/>
      <c r="X99" s="64"/>
      <c r="Y99" s="64"/>
      <c r="Z99" s="64"/>
    </row>
    <row r="100" spans="1:26" x14ac:dyDescent="0.25">
      <c r="A100" s="64"/>
      <c r="B100" s="64"/>
      <c r="C100" s="64"/>
      <c r="D100" s="64"/>
      <c r="E100" s="64"/>
      <c r="F100" s="64"/>
      <c r="G100" s="64"/>
      <c r="H100" s="64"/>
      <c r="I100" s="64"/>
      <c r="J100" s="64"/>
      <c r="K100" s="64"/>
      <c r="L100" s="64"/>
      <c r="M100" s="64"/>
      <c r="N100" s="65"/>
      <c r="O100" s="65"/>
      <c r="P100" s="64"/>
      <c r="Q100" s="64"/>
      <c r="R100" s="64"/>
      <c r="S100" s="64"/>
      <c r="T100" s="64"/>
      <c r="U100" s="64"/>
      <c r="V100" s="64"/>
      <c r="W100" s="64"/>
      <c r="X100" s="64"/>
      <c r="Y100" s="64"/>
      <c r="Z100" s="64"/>
    </row>
    <row r="101" spans="1:26" x14ac:dyDescent="0.25">
      <c r="A101" s="64"/>
      <c r="B101" s="64"/>
      <c r="C101" s="64"/>
      <c r="D101" s="64"/>
      <c r="E101" s="64"/>
      <c r="F101" s="64"/>
      <c r="G101" s="64"/>
      <c r="H101" s="64"/>
      <c r="I101" s="64"/>
      <c r="J101" s="64"/>
      <c r="K101" s="64"/>
      <c r="L101" s="64"/>
      <c r="M101" s="64"/>
      <c r="N101" s="65"/>
      <c r="O101" s="65"/>
      <c r="P101" s="64"/>
      <c r="Q101" s="64"/>
      <c r="R101" s="64"/>
      <c r="S101" s="64"/>
      <c r="T101" s="64"/>
      <c r="U101" s="64"/>
      <c r="V101" s="64"/>
      <c r="W101" s="64"/>
      <c r="X101" s="64"/>
      <c r="Y101" s="64"/>
      <c r="Z101" s="64"/>
    </row>
    <row r="102" spans="1:26" x14ac:dyDescent="0.25">
      <c r="A102" s="64"/>
      <c r="B102" s="64"/>
      <c r="C102" s="64"/>
      <c r="D102" s="64"/>
      <c r="E102" s="64"/>
      <c r="F102" s="64"/>
      <c r="G102" s="64"/>
      <c r="H102" s="64"/>
      <c r="I102" s="64"/>
      <c r="J102" s="64"/>
      <c r="K102" s="64"/>
      <c r="L102" s="64"/>
      <c r="M102" s="64"/>
      <c r="N102" s="65"/>
      <c r="O102" s="65"/>
      <c r="P102" s="64"/>
      <c r="Q102" s="64"/>
      <c r="R102" s="64"/>
      <c r="S102" s="64"/>
      <c r="T102" s="64"/>
      <c r="U102" s="64"/>
      <c r="V102" s="64"/>
      <c r="W102" s="64"/>
      <c r="X102" s="64"/>
      <c r="Y102" s="64"/>
      <c r="Z102" s="64"/>
    </row>
    <row r="103" spans="1:26" x14ac:dyDescent="0.25">
      <c r="A103" s="64"/>
      <c r="B103" s="64"/>
      <c r="C103" s="64"/>
      <c r="D103" s="64"/>
      <c r="E103" s="64"/>
      <c r="F103" s="64"/>
      <c r="G103" s="64"/>
      <c r="H103" s="64"/>
      <c r="I103" s="64"/>
      <c r="J103" s="64"/>
      <c r="K103" s="64"/>
      <c r="L103" s="64"/>
      <c r="M103" s="64"/>
      <c r="N103" s="65"/>
      <c r="O103" s="65"/>
      <c r="P103" s="64"/>
      <c r="Q103" s="64"/>
      <c r="R103" s="64"/>
      <c r="S103" s="64"/>
      <c r="T103" s="64"/>
      <c r="U103" s="64"/>
      <c r="V103" s="64"/>
      <c r="W103" s="64"/>
      <c r="X103" s="64"/>
      <c r="Y103" s="64"/>
      <c r="Z103" s="64"/>
    </row>
    <row r="104" spans="1:26" x14ac:dyDescent="0.25">
      <c r="A104" s="64"/>
      <c r="B104" s="64"/>
      <c r="C104" s="64"/>
      <c r="D104" s="64"/>
      <c r="E104" s="64"/>
      <c r="F104" s="64"/>
      <c r="G104" s="64"/>
      <c r="H104" s="64"/>
      <c r="I104" s="64"/>
      <c r="J104" s="64"/>
      <c r="K104" s="64"/>
      <c r="L104" s="64"/>
      <c r="M104" s="64"/>
      <c r="N104" s="65"/>
      <c r="O104" s="65"/>
      <c r="P104" s="64"/>
      <c r="Q104" s="64"/>
      <c r="R104" s="64"/>
      <c r="S104" s="64"/>
      <c r="T104" s="64"/>
      <c r="U104" s="64"/>
      <c r="V104" s="64"/>
      <c r="W104" s="64"/>
      <c r="X104" s="64"/>
      <c r="Y104" s="64"/>
      <c r="Z104" s="64"/>
    </row>
    <row r="105" spans="1:26" x14ac:dyDescent="0.25">
      <c r="A105" s="64"/>
      <c r="B105" s="64"/>
      <c r="C105" s="64"/>
      <c r="D105" s="64"/>
      <c r="E105" s="64"/>
      <c r="F105" s="64"/>
      <c r="G105" s="64"/>
      <c r="H105" s="64"/>
      <c r="I105" s="64"/>
      <c r="J105" s="64"/>
      <c r="K105" s="64"/>
      <c r="L105" s="64"/>
      <c r="M105" s="64"/>
      <c r="N105" s="65"/>
      <c r="O105" s="65"/>
      <c r="P105" s="64"/>
      <c r="Q105" s="64"/>
      <c r="R105" s="64"/>
      <c r="S105" s="64"/>
      <c r="T105" s="64"/>
      <c r="U105" s="64"/>
      <c r="V105" s="64"/>
      <c r="W105" s="64"/>
      <c r="X105" s="64"/>
      <c r="Y105" s="64"/>
      <c r="Z105" s="64"/>
    </row>
    <row r="106" spans="1:26" x14ac:dyDescent="0.25">
      <c r="A106" s="64"/>
      <c r="B106" s="64"/>
      <c r="C106" s="64"/>
      <c r="D106" s="64"/>
      <c r="E106" s="64"/>
      <c r="F106" s="64"/>
      <c r="G106" s="64"/>
      <c r="H106" s="64"/>
      <c r="I106" s="64"/>
      <c r="J106" s="64"/>
      <c r="K106" s="64"/>
      <c r="L106" s="64"/>
      <c r="M106" s="64"/>
      <c r="N106" s="65"/>
      <c r="O106" s="65"/>
      <c r="P106" s="64"/>
      <c r="Q106" s="64"/>
      <c r="R106" s="64"/>
      <c r="S106" s="64"/>
      <c r="T106" s="64"/>
      <c r="U106" s="64"/>
      <c r="V106" s="64"/>
      <c r="W106" s="64"/>
      <c r="X106" s="64"/>
      <c r="Y106" s="64"/>
      <c r="Z106" s="64"/>
    </row>
    <row r="107" spans="1:26" x14ac:dyDescent="0.25">
      <c r="A107" s="64"/>
      <c r="B107" s="64"/>
      <c r="C107" s="64"/>
      <c r="D107" s="64"/>
      <c r="E107" s="64"/>
      <c r="F107" s="64"/>
      <c r="G107" s="64"/>
      <c r="H107" s="64"/>
      <c r="I107" s="64"/>
      <c r="J107" s="64"/>
      <c r="K107" s="64"/>
      <c r="L107" s="64"/>
      <c r="M107" s="64"/>
      <c r="N107" s="65"/>
      <c r="O107" s="65"/>
      <c r="P107" s="64"/>
      <c r="Q107" s="64"/>
      <c r="R107" s="64"/>
      <c r="S107" s="64"/>
      <c r="T107" s="64"/>
      <c r="U107" s="64"/>
      <c r="V107" s="64"/>
      <c r="W107" s="64"/>
      <c r="X107" s="64"/>
      <c r="Y107" s="64"/>
      <c r="Z107" s="64"/>
    </row>
    <row r="108" spans="1:26" x14ac:dyDescent="0.25">
      <c r="A108" s="64"/>
      <c r="B108" s="64"/>
      <c r="C108" s="64"/>
      <c r="D108" s="64"/>
      <c r="E108" s="64"/>
      <c r="F108" s="64"/>
      <c r="G108" s="64"/>
      <c r="H108" s="64"/>
      <c r="I108" s="64"/>
      <c r="J108" s="64"/>
      <c r="K108" s="64"/>
      <c r="L108" s="64"/>
      <c r="M108" s="64"/>
      <c r="N108" s="65"/>
      <c r="O108" s="65"/>
      <c r="P108" s="64"/>
      <c r="Q108" s="64"/>
      <c r="R108" s="64"/>
      <c r="S108" s="64"/>
      <c r="T108" s="64"/>
      <c r="U108" s="64"/>
      <c r="V108" s="64"/>
      <c r="W108" s="64"/>
      <c r="X108" s="64"/>
      <c r="Y108" s="64"/>
      <c r="Z108" s="64"/>
    </row>
    <row r="109" spans="1:26" x14ac:dyDescent="0.25">
      <c r="A109" s="64"/>
      <c r="B109" s="64"/>
      <c r="C109" s="64"/>
      <c r="D109" s="64"/>
      <c r="E109" s="64"/>
      <c r="F109" s="64"/>
      <c r="G109" s="64"/>
      <c r="H109" s="64"/>
      <c r="I109" s="64"/>
      <c r="J109" s="64"/>
      <c r="K109" s="64"/>
      <c r="L109" s="64"/>
      <c r="M109" s="64"/>
      <c r="N109" s="65"/>
      <c r="O109" s="65"/>
      <c r="P109" s="64"/>
      <c r="Q109" s="64"/>
      <c r="R109" s="64"/>
      <c r="S109" s="64"/>
      <c r="T109" s="64"/>
      <c r="U109" s="64"/>
      <c r="V109" s="64"/>
      <c r="W109" s="64"/>
      <c r="X109" s="64"/>
      <c r="Y109" s="64"/>
      <c r="Z109" s="64"/>
    </row>
    <row r="110" spans="1:26" x14ac:dyDescent="0.25">
      <c r="A110" s="64"/>
      <c r="B110" s="64"/>
      <c r="C110" s="64"/>
      <c r="D110" s="64"/>
      <c r="E110" s="64"/>
      <c r="F110" s="64"/>
      <c r="G110" s="64"/>
      <c r="H110" s="64"/>
      <c r="I110" s="64"/>
      <c r="J110" s="64"/>
      <c r="K110" s="64"/>
      <c r="L110" s="64"/>
      <c r="M110" s="64"/>
      <c r="N110" s="65"/>
      <c r="O110" s="65"/>
      <c r="P110" s="64"/>
      <c r="Q110" s="64"/>
      <c r="R110" s="64"/>
      <c r="S110" s="64"/>
      <c r="T110" s="64"/>
      <c r="U110" s="64"/>
      <c r="V110" s="64"/>
      <c r="W110" s="64"/>
      <c r="X110" s="64"/>
      <c r="Y110" s="64"/>
      <c r="Z110" s="64"/>
    </row>
    <row r="111" spans="1:26" x14ac:dyDescent="0.25">
      <c r="A111" s="64"/>
      <c r="B111" s="64"/>
      <c r="C111" s="64"/>
      <c r="D111" s="64"/>
      <c r="E111" s="64"/>
      <c r="F111" s="64"/>
      <c r="G111" s="64"/>
      <c r="H111" s="64"/>
      <c r="I111" s="64"/>
      <c r="J111" s="64"/>
      <c r="K111" s="64"/>
      <c r="L111" s="64"/>
      <c r="M111" s="64"/>
      <c r="N111" s="65"/>
      <c r="O111" s="65"/>
      <c r="P111" s="64"/>
      <c r="Q111" s="64"/>
      <c r="R111" s="64"/>
      <c r="S111" s="64"/>
      <c r="T111" s="64"/>
      <c r="U111" s="64"/>
      <c r="V111" s="64"/>
      <c r="W111" s="64"/>
      <c r="X111" s="64"/>
      <c r="Y111" s="64"/>
      <c r="Z111" s="64"/>
    </row>
    <row r="112" spans="1:26" x14ac:dyDescent="0.25">
      <c r="A112" s="64"/>
      <c r="B112" s="64"/>
      <c r="C112" s="64"/>
      <c r="D112" s="64"/>
      <c r="E112" s="64"/>
      <c r="F112" s="64"/>
      <c r="G112" s="64"/>
      <c r="H112" s="64"/>
      <c r="I112" s="64"/>
      <c r="J112" s="64"/>
      <c r="K112" s="64"/>
      <c r="L112" s="64"/>
      <c r="M112" s="64"/>
      <c r="N112" s="65"/>
      <c r="O112" s="65"/>
      <c r="P112" s="64"/>
      <c r="Q112" s="64"/>
      <c r="R112" s="64"/>
      <c r="S112" s="64"/>
      <c r="T112" s="64"/>
      <c r="U112" s="64"/>
      <c r="V112" s="64"/>
      <c r="W112" s="64"/>
      <c r="X112" s="64"/>
      <c r="Y112" s="64"/>
      <c r="Z112" s="64"/>
    </row>
    <row r="113" spans="1:26" x14ac:dyDescent="0.25">
      <c r="A113" s="64"/>
      <c r="B113" s="64"/>
      <c r="C113" s="64"/>
      <c r="D113" s="64"/>
      <c r="E113" s="64"/>
      <c r="F113" s="64"/>
      <c r="G113" s="64"/>
      <c r="H113" s="64"/>
      <c r="I113" s="64"/>
      <c r="J113" s="64"/>
      <c r="K113" s="64"/>
      <c r="L113" s="64"/>
      <c r="M113" s="64"/>
      <c r="N113" s="65"/>
      <c r="O113" s="65"/>
      <c r="P113" s="64"/>
      <c r="Q113" s="64"/>
      <c r="R113" s="64"/>
      <c r="S113" s="64"/>
      <c r="T113" s="64"/>
      <c r="U113" s="64"/>
      <c r="V113" s="64"/>
      <c r="W113" s="64"/>
      <c r="X113" s="64"/>
      <c r="Y113" s="64"/>
      <c r="Z113" s="64"/>
    </row>
    <row r="114" spans="1:26" x14ac:dyDescent="0.25">
      <c r="A114" s="64"/>
      <c r="B114" s="64"/>
      <c r="C114" s="64"/>
      <c r="D114" s="64"/>
      <c r="E114" s="64"/>
      <c r="F114" s="64"/>
      <c r="G114" s="64"/>
      <c r="H114" s="64"/>
      <c r="I114" s="64"/>
      <c r="J114" s="64"/>
      <c r="K114" s="64"/>
      <c r="L114" s="64"/>
      <c r="M114" s="64"/>
      <c r="N114" s="65"/>
      <c r="O114" s="65"/>
      <c r="P114" s="64"/>
      <c r="Q114" s="64"/>
      <c r="R114" s="64"/>
      <c r="S114" s="64"/>
      <c r="T114" s="64"/>
      <c r="U114" s="64"/>
      <c r="V114" s="64"/>
      <c r="W114" s="64"/>
      <c r="X114" s="64"/>
      <c r="Y114" s="64"/>
      <c r="Z114" s="64"/>
    </row>
    <row r="115" spans="1:26" x14ac:dyDescent="0.25">
      <c r="A115" s="64"/>
      <c r="B115" s="64"/>
      <c r="C115" s="64"/>
      <c r="D115" s="64"/>
      <c r="E115" s="64"/>
      <c r="F115" s="64"/>
      <c r="G115" s="64"/>
      <c r="H115" s="64"/>
      <c r="I115" s="64"/>
      <c r="J115" s="64"/>
      <c r="K115" s="64"/>
      <c r="L115" s="64"/>
      <c r="M115" s="64"/>
      <c r="N115" s="65"/>
      <c r="O115" s="65"/>
      <c r="P115" s="64"/>
      <c r="Q115" s="64"/>
      <c r="R115" s="64"/>
      <c r="S115" s="64"/>
      <c r="T115" s="64"/>
      <c r="U115" s="64"/>
      <c r="V115" s="64"/>
      <c r="W115" s="64"/>
      <c r="X115" s="64"/>
      <c r="Y115" s="64"/>
      <c r="Z115" s="64"/>
    </row>
    <row r="116" spans="1:26" x14ac:dyDescent="0.25">
      <c r="A116" s="64"/>
      <c r="B116" s="64"/>
      <c r="C116" s="64"/>
      <c r="D116" s="64"/>
      <c r="E116" s="64"/>
      <c r="F116" s="64"/>
      <c r="G116" s="64"/>
      <c r="H116" s="64"/>
      <c r="I116" s="64"/>
      <c r="J116" s="64"/>
      <c r="K116" s="64"/>
      <c r="L116" s="64"/>
      <c r="M116" s="64"/>
      <c r="N116" s="65"/>
      <c r="O116" s="65"/>
      <c r="P116" s="64"/>
      <c r="Q116" s="64"/>
      <c r="R116" s="64"/>
      <c r="S116" s="64"/>
      <c r="T116" s="64"/>
      <c r="U116" s="64"/>
      <c r="V116" s="64"/>
      <c r="W116" s="64"/>
      <c r="X116" s="64"/>
      <c r="Y116" s="64"/>
      <c r="Z116" s="64"/>
    </row>
    <row r="117" spans="1:26" x14ac:dyDescent="0.25">
      <c r="A117" s="64"/>
      <c r="B117" s="64"/>
      <c r="C117" s="64"/>
      <c r="D117" s="64"/>
      <c r="E117" s="64"/>
      <c r="F117" s="64"/>
      <c r="G117" s="64"/>
      <c r="H117" s="64"/>
      <c r="I117" s="64"/>
      <c r="J117" s="64"/>
      <c r="K117" s="64"/>
      <c r="L117" s="64"/>
      <c r="M117" s="64"/>
      <c r="N117" s="65"/>
      <c r="O117" s="65"/>
      <c r="P117" s="64"/>
      <c r="Q117" s="64"/>
      <c r="R117" s="64"/>
      <c r="S117" s="64"/>
      <c r="T117" s="64"/>
      <c r="U117" s="64"/>
      <c r="V117" s="64"/>
      <c r="W117" s="64"/>
      <c r="X117" s="64"/>
      <c r="Y117" s="64"/>
      <c r="Z117" s="64"/>
    </row>
    <row r="118" spans="1:26" x14ac:dyDescent="0.25">
      <c r="A118" s="64"/>
      <c r="B118" s="64"/>
      <c r="C118" s="64"/>
      <c r="D118" s="64"/>
      <c r="E118" s="64"/>
      <c r="F118" s="64"/>
      <c r="G118" s="64"/>
      <c r="H118" s="64"/>
      <c r="I118" s="64"/>
      <c r="J118" s="64"/>
      <c r="K118" s="64"/>
      <c r="L118" s="64"/>
      <c r="M118" s="64"/>
      <c r="N118" s="65"/>
      <c r="O118" s="65"/>
      <c r="P118" s="64"/>
      <c r="Q118" s="64"/>
      <c r="R118" s="64"/>
      <c r="S118" s="64"/>
      <c r="T118" s="64"/>
      <c r="U118" s="64"/>
      <c r="V118" s="64"/>
      <c r="W118" s="64"/>
      <c r="X118" s="64"/>
      <c r="Y118" s="64"/>
      <c r="Z118" s="64"/>
    </row>
    <row r="119" spans="1:26" x14ac:dyDescent="0.25">
      <c r="A119" s="64"/>
      <c r="B119" s="64"/>
      <c r="C119" s="64"/>
      <c r="D119" s="64"/>
      <c r="E119" s="64"/>
      <c r="F119" s="64"/>
      <c r="G119" s="64"/>
      <c r="H119" s="64"/>
      <c r="I119" s="64"/>
      <c r="J119" s="64"/>
      <c r="K119" s="64"/>
      <c r="L119" s="64"/>
      <c r="M119" s="64"/>
      <c r="N119" s="65"/>
      <c r="O119" s="65"/>
      <c r="P119" s="64"/>
      <c r="Q119" s="64"/>
      <c r="R119" s="64"/>
      <c r="S119" s="64"/>
      <c r="T119" s="64"/>
      <c r="U119" s="64"/>
      <c r="V119" s="64"/>
      <c r="W119" s="64"/>
      <c r="X119" s="64"/>
      <c r="Y119" s="64"/>
      <c r="Z119" s="64"/>
    </row>
    <row r="120" spans="1:26" x14ac:dyDescent="0.25">
      <c r="A120" s="64"/>
      <c r="B120" s="64"/>
      <c r="C120" s="64"/>
      <c r="D120" s="64"/>
      <c r="E120" s="64"/>
      <c r="F120" s="64"/>
      <c r="G120" s="64"/>
      <c r="H120" s="64"/>
      <c r="I120" s="64"/>
      <c r="J120" s="64"/>
      <c r="K120" s="64"/>
      <c r="L120" s="64"/>
      <c r="M120" s="64"/>
      <c r="N120" s="65"/>
      <c r="O120" s="65"/>
      <c r="P120" s="64"/>
      <c r="Q120" s="64"/>
      <c r="R120" s="64"/>
      <c r="S120" s="64"/>
      <c r="T120" s="64"/>
      <c r="U120" s="64"/>
      <c r="V120" s="64"/>
      <c r="W120" s="64"/>
      <c r="X120" s="64"/>
      <c r="Y120" s="64"/>
      <c r="Z120" s="64"/>
    </row>
    <row r="121" spans="1:26" x14ac:dyDescent="0.25">
      <c r="A121" s="64"/>
      <c r="B121" s="64"/>
      <c r="C121" s="64"/>
      <c r="D121" s="64"/>
      <c r="E121" s="64"/>
      <c r="F121" s="64"/>
      <c r="G121" s="64"/>
      <c r="H121" s="64"/>
      <c r="I121" s="64"/>
      <c r="J121" s="64"/>
      <c r="K121" s="64"/>
      <c r="L121" s="64"/>
      <c r="M121" s="64"/>
      <c r="N121" s="65"/>
      <c r="O121" s="65"/>
      <c r="P121" s="64"/>
      <c r="Q121" s="64"/>
      <c r="R121" s="64"/>
      <c r="S121" s="64"/>
      <c r="T121" s="64"/>
      <c r="U121" s="64"/>
      <c r="V121" s="64"/>
      <c r="W121" s="64"/>
      <c r="X121" s="64"/>
      <c r="Y121" s="64"/>
      <c r="Z121" s="64"/>
    </row>
    <row r="122" spans="1:26" x14ac:dyDescent="0.25">
      <c r="A122" s="64"/>
      <c r="B122" s="64"/>
      <c r="C122" s="64"/>
      <c r="D122" s="64"/>
      <c r="E122" s="64"/>
      <c r="F122" s="64"/>
      <c r="G122" s="64"/>
      <c r="H122" s="64"/>
      <c r="I122" s="64"/>
      <c r="J122" s="64"/>
      <c r="K122" s="64"/>
      <c r="L122" s="64"/>
      <c r="M122" s="64"/>
      <c r="N122" s="65"/>
      <c r="O122" s="65"/>
      <c r="P122" s="64"/>
      <c r="Q122" s="64"/>
      <c r="R122" s="64"/>
      <c r="S122" s="64"/>
      <c r="T122" s="64"/>
      <c r="U122" s="64"/>
      <c r="V122" s="64"/>
      <c r="W122" s="64"/>
      <c r="X122" s="64"/>
      <c r="Y122" s="64"/>
      <c r="Z122" s="64"/>
    </row>
    <row r="123" spans="1:26" x14ac:dyDescent="0.25">
      <c r="A123" s="64"/>
      <c r="B123" s="64"/>
      <c r="C123" s="64"/>
      <c r="D123" s="64"/>
      <c r="E123" s="64"/>
      <c r="F123" s="64"/>
      <c r="G123" s="64"/>
      <c r="H123" s="64"/>
      <c r="I123" s="64"/>
      <c r="J123" s="64"/>
      <c r="K123" s="64"/>
      <c r="L123" s="64"/>
      <c r="M123" s="64"/>
      <c r="N123" s="65"/>
      <c r="O123" s="65"/>
      <c r="P123" s="64"/>
      <c r="Q123" s="64"/>
      <c r="R123" s="64"/>
      <c r="S123" s="64"/>
      <c r="T123" s="64"/>
      <c r="U123" s="64"/>
      <c r="V123" s="64"/>
      <c r="W123" s="64"/>
      <c r="X123" s="64"/>
      <c r="Y123" s="64"/>
      <c r="Z123" s="64"/>
    </row>
    <row r="124" spans="1:26" x14ac:dyDescent="0.25">
      <c r="A124" s="64"/>
      <c r="B124" s="64"/>
      <c r="C124" s="64"/>
      <c r="D124" s="64"/>
      <c r="E124" s="64"/>
      <c r="F124" s="64"/>
      <c r="G124" s="64"/>
      <c r="H124" s="64"/>
      <c r="I124" s="64"/>
      <c r="J124" s="64"/>
      <c r="K124" s="64"/>
      <c r="L124" s="64"/>
      <c r="M124" s="64"/>
      <c r="N124" s="65"/>
      <c r="O124" s="65"/>
      <c r="P124" s="64"/>
      <c r="Q124" s="64"/>
      <c r="R124" s="64"/>
      <c r="S124" s="64"/>
      <c r="T124" s="64"/>
      <c r="U124" s="64"/>
      <c r="V124" s="64"/>
      <c r="W124" s="64"/>
      <c r="X124" s="64"/>
      <c r="Y124" s="64"/>
      <c r="Z124" s="64"/>
    </row>
    <row r="125" spans="1:26" x14ac:dyDescent="0.25">
      <c r="A125" s="64"/>
      <c r="B125" s="64"/>
      <c r="C125" s="64"/>
      <c r="D125" s="64"/>
      <c r="E125" s="64"/>
      <c r="F125" s="64"/>
      <c r="G125" s="64"/>
      <c r="H125" s="64"/>
      <c r="I125" s="64"/>
      <c r="J125" s="64"/>
      <c r="K125" s="64"/>
      <c r="L125" s="64"/>
      <c r="M125" s="64"/>
      <c r="N125" s="65"/>
      <c r="O125" s="65"/>
      <c r="P125" s="64"/>
      <c r="Q125" s="64"/>
      <c r="R125" s="64"/>
      <c r="S125" s="64"/>
      <c r="T125" s="64"/>
      <c r="U125" s="64"/>
      <c r="V125" s="64"/>
      <c r="W125" s="64"/>
      <c r="X125" s="64"/>
      <c r="Y125" s="64"/>
      <c r="Z125" s="64"/>
    </row>
    <row r="126" spans="1:26" x14ac:dyDescent="0.25">
      <c r="A126" s="64"/>
      <c r="B126" s="64"/>
      <c r="C126" s="64"/>
      <c r="D126" s="64"/>
      <c r="E126" s="64"/>
      <c r="F126" s="64"/>
      <c r="G126" s="64"/>
      <c r="H126" s="64"/>
      <c r="I126" s="64"/>
      <c r="J126" s="64"/>
      <c r="K126" s="64"/>
      <c r="L126" s="64"/>
      <c r="M126" s="64"/>
      <c r="N126" s="65"/>
      <c r="O126" s="65"/>
      <c r="P126" s="64"/>
      <c r="Q126" s="64"/>
      <c r="R126" s="64"/>
      <c r="S126" s="64"/>
      <c r="T126" s="64"/>
      <c r="U126" s="64"/>
      <c r="V126" s="64"/>
      <c r="W126" s="64"/>
      <c r="X126" s="64"/>
      <c r="Y126" s="64"/>
      <c r="Z126" s="64"/>
    </row>
    <row r="127" spans="1:26" x14ac:dyDescent="0.25">
      <c r="A127" s="64"/>
      <c r="B127" s="64"/>
      <c r="C127" s="64"/>
      <c r="D127" s="64"/>
      <c r="E127" s="64"/>
      <c r="F127" s="64"/>
      <c r="G127" s="64"/>
      <c r="H127" s="64"/>
      <c r="I127" s="64"/>
      <c r="J127" s="64"/>
      <c r="K127" s="64"/>
      <c r="L127" s="64"/>
      <c r="M127" s="64"/>
      <c r="N127" s="65"/>
      <c r="O127" s="65"/>
      <c r="P127" s="64"/>
      <c r="Q127" s="64"/>
      <c r="R127" s="64"/>
      <c r="S127" s="64"/>
      <c r="T127" s="64"/>
      <c r="U127" s="64"/>
      <c r="V127" s="64"/>
      <c r="W127" s="64"/>
      <c r="X127" s="64"/>
      <c r="Y127" s="64"/>
      <c r="Z127" s="64"/>
    </row>
    <row r="128" spans="1:26" x14ac:dyDescent="0.25">
      <c r="A128" s="64"/>
      <c r="B128" s="64"/>
      <c r="C128" s="64"/>
      <c r="D128" s="64"/>
      <c r="E128" s="64"/>
      <c r="F128" s="64"/>
      <c r="G128" s="64"/>
      <c r="H128" s="64"/>
      <c r="I128" s="64"/>
      <c r="J128" s="64"/>
      <c r="K128" s="64"/>
      <c r="L128" s="64"/>
      <c r="M128" s="64"/>
      <c r="N128" s="65"/>
      <c r="O128" s="65"/>
      <c r="P128" s="64"/>
      <c r="Q128" s="64"/>
      <c r="R128" s="64"/>
      <c r="S128" s="64"/>
      <c r="T128" s="64"/>
      <c r="U128" s="64"/>
      <c r="V128" s="64"/>
      <c r="W128" s="64"/>
      <c r="X128" s="64"/>
      <c r="Y128" s="64"/>
      <c r="Z128" s="64"/>
    </row>
    <row r="129" spans="1:26" x14ac:dyDescent="0.25">
      <c r="A129" s="64"/>
      <c r="B129" s="64"/>
      <c r="C129" s="64"/>
      <c r="D129" s="64"/>
      <c r="E129" s="64"/>
      <c r="F129" s="64"/>
      <c r="G129" s="64"/>
      <c r="H129" s="64"/>
      <c r="I129" s="64"/>
      <c r="J129" s="64"/>
      <c r="K129" s="64"/>
      <c r="L129" s="64"/>
      <c r="M129" s="64"/>
      <c r="N129" s="65"/>
      <c r="O129" s="65"/>
      <c r="P129" s="64"/>
      <c r="Q129" s="64"/>
      <c r="R129" s="64"/>
      <c r="S129" s="64"/>
      <c r="T129" s="64"/>
      <c r="U129" s="64"/>
      <c r="V129" s="64"/>
      <c r="W129" s="64"/>
      <c r="X129" s="64"/>
      <c r="Y129" s="64"/>
      <c r="Z129" s="64"/>
    </row>
    <row r="130" spans="1:26" x14ac:dyDescent="0.25">
      <c r="A130" s="64"/>
      <c r="B130" s="64"/>
      <c r="C130" s="64"/>
      <c r="D130" s="64"/>
      <c r="E130" s="64"/>
      <c r="F130" s="64"/>
      <c r="G130" s="64"/>
      <c r="H130" s="64"/>
      <c r="I130" s="64"/>
      <c r="J130" s="64"/>
      <c r="K130" s="64"/>
      <c r="L130" s="64"/>
      <c r="M130" s="64"/>
      <c r="N130" s="65"/>
      <c r="O130" s="65"/>
      <c r="P130" s="64"/>
      <c r="Q130" s="64"/>
      <c r="R130" s="64"/>
      <c r="S130" s="64"/>
      <c r="T130" s="64"/>
      <c r="U130" s="64"/>
      <c r="V130" s="64"/>
      <c r="W130" s="64"/>
      <c r="X130" s="64"/>
      <c r="Y130" s="64"/>
      <c r="Z130" s="64"/>
    </row>
    <row r="131" spans="1:26" x14ac:dyDescent="0.25">
      <c r="A131" s="64"/>
      <c r="B131" s="64"/>
      <c r="C131" s="64"/>
      <c r="D131" s="64"/>
      <c r="E131" s="64"/>
      <c r="F131" s="64"/>
      <c r="G131" s="64"/>
      <c r="H131" s="64"/>
      <c r="I131" s="64"/>
      <c r="J131" s="64"/>
      <c r="K131" s="64"/>
      <c r="L131" s="64"/>
      <c r="M131" s="64"/>
      <c r="N131" s="65"/>
      <c r="O131" s="65"/>
      <c r="P131" s="64"/>
      <c r="Q131" s="64"/>
      <c r="R131" s="64"/>
      <c r="S131" s="64"/>
      <c r="T131" s="64"/>
      <c r="U131" s="64"/>
      <c r="V131" s="64"/>
      <c r="W131" s="64"/>
      <c r="X131" s="64"/>
      <c r="Y131" s="64"/>
      <c r="Z131" s="64"/>
    </row>
    <row r="132" spans="1:26" x14ac:dyDescent="0.25">
      <c r="A132" s="64"/>
      <c r="B132" s="64"/>
      <c r="C132" s="64"/>
      <c r="D132" s="64"/>
      <c r="E132" s="64"/>
      <c r="F132" s="64"/>
      <c r="G132" s="64"/>
      <c r="H132" s="64"/>
      <c r="I132" s="64"/>
      <c r="J132" s="64"/>
      <c r="K132" s="64"/>
      <c r="L132" s="64"/>
      <c r="M132" s="64"/>
      <c r="N132" s="65"/>
      <c r="O132" s="65"/>
      <c r="P132" s="64"/>
      <c r="Q132" s="64"/>
      <c r="R132" s="64"/>
      <c r="S132" s="64"/>
      <c r="T132" s="64"/>
      <c r="U132" s="64"/>
      <c r="V132" s="64"/>
      <c r="W132" s="64"/>
      <c r="X132" s="64"/>
      <c r="Y132" s="64"/>
      <c r="Z132" s="64"/>
    </row>
    <row r="133" spans="1:26" x14ac:dyDescent="0.25">
      <c r="A133" s="64"/>
      <c r="B133" s="64"/>
      <c r="C133" s="64"/>
      <c r="D133" s="64"/>
      <c r="E133" s="64"/>
      <c r="F133" s="64"/>
      <c r="G133" s="64"/>
      <c r="H133" s="64"/>
      <c r="I133" s="64"/>
      <c r="J133" s="64"/>
      <c r="K133" s="64"/>
      <c r="L133" s="64"/>
      <c r="M133" s="64"/>
      <c r="N133" s="65"/>
      <c r="O133" s="65"/>
      <c r="P133" s="64"/>
      <c r="Q133" s="64"/>
      <c r="R133" s="64"/>
      <c r="S133" s="64"/>
      <c r="T133" s="64"/>
      <c r="U133" s="64"/>
      <c r="V133" s="64"/>
      <c r="W133" s="64"/>
      <c r="X133" s="64"/>
      <c r="Y133" s="64"/>
      <c r="Z133" s="64"/>
    </row>
    <row r="134" spans="1:26" x14ac:dyDescent="0.25">
      <c r="A134" s="64"/>
      <c r="B134" s="64"/>
      <c r="C134" s="64"/>
      <c r="D134" s="64"/>
      <c r="E134" s="64"/>
      <c r="F134" s="64"/>
      <c r="G134" s="64"/>
      <c r="H134" s="64"/>
      <c r="I134" s="64"/>
      <c r="J134" s="64"/>
      <c r="K134" s="64"/>
      <c r="L134" s="64"/>
      <c r="M134" s="64"/>
      <c r="N134" s="65"/>
      <c r="O134" s="65"/>
      <c r="P134" s="64"/>
      <c r="Q134" s="64"/>
      <c r="R134" s="64"/>
      <c r="S134" s="64"/>
      <c r="T134" s="64"/>
      <c r="U134" s="64"/>
      <c r="V134" s="64"/>
      <c r="W134" s="64"/>
      <c r="X134" s="64"/>
      <c r="Y134" s="64"/>
      <c r="Z134" s="64"/>
    </row>
    <row r="135" spans="1:26" x14ac:dyDescent="0.25">
      <c r="A135" s="64"/>
      <c r="B135" s="64"/>
      <c r="C135" s="64"/>
      <c r="D135" s="64"/>
      <c r="E135" s="64"/>
      <c r="F135" s="64"/>
      <c r="G135" s="64"/>
      <c r="H135" s="64"/>
      <c r="I135" s="64"/>
      <c r="J135" s="64"/>
      <c r="K135" s="64"/>
      <c r="L135" s="64"/>
      <c r="M135" s="64"/>
      <c r="N135" s="65"/>
      <c r="O135" s="65"/>
      <c r="P135" s="64"/>
      <c r="Q135" s="64"/>
      <c r="R135" s="64"/>
      <c r="S135" s="64"/>
      <c r="T135" s="64"/>
      <c r="U135" s="64"/>
      <c r="V135" s="64"/>
      <c r="W135" s="64"/>
      <c r="X135" s="64"/>
      <c r="Y135" s="64"/>
      <c r="Z135" s="64"/>
    </row>
    <row r="136" spans="1:26" x14ac:dyDescent="0.25">
      <c r="A136" s="64"/>
      <c r="B136" s="64"/>
      <c r="C136" s="64"/>
      <c r="D136" s="64"/>
      <c r="E136" s="64"/>
      <c r="F136" s="64"/>
      <c r="G136" s="64"/>
      <c r="H136" s="64"/>
      <c r="I136" s="64"/>
      <c r="J136" s="64"/>
      <c r="K136" s="64"/>
      <c r="L136" s="64"/>
      <c r="M136" s="64"/>
      <c r="N136" s="65"/>
      <c r="O136" s="65"/>
      <c r="P136" s="64"/>
      <c r="Q136" s="64"/>
      <c r="R136" s="64"/>
      <c r="S136" s="64"/>
      <c r="T136" s="64"/>
      <c r="U136" s="64"/>
      <c r="V136" s="64"/>
      <c r="W136" s="64"/>
      <c r="X136" s="64"/>
      <c r="Y136" s="64"/>
      <c r="Z136" s="64"/>
    </row>
    <row r="137" spans="1:26" x14ac:dyDescent="0.25">
      <c r="A137" s="64"/>
      <c r="B137" s="64"/>
      <c r="C137" s="64"/>
      <c r="D137" s="64"/>
      <c r="E137" s="64"/>
      <c r="F137" s="64"/>
      <c r="G137" s="64"/>
      <c r="H137" s="64"/>
      <c r="I137" s="64"/>
      <c r="J137" s="64"/>
      <c r="K137" s="64"/>
      <c r="L137" s="64"/>
      <c r="M137" s="64"/>
      <c r="N137" s="65"/>
      <c r="O137" s="65"/>
      <c r="P137" s="64"/>
      <c r="Q137" s="64"/>
      <c r="R137" s="64"/>
      <c r="S137" s="64"/>
      <c r="T137" s="64"/>
      <c r="U137" s="64"/>
      <c r="V137" s="64"/>
      <c r="W137" s="64"/>
      <c r="X137" s="64"/>
      <c r="Y137" s="64"/>
      <c r="Z137" s="64"/>
    </row>
    <row r="138" spans="1:26" x14ac:dyDescent="0.25">
      <c r="A138" s="64"/>
      <c r="B138" s="64"/>
      <c r="C138" s="64"/>
      <c r="D138" s="64"/>
      <c r="E138" s="64"/>
      <c r="F138" s="64"/>
      <c r="G138" s="64"/>
      <c r="H138" s="64"/>
      <c r="I138" s="64"/>
      <c r="J138" s="64"/>
      <c r="K138" s="64"/>
      <c r="L138" s="64"/>
      <c r="M138" s="64"/>
      <c r="N138" s="65"/>
      <c r="O138" s="65"/>
      <c r="P138" s="64"/>
      <c r="Q138" s="64"/>
      <c r="R138" s="64"/>
      <c r="S138" s="64"/>
      <c r="T138" s="64"/>
      <c r="U138" s="64"/>
      <c r="V138" s="64"/>
      <c r="W138" s="64"/>
      <c r="X138" s="64"/>
      <c r="Y138" s="64"/>
      <c r="Z138" s="64"/>
    </row>
    <row r="139" spans="1:26" x14ac:dyDescent="0.25">
      <c r="A139" s="64"/>
      <c r="B139" s="64"/>
      <c r="C139" s="64"/>
      <c r="D139" s="64"/>
      <c r="E139" s="64"/>
      <c r="F139" s="64"/>
      <c r="G139" s="64"/>
      <c r="H139" s="64"/>
      <c r="I139" s="64"/>
      <c r="J139" s="64"/>
      <c r="K139" s="64"/>
      <c r="L139" s="64"/>
      <c r="M139" s="64"/>
      <c r="N139" s="65"/>
      <c r="O139" s="65"/>
      <c r="P139" s="64"/>
      <c r="Q139" s="64"/>
      <c r="R139" s="64"/>
      <c r="S139" s="64"/>
      <c r="T139" s="64"/>
      <c r="U139" s="64"/>
      <c r="V139" s="64"/>
      <c r="W139" s="64"/>
      <c r="X139" s="64"/>
      <c r="Y139" s="64"/>
      <c r="Z139" s="64"/>
    </row>
    <row r="140" spans="1:26" x14ac:dyDescent="0.25">
      <c r="A140" s="64"/>
      <c r="B140" s="64"/>
      <c r="C140" s="64"/>
      <c r="D140" s="64"/>
      <c r="E140" s="64"/>
      <c r="F140" s="64"/>
      <c r="G140" s="64"/>
      <c r="H140" s="64"/>
      <c r="I140" s="64"/>
      <c r="J140" s="64"/>
      <c r="K140" s="64"/>
      <c r="L140" s="64"/>
      <c r="M140" s="64"/>
      <c r="N140" s="65"/>
      <c r="O140" s="65"/>
      <c r="P140" s="64"/>
      <c r="Q140" s="64"/>
      <c r="R140" s="64"/>
      <c r="S140" s="64"/>
      <c r="T140" s="64"/>
      <c r="U140" s="64"/>
      <c r="V140" s="64"/>
      <c r="W140" s="64"/>
      <c r="X140" s="64"/>
      <c r="Y140" s="64"/>
      <c r="Z140" s="64"/>
    </row>
    <row r="141" spans="1:26" x14ac:dyDescent="0.25">
      <c r="A141" s="64"/>
      <c r="B141" s="64"/>
      <c r="C141" s="64"/>
      <c r="D141" s="64"/>
      <c r="E141" s="64"/>
      <c r="F141" s="64"/>
      <c r="G141" s="64"/>
      <c r="H141" s="64"/>
      <c r="I141" s="64"/>
      <c r="J141" s="64"/>
      <c r="K141" s="64"/>
      <c r="L141" s="64"/>
      <c r="M141" s="64"/>
      <c r="N141" s="65"/>
      <c r="O141" s="65"/>
      <c r="P141" s="64"/>
      <c r="Q141" s="64"/>
      <c r="R141" s="64"/>
      <c r="S141" s="64"/>
      <c r="T141" s="64"/>
      <c r="U141" s="64"/>
      <c r="V141" s="64"/>
      <c r="W141" s="64"/>
      <c r="X141" s="64"/>
      <c r="Y141" s="64"/>
      <c r="Z141" s="64"/>
    </row>
    <row r="142" spans="1:26" x14ac:dyDescent="0.25">
      <c r="A142" s="64"/>
      <c r="B142" s="64"/>
      <c r="C142" s="64"/>
      <c r="D142" s="64"/>
      <c r="E142" s="64"/>
      <c r="F142" s="64"/>
      <c r="G142" s="64"/>
      <c r="H142" s="64"/>
      <c r="I142" s="64"/>
      <c r="J142" s="64"/>
      <c r="K142" s="64"/>
      <c r="L142" s="64"/>
      <c r="M142" s="64"/>
      <c r="N142" s="65"/>
      <c r="O142" s="65"/>
      <c r="P142" s="64"/>
      <c r="Q142" s="64"/>
      <c r="R142" s="64"/>
      <c r="S142" s="64"/>
      <c r="T142" s="64"/>
      <c r="U142" s="64"/>
      <c r="V142" s="64"/>
      <c r="W142" s="64"/>
      <c r="X142" s="64"/>
      <c r="Y142" s="64"/>
      <c r="Z142" s="64"/>
    </row>
    <row r="143" spans="1:26" x14ac:dyDescent="0.25">
      <c r="A143" s="64"/>
      <c r="B143" s="64"/>
      <c r="C143" s="64"/>
      <c r="D143" s="64"/>
      <c r="E143" s="64"/>
      <c r="F143" s="64"/>
      <c r="G143" s="64"/>
      <c r="H143" s="64"/>
      <c r="I143" s="64"/>
      <c r="J143" s="64"/>
      <c r="K143" s="64"/>
      <c r="L143" s="64"/>
      <c r="M143" s="64"/>
      <c r="N143" s="65"/>
      <c r="O143" s="65"/>
      <c r="P143" s="64"/>
      <c r="Q143" s="64"/>
      <c r="R143" s="64"/>
      <c r="S143" s="64"/>
      <c r="T143" s="64"/>
      <c r="U143" s="64"/>
      <c r="V143" s="64"/>
      <c r="W143" s="64"/>
      <c r="X143" s="64"/>
      <c r="Y143" s="64"/>
      <c r="Z143" s="64"/>
    </row>
    <row r="144" spans="1:26" x14ac:dyDescent="0.25">
      <c r="A144" s="64"/>
      <c r="B144" s="64"/>
      <c r="C144" s="64"/>
      <c r="D144" s="64"/>
      <c r="E144" s="64"/>
      <c r="F144" s="64"/>
      <c r="G144" s="64"/>
      <c r="H144" s="64"/>
      <c r="I144" s="64"/>
      <c r="J144" s="64"/>
      <c r="K144" s="64"/>
      <c r="L144" s="64"/>
      <c r="M144" s="64"/>
      <c r="N144" s="65"/>
      <c r="O144" s="65"/>
      <c r="P144" s="64"/>
      <c r="Q144" s="64"/>
      <c r="R144" s="64"/>
      <c r="S144" s="64"/>
      <c r="T144" s="64"/>
      <c r="U144" s="64"/>
      <c r="V144" s="64"/>
      <c r="W144" s="64"/>
      <c r="X144" s="64"/>
      <c r="Y144" s="64"/>
      <c r="Z144" s="64"/>
    </row>
    <row r="145" spans="1:26" x14ac:dyDescent="0.25">
      <c r="A145" s="64"/>
      <c r="B145" s="64"/>
      <c r="C145" s="64"/>
      <c r="D145" s="64"/>
      <c r="E145" s="64"/>
      <c r="F145" s="64"/>
      <c r="G145" s="64"/>
      <c r="H145" s="64"/>
      <c r="I145" s="64"/>
      <c r="J145" s="64"/>
      <c r="K145" s="64"/>
      <c r="L145" s="64"/>
      <c r="M145" s="64"/>
      <c r="N145" s="65"/>
      <c r="O145" s="65"/>
      <c r="P145" s="64"/>
      <c r="Q145" s="64"/>
      <c r="R145" s="64"/>
      <c r="S145" s="64"/>
      <c r="T145" s="64"/>
      <c r="U145" s="64"/>
      <c r="V145" s="64"/>
      <c r="W145" s="64"/>
      <c r="X145" s="64"/>
      <c r="Y145" s="64"/>
      <c r="Z145" s="64"/>
    </row>
    <row r="146" spans="1:26" x14ac:dyDescent="0.25">
      <c r="A146" s="64"/>
      <c r="B146" s="64"/>
      <c r="C146" s="64"/>
      <c r="D146" s="64"/>
      <c r="E146" s="64"/>
      <c r="F146" s="64"/>
      <c r="G146" s="64"/>
      <c r="H146" s="64"/>
      <c r="I146" s="64"/>
      <c r="J146" s="64"/>
      <c r="K146" s="64"/>
      <c r="L146" s="64"/>
      <c r="M146" s="64"/>
      <c r="N146" s="65"/>
      <c r="O146" s="65"/>
      <c r="P146" s="64"/>
      <c r="Q146" s="64"/>
      <c r="R146" s="64"/>
      <c r="S146" s="64"/>
      <c r="T146" s="64"/>
      <c r="U146" s="64"/>
      <c r="V146" s="64"/>
      <c r="W146" s="64"/>
      <c r="X146" s="64"/>
      <c r="Y146" s="64"/>
      <c r="Z146" s="64"/>
    </row>
    <row r="147" spans="1:26" x14ac:dyDescent="0.25">
      <c r="A147" s="64"/>
      <c r="B147" s="64"/>
      <c r="C147" s="64"/>
      <c r="D147" s="64"/>
      <c r="E147" s="64"/>
      <c r="F147" s="64"/>
      <c r="G147" s="64"/>
      <c r="H147" s="64"/>
      <c r="I147" s="64"/>
      <c r="J147" s="64"/>
      <c r="K147" s="64"/>
      <c r="L147" s="64"/>
      <c r="M147" s="64"/>
      <c r="N147" s="65"/>
      <c r="O147" s="65"/>
      <c r="P147" s="64"/>
      <c r="Q147" s="64"/>
      <c r="R147" s="64"/>
      <c r="S147" s="64"/>
      <c r="T147" s="64"/>
      <c r="U147" s="64"/>
      <c r="V147" s="64"/>
      <c r="W147" s="64"/>
      <c r="X147" s="64"/>
      <c r="Y147" s="64"/>
      <c r="Z147" s="64"/>
    </row>
    <row r="148" spans="1:26" x14ac:dyDescent="0.25">
      <c r="A148" s="64"/>
      <c r="B148" s="64"/>
      <c r="C148" s="64"/>
      <c r="D148" s="64"/>
      <c r="E148" s="64"/>
      <c r="F148" s="64"/>
      <c r="G148" s="64"/>
      <c r="H148" s="64"/>
      <c r="I148" s="64"/>
      <c r="J148" s="64"/>
      <c r="K148" s="64"/>
      <c r="L148" s="64"/>
      <c r="M148" s="64"/>
      <c r="N148" s="65"/>
      <c r="O148" s="65"/>
      <c r="P148" s="64"/>
      <c r="Q148" s="64"/>
      <c r="R148" s="64"/>
      <c r="S148" s="64"/>
      <c r="T148" s="64"/>
      <c r="U148" s="64"/>
      <c r="V148" s="64"/>
      <c r="W148" s="64"/>
      <c r="X148" s="64"/>
      <c r="Y148" s="64"/>
      <c r="Z148" s="64"/>
    </row>
    <row r="149" spans="1:26" x14ac:dyDescent="0.25">
      <c r="A149" s="64"/>
      <c r="B149" s="64"/>
      <c r="C149" s="64"/>
      <c r="D149" s="64"/>
      <c r="E149" s="64"/>
      <c r="F149" s="64"/>
      <c r="G149" s="64"/>
      <c r="H149" s="64"/>
      <c r="I149" s="64"/>
      <c r="J149" s="64"/>
      <c r="K149" s="64"/>
      <c r="L149" s="64"/>
      <c r="M149" s="64"/>
      <c r="N149" s="65"/>
      <c r="O149" s="65"/>
      <c r="P149" s="64"/>
      <c r="Q149" s="64"/>
      <c r="R149" s="64"/>
      <c r="S149" s="64"/>
      <c r="T149" s="64"/>
      <c r="U149" s="64"/>
      <c r="V149" s="64"/>
      <c r="W149" s="64"/>
      <c r="X149" s="64"/>
      <c r="Y149" s="64"/>
      <c r="Z149" s="64"/>
    </row>
    <row r="150" spans="1:26" x14ac:dyDescent="0.25">
      <c r="A150" s="64"/>
      <c r="B150" s="64"/>
      <c r="C150" s="64"/>
      <c r="D150" s="64"/>
      <c r="E150" s="64"/>
      <c r="F150" s="64"/>
      <c r="G150" s="64"/>
      <c r="H150" s="64"/>
      <c r="I150" s="64"/>
      <c r="J150" s="64"/>
      <c r="K150" s="64"/>
      <c r="L150" s="64"/>
      <c r="M150" s="64"/>
      <c r="N150" s="65"/>
      <c r="O150" s="65"/>
      <c r="P150" s="64"/>
      <c r="Q150" s="64"/>
      <c r="R150" s="64"/>
      <c r="S150" s="64"/>
      <c r="T150" s="64"/>
      <c r="U150" s="64"/>
      <c r="V150" s="64"/>
      <c r="W150" s="64"/>
      <c r="X150" s="64"/>
      <c r="Y150" s="64"/>
      <c r="Z150" s="64"/>
    </row>
    <row r="151" spans="1:26" x14ac:dyDescent="0.25">
      <c r="A151" s="64"/>
      <c r="B151" s="64"/>
      <c r="C151" s="64"/>
      <c r="D151" s="64"/>
      <c r="E151" s="64"/>
      <c r="F151" s="64"/>
      <c r="G151" s="64"/>
      <c r="H151" s="64"/>
      <c r="I151" s="64"/>
      <c r="J151" s="64"/>
      <c r="K151" s="64"/>
      <c r="L151" s="64"/>
      <c r="M151" s="64"/>
      <c r="N151" s="65"/>
      <c r="O151" s="65"/>
      <c r="P151" s="64"/>
      <c r="Q151" s="64"/>
      <c r="R151" s="64"/>
      <c r="S151" s="64"/>
      <c r="T151" s="64"/>
      <c r="U151" s="64"/>
      <c r="V151" s="64"/>
      <c r="W151" s="64"/>
      <c r="X151" s="64"/>
      <c r="Y151" s="64"/>
      <c r="Z151" s="64"/>
    </row>
    <row r="152" spans="1:26" x14ac:dyDescent="0.25">
      <c r="A152" s="64"/>
      <c r="B152" s="64"/>
      <c r="C152" s="64"/>
      <c r="D152" s="64"/>
      <c r="E152" s="64"/>
      <c r="F152" s="64"/>
      <c r="G152" s="64"/>
      <c r="H152" s="64"/>
      <c r="I152" s="64"/>
      <c r="J152" s="64"/>
      <c r="K152" s="64"/>
      <c r="L152" s="64"/>
      <c r="M152" s="64"/>
      <c r="N152" s="65"/>
      <c r="O152" s="65"/>
      <c r="P152" s="64"/>
      <c r="Q152" s="64"/>
      <c r="R152" s="64"/>
      <c r="S152" s="64"/>
      <c r="T152" s="64"/>
      <c r="U152" s="64"/>
      <c r="V152" s="64"/>
      <c r="W152" s="64"/>
      <c r="X152" s="64"/>
      <c r="Y152" s="64"/>
      <c r="Z152" s="64"/>
    </row>
    <row r="153" spans="1:26" x14ac:dyDescent="0.25">
      <c r="A153" s="64"/>
      <c r="B153" s="64"/>
      <c r="C153" s="64"/>
      <c r="D153" s="64"/>
      <c r="E153" s="64"/>
      <c r="F153" s="64"/>
      <c r="G153" s="64"/>
      <c r="H153" s="64"/>
      <c r="I153" s="64"/>
      <c r="J153" s="64"/>
      <c r="K153" s="64"/>
      <c r="L153" s="64"/>
      <c r="M153" s="64"/>
      <c r="N153" s="65"/>
      <c r="O153" s="65"/>
      <c r="P153" s="64"/>
      <c r="Q153" s="64"/>
      <c r="R153" s="64"/>
      <c r="S153" s="64"/>
      <c r="T153" s="64"/>
      <c r="U153" s="64"/>
      <c r="V153" s="64"/>
      <c r="W153" s="64"/>
      <c r="X153" s="64"/>
      <c r="Y153" s="64"/>
      <c r="Z153" s="64"/>
    </row>
    <row r="154" spans="1:26" x14ac:dyDescent="0.25">
      <c r="A154" s="64"/>
      <c r="B154" s="64"/>
      <c r="C154" s="64"/>
      <c r="D154" s="64"/>
      <c r="E154" s="64"/>
      <c r="F154" s="64"/>
      <c r="G154" s="64"/>
      <c r="H154" s="64"/>
      <c r="I154" s="64"/>
      <c r="J154" s="64"/>
      <c r="K154" s="64"/>
      <c r="L154" s="64"/>
      <c r="M154" s="64"/>
      <c r="N154" s="65"/>
      <c r="O154" s="65"/>
      <c r="P154" s="64"/>
      <c r="Q154" s="64"/>
      <c r="R154" s="64"/>
      <c r="S154" s="64"/>
      <c r="T154" s="64"/>
      <c r="U154" s="64"/>
      <c r="V154" s="64"/>
      <c r="W154" s="64"/>
      <c r="X154" s="64"/>
      <c r="Y154" s="64"/>
      <c r="Z154" s="64"/>
    </row>
    <row r="155" spans="1:26" x14ac:dyDescent="0.25">
      <c r="A155" s="64"/>
      <c r="B155" s="64"/>
      <c r="C155" s="64"/>
      <c r="D155" s="64"/>
      <c r="E155" s="64"/>
      <c r="F155" s="64"/>
      <c r="G155" s="64"/>
      <c r="H155" s="64"/>
      <c r="I155" s="64"/>
      <c r="J155" s="64"/>
      <c r="K155" s="64"/>
      <c r="L155" s="64"/>
      <c r="M155" s="64"/>
      <c r="N155" s="65"/>
      <c r="O155" s="65"/>
      <c r="P155" s="64"/>
      <c r="Q155" s="64"/>
      <c r="R155" s="64"/>
      <c r="S155" s="64"/>
      <c r="T155" s="64"/>
      <c r="U155" s="64"/>
      <c r="V155" s="64"/>
      <c r="W155" s="64"/>
      <c r="X155" s="64"/>
      <c r="Y155" s="64"/>
      <c r="Z155" s="64"/>
    </row>
    <row r="156" spans="1:26" x14ac:dyDescent="0.25">
      <c r="A156" s="64"/>
      <c r="B156" s="64"/>
      <c r="C156" s="64"/>
      <c r="D156" s="64"/>
      <c r="E156" s="64"/>
      <c r="F156" s="64"/>
      <c r="G156" s="64"/>
      <c r="H156" s="64"/>
      <c r="I156" s="64"/>
      <c r="J156" s="64"/>
      <c r="K156" s="64"/>
      <c r="L156" s="64"/>
      <c r="M156" s="64"/>
      <c r="N156" s="65"/>
      <c r="O156" s="65"/>
      <c r="P156" s="64"/>
      <c r="Q156" s="64"/>
      <c r="R156" s="64"/>
      <c r="S156" s="64"/>
      <c r="T156" s="64"/>
      <c r="U156" s="64"/>
      <c r="V156" s="64"/>
      <c r="W156" s="64"/>
      <c r="X156" s="64"/>
      <c r="Y156" s="64"/>
      <c r="Z156" s="64"/>
    </row>
    <row r="157" spans="1:26" x14ac:dyDescent="0.25">
      <c r="A157" s="64"/>
      <c r="B157" s="64"/>
      <c r="C157" s="64"/>
      <c r="D157" s="64"/>
      <c r="E157" s="64"/>
      <c r="F157" s="64"/>
      <c r="G157" s="64"/>
      <c r="H157" s="64"/>
      <c r="I157" s="64"/>
      <c r="J157" s="64"/>
      <c r="K157" s="64"/>
      <c r="L157" s="64"/>
      <c r="M157" s="64"/>
      <c r="N157" s="65"/>
      <c r="O157" s="65"/>
      <c r="P157" s="64"/>
      <c r="Q157" s="64"/>
      <c r="R157" s="64"/>
      <c r="S157" s="64"/>
      <c r="T157" s="64"/>
      <c r="U157" s="64"/>
      <c r="V157" s="64"/>
      <c r="W157" s="64"/>
      <c r="X157" s="64"/>
      <c r="Y157" s="64"/>
      <c r="Z157" s="64"/>
    </row>
    <row r="158" spans="1:26" x14ac:dyDescent="0.25">
      <c r="A158" s="64"/>
      <c r="B158" s="64"/>
      <c r="C158" s="64"/>
      <c r="D158" s="64"/>
      <c r="E158" s="64"/>
      <c r="F158" s="64"/>
      <c r="G158" s="64"/>
      <c r="H158" s="64"/>
      <c r="I158" s="64"/>
      <c r="J158" s="64"/>
      <c r="K158" s="64"/>
      <c r="L158" s="64"/>
      <c r="M158" s="64"/>
      <c r="N158" s="65"/>
      <c r="O158" s="65"/>
      <c r="P158" s="64"/>
      <c r="Q158" s="64"/>
      <c r="R158" s="64"/>
      <c r="S158" s="64"/>
      <c r="T158" s="64"/>
      <c r="U158" s="64"/>
      <c r="V158" s="64"/>
      <c r="W158" s="64"/>
      <c r="X158" s="64"/>
      <c r="Y158" s="64"/>
      <c r="Z158" s="64"/>
    </row>
    <row r="159" spans="1:26" x14ac:dyDescent="0.25">
      <c r="A159" s="64"/>
      <c r="B159" s="64"/>
      <c r="C159" s="64"/>
      <c r="D159" s="64"/>
      <c r="E159" s="64"/>
      <c r="F159" s="64"/>
      <c r="G159" s="64"/>
      <c r="H159" s="64"/>
      <c r="I159" s="64"/>
      <c r="J159" s="64"/>
      <c r="K159" s="64"/>
      <c r="L159" s="64"/>
      <c r="M159" s="64"/>
      <c r="N159" s="65"/>
      <c r="O159" s="65"/>
      <c r="P159" s="64"/>
      <c r="Q159" s="64"/>
      <c r="R159" s="64"/>
      <c r="S159" s="64"/>
      <c r="T159" s="64"/>
      <c r="U159" s="64"/>
      <c r="V159" s="64"/>
      <c r="W159" s="64"/>
      <c r="X159" s="64"/>
      <c r="Y159" s="64"/>
      <c r="Z159" s="64"/>
    </row>
    <row r="160" spans="1:26" x14ac:dyDescent="0.25">
      <c r="A160" s="64"/>
      <c r="B160" s="64"/>
      <c r="C160" s="64"/>
      <c r="D160" s="64"/>
      <c r="E160" s="64"/>
      <c r="F160" s="64"/>
      <c r="G160" s="64"/>
      <c r="H160" s="64"/>
      <c r="I160" s="64"/>
      <c r="J160" s="64"/>
      <c r="K160" s="64"/>
      <c r="L160" s="64"/>
      <c r="M160" s="64"/>
      <c r="N160" s="65"/>
      <c r="O160" s="65"/>
      <c r="P160" s="64"/>
      <c r="Q160" s="64"/>
      <c r="R160" s="64"/>
      <c r="S160" s="64"/>
      <c r="T160" s="64"/>
      <c r="U160" s="64"/>
      <c r="V160" s="64"/>
      <c r="W160" s="64"/>
      <c r="X160" s="64"/>
      <c r="Y160" s="64"/>
      <c r="Z160" s="64"/>
    </row>
    <row r="161" spans="1:26" x14ac:dyDescent="0.25">
      <c r="A161" s="64"/>
      <c r="B161" s="64"/>
      <c r="C161" s="64"/>
      <c r="D161" s="64"/>
      <c r="E161" s="64"/>
      <c r="F161" s="64"/>
      <c r="G161" s="64"/>
      <c r="H161" s="64"/>
      <c r="I161" s="64"/>
      <c r="J161" s="64"/>
      <c r="K161" s="64"/>
      <c r="L161" s="64"/>
      <c r="M161" s="64"/>
      <c r="N161" s="65"/>
      <c r="O161" s="65"/>
      <c r="P161" s="64"/>
      <c r="Q161" s="64"/>
      <c r="R161" s="64"/>
      <c r="S161" s="64"/>
      <c r="T161" s="64"/>
      <c r="U161" s="64"/>
      <c r="V161" s="64"/>
      <c r="W161" s="64"/>
      <c r="X161" s="64"/>
      <c r="Y161" s="64"/>
      <c r="Z161" s="64"/>
    </row>
    <row r="162" spans="1:26" x14ac:dyDescent="0.25">
      <c r="A162" s="64"/>
      <c r="B162" s="64"/>
      <c r="C162" s="64"/>
      <c r="D162" s="64"/>
      <c r="E162" s="64"/>
      <c r="F162" s="64"/>
      <c r="G162" s="64"/>
      <c r="H162" s="64"/>
      <c r="I162" s="64"/>
      <c r="J162" s="64"/>
      <c r="K162" s="64"/>
      <c r="L162" s="64"/>
      <c r="M162" s="64"/>
      <c r="N162" s="65"/>
      <c r="O162" s="65"/>
      <c r="P162" s="64"/>
      <c r="Q162" s="64"/>
      <c r="R162" s="64"/>
      <c r="S162" s="64"/>
      <c r="T162" s="64"/>
      <c r="U162" s="64"/>
      <c r="V162" s="64"/>
      <c r="W162" s="64"/>
      <c r="X162" s="64"/>
      <c r="Y162" s="64"/>
      <c r="Z162" s="64"/>
    </row>
    <row r="163" spans="1:26" x14ac:dyDescent="0.25">
      <c r="A163" s="64"/>
      <c r="B163" s="64"/>
      <c r="C163" s="64"/>
      <c r="D163" s="64"/>
      <c r="E163" s="64"/>
      <c r="F163" s="64"/>
      <c r="G163" s="64"/>
      <c r="H163" s="64"/>
      <c r="I163" s="64"/>
      <c r="J163" s="64"/>
      <c r="K163" s="64"/>
      <c r="L163" s="64"/>
      <c r="M163" s="64"/>
      <c r="N163" s="65"/>
      <c r="O163" s="65"/>
      <c r="P163" s="64"/>
      <c r="Q163" s="64"/>
      <c r="R163" s="64"/>
      <c r="S163" s="64"/>
      <c r="T163" s="64"/>
      <c r="U163" s="64"/>
      <c r="V163" s="64"/>
      <c r="W163" s="64"/>
      <c r="X163" s="64"/>
      <c r="Y163" s="64"/>
      <c r="Z163" s="64"/>
    </row>
    <row r="164" spans="1:26" x14ac:dyDescent="0.25">
      <c r="A164" s="64"/>
      <c r="B164" s="64"/>
      <c r="C164" s="64"/>
      <c r="D164" s="64"/>
      <c r="E164" s="64"/>
      <c r="F164" s="64"/>
      <c r="G164" s="64"/>
      <c r="H164" s="64"/>
      <c r="I164" s="64"/>
      <c r="J164" s="64"/>
      <c r="K164" s="64"/>
      <c r="L164" s="64"/>
      <c r="M164" s="64"/>
      <c r="N164" s="65"/>
      <c r="O164" s="65"/>
      <c r="P164" s="64"/>
      <c r="Q164" s="64"/>
      <c r="R164" s="64"/>
      <c r="S164" s="64"/>
      <c r="T164" s="64"/>
      <c r="U164" s="64"/>
      <c r="V164" s="64"/>
      <c r="W164" s="64"/>
      <c r="X164" s="64"/>
      <c r="Y164" s="64"/>
      <c r="Z164" s="64"/>
    </row>
    <row r="165" spans="1:26" x14ac:dyDescent="0.25">
      <c r="A165" s="64"/>
      <c r="B165" s="64"/>
      <c r="C165" s="64"/>
      <c r="D165" s="64"/>
      <c r="E165" s="64"/>
      <c r="F165" s="64"/>
      <c r="G165" s="64"/>
      <c r="H165" s="64"/>
      <c r="I165" s="64"/>
      <c r="J165" s="64"/>
      <c r="K165" s="64"/>
      <c r="L165" s="64"/>
      <c r="M165" s="64"/>
      <c r="N165" s="65"/>
      <c r="O165" s="65"/>
      <c r="P165" s="64"/>
      <c r="Q165" s="64"/>
      <c r="R165" s="64"/>
      <c r="S165" s="64"/>
      <c r="T165" s="64"/>
      <c r="U165" s="64"/>
      <c r="V165" s="64"/>
      <c r="W165" s="64"/>
      <c r="X165" s="64"/>
      <c r="Y165" s="64"/>
      <c r="Z165" s="64"/>
    </row>
    <row r="166" spans="1:26" x14ac:dyDescent="0.25">
      <c r="A166" s="64"/>
      <c r="B166" s="64"/>
      <c r="C166" s="64"/>
      <c r="D166" s="64"/>
      <c r="E166" s="64"/>
      <c r="F166" s="64"/>
      <c r="G166" s="64"/>
      <c r="H166" s="64"/>
      <c r="I166" s="64"/>
      <c r="J166" s="64"/>
      <c r="K166" s="64"/>
      <c r="L166" s="64"/>
      <c r="M166" s="64"/>
      <c r="N166" s="65"/>
      <c r="O166" s="65"/>
      <c r="P166" s="64"/>
      <c r="Q166" s="64"/>
      <c r="R166" s="64"/>
      <c r="S166" s="64"/>
      <c r="T166" s="64"/>
      <c r="U166" s="64"/>
      <c r="V166" s="64"/>
      <c r="W166" s="64"/>
      <c r="X166" s="64"/>
      <c r="Y166" s="64"/>
      <c r="Z166" s="64"/>
    </row>
    <row r="167" spans="1:26" x14ac:dyDescent="0.25">
      <c r="A167" s="64"/>
      <c r="B167" s="64"/>
      <c r="C167" s="64"/>
      <c r="D167" s="64"/>
      <c r="E167" s="64"/>
      <c r="F167" s="64"/>
      <c r="G167" s="64"/>
      <c r="H167" s="64"/>
      <c r="I167" s="64"/>
      <c r="J167" s="64"/>
      <c r="K167" s="64"/>
      <c r="L167" s="64"/>
      <c r="M167" s="64"/>
      <c r="N167" s="65"/>
      <c r="O167" s="65"/>
      <c r="P167" s="64"/>
      <c r="Q167" s="64"/>
      <c r="R167" s="64"/>
      <c r="S167" s="64"/>
      <c r="T167" s="64"/>
      <c r="U167" s="64"/>
      <c r="V167" s="64"/>
      <c r="W167" s="64"/>
      <c r="X167" s="64"/>
      <c r="Y167" s="64"/>
      <c r="Z167" s="64"/>
    </row>
    <row r="168" spans="1:26" x14ac:dyDescent="0.25">
      <c r="A168" s="64"/>
      <c r="B168" s="64"/>
      <c r="C168" s="64"/>
      <c r="D168" s="64"/>
      <c r="E168" s="64"/>
      <c r="F168" s="64"/>
      <c r="G168" s="64"/>
      <c r="H168" s="64"/>
      <c r="I168" s="64"/>
      <c r="J168" s="64"/>
      <c r="K168" s="64"/>
      <c r="L168" s="64"/>
      <c r="M168" s="64"/>
      <c r="N168" s="65"/>
      <c r="O168" s="65"/>
      <c r="P168" s="64"/>
      <c r="Q168" s="64"/>
      <c r="R168" s="64"/>
      <c r="S168" s="64"/>
      <c r="T168" s="64"/>
      <c r="U168" s="64"/>
      <c r="V168" s="64"/>
      <c r="W168" s="64"/>
      <c r="X168" s="64"/>
      <c r="Y168" s="64"/>
      <c r="Z168" s="64"/>
    </row>
    <row r="169" spans="1:26" x14ac:dyDescent="0.25">
      <c r="A169" s="64"/>
      <c r="B169" s="64"/>
      <c r="C169" s="64"/>
      <c r="D169" s="64"/>
      <c r="E169" s="64"/>
      <c r="F169" s="64"/>
      <c r="G169" s="64"/>
      <c r="H169" s="64"/>
      <c r="I169" s="64"/>
      <c r="J169" s="64"/>
      <c r="K169" s="64"/>
      <c r="L169" s="64"/>
      <c r="M169" s="64"/>
      <c r="N169" s="65"/>
      <c r="O169" s="65"/>
      <c r="P169" s="64"/>
      <c r="Q169" s="64"/>
      <c r="R169" s="64"/>
      <c r="S169" s="64"/>
      <c r="T169" s="64"/>
      <c r="U169" s="64"/>
      <c r="V169" s="64"/>
      <c r="W169" s="64"/>
      <c r="X169" s="64"/>
      <c r="Y169" s="64"/>
      <c r="Z169" s="64"/>
    </row>
    <row r="170" spans="1:26" x14ac:dyDescent="0.25">
      <c r="A170" s="64"/>
      <c r="B170" s="64"/>
      <c r="C170" s="64"/>
      <c r="D170" s="64"/>
      <c r="E170" s="64"/>
      <c r="F170" s="64"/>
      <c r="G170" s="64"/>
      <c r="H170" s="64"/>
      <c r="I170" s="64"/>
      <c r="J170" s="64"/>
      <c r="K170" s="64"/>
      <c r="L170" s="64"/>
      <c r="M170" s="64"/>
      <c r="N170" s="65"/>
      <c r="O170" s="65"/>
      <c r="P170" s="64"/>
      <c r="Q170" s="64"/>
      <c r="R170" s="64"/>
      <c r="S170" s="64"/>
      <c r="T170" s="64"/>
      <c r="U170" s="64"/>
      <c r="V170" s="64"/>
      <c r="W170" s="64"/>
      <c r="X170" s="64"/>
      <c r="Y170" s="64"/>
      <c r="Z170" s="64"/>
    </row>
    <row r="171" spans="1:26" x14ac:dyDescent="0.25">
      <c r="A171" s="64"/>
      <c r="B171" s="64"/>
      <c r="C171" s="64"/>
      <c r="D171" s="64"/>
      <c r="E171" s="64"/>
      <c r="F171" s="64"/>
      <c r="G171" s="64"/>
      <c r="H171" s="64"/>
      <c r="I171" s="64"/>
      <c r="J171" s="64"/>
      <c r="K171" s="64"/>
      <c r="L171" s="64"/>
      <c r="M171" s="64"/>
      <c r="N171" s="65"/>
      <c r="O171" s="65"/>
      <c r="P171" s="64"/>
      <c r="Q171" s="64"/>
      <c r="R171" s="64"/>
      <c r="S171" s="64"/>
      <c r="T171" s="64"/>
      <c r="U171" s="64"/>
      <c r="V171" s="64"/>
      <c r="W171" s="64"/>
      <c r="X171" s="64"/>
      <c r="Y171" s="64"/>
      <c r="Z171" s="64"/>
    </row>
    <row r="172" spans="1:26" x14ac:dyDescent="0.25">
      <c r="A172" s="64"/>
      <c r="B172" s="64"/>
      <c r="C172" s="64"/>
      <c r="D172" s="64"/>
      <c r="E172" s="64"/>
      <c r="F172" s="64"/>
      <c r="G172" s="64"/>
      <c r="H172" s="64"/>
      <c r="I172" s="64"/>
      <c r="J172" s="64"/>
      <c r="K172" s="64"/>
      <c r="L172" s="64"/>
      <c r="M172" s="64"/>
      <c r="N172" s="65"/>
      <c r="O172" s="65"/>
      <c r="P172" s="64"/>
      <c r="Q172" s="64"/>
      <c r="R172" s="64"/>
      <c r="S172" s="64"/>
      <c r="T172" s="64"/>
      <c r="U172" s="64"/>
      <c r="V172" s="64"/>
      <c r="W172" s="64"/>
      <c r="X172" s="64"/>
      <c r="Y172" s="64"/>
      <c r="Z172" s="64"/>
    </row>
    <row r="173" spans="1:26" x14ac:dyDescent="0.25">
      <c r="A173" s="64"/>
      <c r="B173" s="64"/>
      <c r="C173" s="64"/>
      <c r="D173" s="64"/>
      <c r="E173" s="64"/>
      <c r="F173" s="64"/>
      <c r="G173" s="64"/>
      <c r="H173" s="64"/>
      <c r="I173" s="64"/>
      <c r="J173" s="64"/>
      <c r="K173" s="64"/>
      <c r="L173" s="64"/>
      <c r="M173" s="64"/>
      <c r="N173" s="65"/>
      <c r="O173" s="65"/>
      <c r="P173" s="64"/>
      <c r="Q173" s="64"/>
      <c r="R173" s="64"/>
      <c r="S173" s="64"/>
      <c r="T173" s="64"/>
      <c r="U173" s="64"/>
      <c r="V173" s="64"/>
      <c r="W173" s="64"/>
      <c r="X173" s="64"/>
      <c r="Y173" s="64"/>
      <c r="Z173" s="64"/>
    </row>
    <row r="174" spans="1:26" x14ac:dyDescent="0.25">
      <c r="A174" s="64"/>
      <c r="B174" s="64"/>
      <c r="C174" s="64"/>
      <c r="D174" s="64"/>
      <c r="E174" s="64"/>
      <c r="F174" s="64"/>
      <c r="G174" s="64"/>
      <c r="H174" s="64"/>
      <c r="I174" s="64"/>
      <c r="J174" s="64"/>
      <c r="K174" s="64"/>
      <c r="L174" s="64"/>
      <c r="M174" s="64"/>
      <c r="N174" s="65"/>
      <c r="O174" s="65"/>
      <c r="P174" s="64"/>
      <c r="Q174" s="64"/>
      <c r="R174" s="64"/>
      <c r="S174" s="64"/>
      <c r="T174" s="64"/>
      <c r="U174" s="64"/>
      <c r="V174" s="64"/>
      <c r="W174" s="64"/>
      <c r="X174" s="64"/>
      <c r="Y174" s="64"/>
      <c r="Z174" s="64"/>
    </row>
    <row r="175" spans="1:26" x14ac:dyDescent="0.25">
      <c r="A175" s="64"/>
      <c r="B175" s="64"/>
      <c r="C175" s="64"/>
      <c r="D175" s="64"/>
      <c r="E175" s="64"/>
      <c r="F175" s="64"/>
      <c r="G175" s="64"/>
      <c r="H175" s="64"/>
      <c r="I175" s="64"/>
      <c r="J175" s="64"/>
      <c r="K175" s="64"/>
      <c r="L175" s="64"/>
      <c r="M175" s="64"/>
      <c r="N175" s="65"/>
      <c r="O175" s="65"/>
      <c r="P175" s="64"/>
      <c r="Q175" s="64"/>
      <c r="R175" s="64"/>
      <c r="S175" s="64"/>
      <c r="T175" s="64"/>
      <c r="U175" s="64"/>
      <c r="V175" s="64"/>
      <c r="W175" s="64"/>
      <c r="X175" s="64"/>
      <c r="Y175" s="64"/>
      <c r="Z175" s="64"/>
    </row>
    <row r="176" spans="1:26" x14ac:dyDescent="0.25">
      <c r="A176" s="64"/>
      <c r="B176" s="64"/>
      <c r="C176" s="64"/>
      <c r="D176" s="64"/>
      <c r="E176" s="64"/>
      <c r="F176" s="64"/>
      <c r="G176" s="64"/>
      <c r="H176" s="64"/>
      <c r="I176" s="64"/>
      <c r="J176" s="64"/>
      <c r="K176" s="64"/>
      <c r="L176" s="64"/>
      <c r="M176" s="64"/>
      <c r="N176" s="65"/>
      <c r="O176" s="65"/>
      <c r="P176" s="64"/>
      <c r="Q176" s="64"/>
      <c r="R176" s="64"/>
      <c r="S176" s="64"/>
      <c r="T176" s="64"/>
      <c r="U176" s="64"/>
      <c r="V176" s="64"/>
      <c r="W176" s="64"/>
      <c r="X176" s="64"/>
      <c r="Y176" s="64"/>
      <c r="Z176" s="64"/>
    </row>
    <row r="177" spans="1:26" x14ac:dyDescent="0.25">
      <c r="A177" s="64"/>
      <c r="B177" s="64"/>
      <c r="C177" s="64"/>
      <c r="D177" s="64"/>
      <c r="E177" s="64"/>
      <c r="F177" s="64"/>
      <c r="G177" s="64"/>
      <c r="H177" s="64"/>
      <c r="I177" s="64"/>
      <c r="J177" s="64"/>
      <c r="K177" s="64"/>
      <c r="L177" s="64"/>
      <c r="M177" s="64"/>
      <c r="N177" s="65"/>
      <c r="O177" s="65"/>
      <c r="P177" s="64"/>
      <c r="Q177" s="64"/>
      <c r="R177" s="64"/>
      <c r="S177" s="64"/>
      <c r="T177" s="64"/>
      <c r="U177" s="64"/>
      <c r="V177" s="64"/>
      <c r="W177" s="64"/>
      <c r="X177" s="64"/>
      <c r="Y177" s="64"/>
      <c r="Z177" s="64"/>
    </row>
    <row r="178" spans="1:26" x14ac:dyDescent="0.25">
      <c r="A178" s="64"/>
      <c r="B178" s="64"/>
      <c r="C178" s="64"/>
      <c r="D178" s="64"/>
      <c r="E178" s="64"/>
      <c r="F178" s="64"/>
      <c r="G178" s="64"/>
      <c r="H178" s="64"/>
      <c r="I178" s="64"/>
      <c r="J178" s="64"/>
      <c r="K178" s="64"/>
      <c r="L178" s="64"/>
      <c r="M178" s="64"/>
      <c r="N178" s="65"/>
      <c r="O178" s="65"/>
      <c r="P178" s="64"/>
      <c r="Q178" s="64"/>
      <c r="R178" s="64"/>
      <c r="S178" s="64"/>
      <c r="T178" s="64"/>
      <c r="U178" s="64"/>
      <c r="V178" s="64"/>
      <c r="W178" s="64"/>
      <c r="X178" s="64"/>
      <c r="Y178" s="64"/>
      <c r="Z178" s="64"/>
    </row>
    <row r="179" spans="1:26" x14ac:dyDescent="0.25">
      <c r="A179" s="64"/>
      <c r="B179" s="64"/>
      <c r="C179" s="64"/>
      <c r="D179" s="64"/>
      <c r="E179" s="64"/>
      <c r="F179" s="64"/>
      <c r="G179" s="64"/>
      <c r="H179" s="64"/>
      <c r="I179" s="64"/>
      <c r="J179" s="64"/>
      <c r="K179" s="64"/>
      <c r="L179" s="64"/>
      <c r="M179" s="64"/>
      <c r="N179" s="65"/>
      <c r="O179" s="65"/>
      <c r="P179" s="64"/>
      <c r="Q179" s="64"/>
      <c r="R179" s="64"/>
      <c r="S179" s="64"/>
      <c r="T179" s="64"/>
      <c r="U179" s="64"/>
      <c r="V179" s="64"/>
      <c r="W179" s="64"/>
      <c r="X179" s="64"/>
      <c r="Y179" s="64"/>
      <c r="Z179" s="64"/>
    </row>
    <row r="180" spans="1:26" x14ac:dyDescent="0.25">
      <c r="A180" s="64"/>
      <c r="B180" s="64"/>
      <c r="C180" s="64"/>
      <c r="D180" s="64"/>
      <c r="E180" s="64"/>
      <c r="F180" s="64"/>
      <c r="G180" s="64"/>
      <c r="H180" s="64"/>
      <c r="I180" s="64"/>
      <c r="J180" s="64"/>
      <c r="K180" s="64"/>
      <c r="L180" s="64"/>
      <c r="M180" s="64"/>
      <c r="N180" s="65"/>
      <c r="O180" s="65"/>
      <c r="P180" s="64"/>
      <c r="Q180" s="64"/>
      <c r="R180" s="64"/>
      <c r="S180" s="64"/>
      <c r="T180" s="64"/>
      <c r="U180" s="64"/>
      <c r="V180" s="64"/>
      <c r="W180" s="64"/>
      <c r="X180" s="64"/>
      <c r="Y180" s="64"/>
      <c r="Z180" s="64"/>
    </row>
    <row r="181" spans="1:26" x14ac:dyDescent="0.25">
      <c r="A181" s="64"/>
      <c r="B181" s="64"/>
      <c r="C181" s="64"/>
      <c r="D181" s="64"/>
      <c r="E181" s="64"/>
      <c r="F181" s="64"/>
      <c r="G181" s="64"/>
      <c r="H181" s="64"/>
      <c r="I181" s="64"/>
      <c r="J181" s="64"/>
      <c r="K181" s="64"/>
      <c r="L181" s="64"/>
      <c r="M181" s="64"/>
      <c r="N181" s="65"/>
      <c r="O181" s="65"/>
      <c r="P181" s="64"/>
      <c r="Q181" s="64"/>
      <c r="R181" s="64"/>
      <c r="S181" s="64"/>
      <c r="T181" s="64"/>
      <c r="U181" s="64"/>
      <c r="V181" s="64"/>
      <c r="W181" s="64"/>
      <c r="X181" s="64"/>
      <c r="Y181" s="64"/>
      <c r="Z181" s="64"/>
    </row>
    <row r="182" spans="1:26" x14ac:dyDescent="0.25">
      <c r="A182" s="64"/>
      <c r="B182" s="64"/>
      <c r="C182" s="64"/>
      <c r="D182" s="64"/>
      <c r="E182" s="64"/>
      <c r="F182" s="64"/>
      <c r="G182" s="64"/>
      <c r="H182" s="64"/>
      <c r="I182" s="64"/>
      <c r="J182" s="64"/>
      <c r="K182" s="64"/>
      <c r="L182" s="64"/>
      <c r="M182" s="64"/>
      <c r="N182" s="65"/>
      <c r="O182" s="65"/>
      <c r="P182" s="64"/>
      <c r="Q182" s="64"/>
      <c r="R182" s="64"/>
      <c r="S182" s="64"/>
      <c r="T182" s="64"/>
      <c r="U182" s="64"/>
      <c r="V182" s="64"/>
      <c r="W182" s="64"/>
      <c r="X182" s="64"/>
      <c r="Y182" s="64"/>
      <c r="Z182" s="64"/>
    </row>
    <row r="183" spans="1:26" x14ac:dyDescent="0.25">
      <c r="A183" s="64"/>
      <c r="B183" s="64"/>
      <c r="C183" s="64"/>
      <c r="D183" s="64"/>
      <c r="E183" s="64"/>
      <c r="F183" s="64"/>
      <c r="G183" s="64"/>
      <c r="H183" s="64"/>
      <c r="I183" s="64"/>
      <c r="J183" s="64"/>
      <c r="K183" s="64"/>
      <c r="L183" s="64"/>
      <c r="M183" s="64"/>
      <c r="N183" s="65"/>
      <c r="O183" s="65"/>
      <c r="P183" s="64"/>
      <c r="Q183" s="64"/>
      <c r="R183" s="64"/>
      <c r="S183" s="64"/>
      <c r="T183" s="64"/>
      <c r="U183" s="64"/>
      <c r="V183" s="64"/>
      <c r="W183" s="64"/>
      <c r="X183" s="64"/>
      <c r="Y183" s="64"/>
      <c r="Z183" s="64"/>
    </row>
    <row r="184" spans="1:26" x14ac:dyDescent="0.25">
      <c r="A184" s="64"/>
      <c r="B184" s="64"/>
      <c r="C184" s="64"/>
      <c r="D184" s="64"/>
      <c r="E184" s="64"/>
      <c r="F184" s="64"/>
      <c r="G184" s="64"/>
      <c r="H184" s="64"/>
      <c r="I184" s="64"/>
      <c r="J184" s="64"/>
      <c r="K184" s="64"/>
      <c r="L184" s="64"/>
      <c r="M184" s="64"/>
      <c r="N184" s="65"/>
      <c r="O184" s="65"/>
      <c r="P184" s="64"/>
      <c r="Q184" s="64"/>
      <c r="R184" s="64"/>
      <c r="S184" s="64"/>
      <c r="T184" s="64"/>
      <c r="U184" s="64"/>
      <c r="V184" s="64"/>
      <c r="W184" s="64"/>
      <c r="X184" s="64"/>
      <c r="Y184" s="64"/>
      <c r="Z184" s="64"/>
    </row>
    <row r="185" spans="1:26" x14ac:dyDescent="0.25">
      <c r="A185" s="64"/>
      <c r="B185" s="64"/>
      <c r="C185" s="64"/>
      <c r="D185" s="64"/>
      <c r="E185" s="64"/>
      <c r="F185" s="64"/>
      <c r="G185" s="64"/>
      <c r="H185" s="64"/>
      <c r="I185" s="64"/>
      <c r="J185" s="64"/>
      <c r="K185" s="64"/>
      <c r="L185" s="64"/>
      <c r="M185" s="64"/>
      <c r="N185" s="65"/>
      <c r="O185" s="65"/>
      <c r="P185" s="64"/>
      <c r="Q185" s="64"/>
      <c r="R185" s="64"/>
      <c r="S185" s="64"/>
      <c r="T185" s="64"/>
      <c r="U185" s="64"/>
      <c r="V185" s="64"/>
      <c r="W185" s="64"/>
      <c r="X185" s="64"/>
      <c r="Y185" s="64"/>
      <c r="Z185" s="64"/>
    </row>
    <row r="186" spans="1:26" x14ac:dyDescent="0.25">
      <c r="A186" s="64"/>
      <c r="B186" s="64"/>
      <c r="C186" s="64"/>
      <c r="D186" s="64"/>
      <c r="E186" s="64"/>
      <c r="F186" s="64"/>
      <c r="G186" s="64"/>
      <c r="H186" s="64"/>
      <c r="I186" s="64"/>
      <c r="J186" s="64"/>
      <c r="K186" s="64"/>
      <c r="L186" s="64"/>
      <c r="M186" s="64"/>
      <c r="N186" s="65"/>
      <c r="O186" s="65"/>
      <c r="P186" s="64"/>
      <c r="Q186" s="64"/>
      <c r="R186" s="64"/>
      <c r="S186" s="64"/>
      <c r="T186" s="64"/>
      <c r="U186" s="64"/>
      <c r="V186" s="64"/>
      <c r="W186" s="64"/>
      <c r="X186" s="64"/>
      <c r="Y186" s="64"/>
      <c r="Z186" s="64"/>
    </row>
    <row r="187" spans="1:26" x14ac:dyDescent="0.25">
      <c r="A187" s="64"/>
      <c r="B187" s="64"/>
      <c r="C187" s="64"/>
      <c r="D187" s="64"/>
      <c r="E187" s="64"/>
      <c r="F187" s="64"/>
      <c r="G187" s="64"/>
      <c r="H187" s="64"/>
      <c r="I187" s="64"/>
      <c r="J187" s="64"/>
      <c r="K187" s="64"/>
      <c r="L187" s="64"/>
      <c r="M187" s="64"/>
      <c r="N187" s="65"/>
      <c r="O187" s="65"/>
      <c r="P187" s="64"/>
      <c r="Q187" s="64"/>
      <c r="R187" s="64"/>
      <c r="S187" s="64"/>
      <c r="T187" s="64"/>
      <c r="U187" s="64"/>
      <c r="V187" s="64"/>
      <c r="W187" s="64"/>
      <c r="X187" s="64"/>
      <c r="Y187" s="64"/>
      <c r="Z187" s="64"/>
    </row>
    <row r="188" spans="1:26" x14ac:dyDescent="0.25">
      <c r="A188" s="64"/>
      <c r="B188" s="64"/>
      <c r="C188" s="64"/>
      <c r="D188" s="64"/>
      <c r="E188" s="64"/>
      <c r="F188" s="64"/>
      <c r="G188" s="64"/>
      <c r="H188" s="64"/>
      <c r="I188" s="64"/>
      <c r="J188" s="64"/>
      <c r="K188" s="64"/>
      <c r="L188" s="64"/>
      <c r="M188" s="64"/>
      <c r="N188" s="65"/>
      <c r="O188" s="65"/>
      <c r="P188" s="64"/>
      <c r="Q188" s="64"/>
      <c r="R188" s="64"/>
      <c r="S188" s="64"/>
      <c r="T188" s="64"/>
      <c r="U188" s="64"/>
      <c r="V188" s="64"/>
      <c r="W188" s="64"/>
      <c r="X188" s="64"/>
      <c r="Y188" s="64"/>
      <c r="Z188" s="64"/>
    </row>
    <row r="189" spans="1:26" x14ac:dyDescent="0.25">
      <c r="A189" s="64"/>
      <c r="B189" s="64"/>
      <c r="C189" s="64"/>
      <c r="D189" s="64"/>
      <c r="E189" s="64"/>
      <c r="F189" s="64"/>
      <c r="G189" s="64"/>
      <c r="H189" s="64"/>
      <c r="I189" s="64"/>
      <c r="J189" s="64"/>
      <c r="K189" s="64"/>
      <c r="L189" s="64"/>
      <c r="M189" s="64"/>
      <c r="N189" s="65"/>
      <c r="O189" s="65"/>
      <c r="P189" s="64"/>
      <c r="Q189" s="64"/>
      <c r="R189" s="64"/>
      <c r="S189" s="64"/>
      <c r="T189" s="64"/>
      <c r="U189" s="64"/>
      <c r="V189" s="64"/>
      <c r="W189" s="64"/>
      <c r="X189" s="64"/>
      <c r="Y189" s="64"/>
      <c r="Z189" s="64"/>
    </row>
    <row r="190" spans="1:26" x14ac:dyDescent="0.25">
      <c r="A190" s="64"/>
      <c r="B190" s="64"/>
      <c r="C190" s="64"/>
      <c r="D190" s="64"/>
      <c r="E190" s="64"/>
      <c r="F190" s="64"/>
      <c r="G190" s="64"/>
      <c r="H190" s="64"/>
      <c r="I190" s="64"/>
      <c r="J190" s="64"/>
      <c r="K190" s="64"/>
      <c r="L190" s="64"/>
      <c r="M190" s="64"/>
      <c r="N190" s="65"/>
      <c r="O190" s="65"/>
      <c r="P190" s="64"/>
      <c r="Q190" s="64"/>
      <c r="R190" s="64"/>
      <c r="S190" s="64"/>
      <c r="T190" s="64"/>
      <c r="U190" s="64"/>
      <c r="V190" s="64"/>
      <c r="W190" s="64"/>
      <c r="X190" s="64"/>
      <c r="Y190" s="64"/>
      <c r="Z190" s="64"/>
    </row>
    <row r="191" spans="1:26" x14ac:dyDescent="0.25">
      <c r="A191" s="64"/>
      <c r="B191" s="64"/>
      <c r="C191" s="64"/>
      <c r="D191" s="64"/>
      <c r="E191" s="64"/>
      <c r="F191" s="64"/>
      <c r="G191" s="64"/>
      <c r="H191" s="64"/>
      <c r="I191" s="64"/>
      <c r="J191" s="64"/>
      <c r="K191" s="64"/>
      <c r="L191" s="64"/>
      <c r="M191" s="64"/>
      <c r="N191" s="65"/>
      <c r="O191" s="65"/>
      <c r="P191" s="64"/>
      <c r="Q191" s="64"/>
      <c r="R191" s="64"/>
      <c r="S191" s="64"/>
      <c r="T191" s="64"/>
      <c r="U191" s="64"/>
      <c r="V191" s="64"/>
      <c r="W191" s="64"/>
      <c r="X191" s="64"/>
      <c r="Y191" s="64"/>
      <c r="Z191" s="64"/>
    </row>
    <row r="192" spans="1:26" x14ac:dyDescent="0.25">
      <c r="A192" s="64"/>
      <c r="B192" s="64"/>
      <c r="C192" s="64"/>
      <c r="D192" s="64"/>
      <c r="E192" s="64"/>
      <c r="F192" s="64"/>
      <c r="G192" s="64"/>
      <c r="H192" s="64"/>
      <c r="I192" s="64"/>
      <c r="J192" s="64"/>
      <c r="K192" s="64"/>
      <c r="L192" s="64"/>
      <c r="M192" s="64"/>
      <c r="N192" s="65"/>
      <c r="O192" s="65"/>
      <c r="P192" s="64"/>
      <c r="Q192" s="64"/>
      <c r="R192" s="64"/>
      <c r="S192" s="64"/>
      <c r="T192" s="64"/>
      <c r="U192" s="64"/>
      <c r="V192" s="64"/>
      <c r="W192" s="64"/>
      <c r="X192" s="64"/>
      <c r="Y192" s="64"/>
      <c r="Z192" s="64"/>
    </row>
    <row r="193" spans="1:26" x14ac:dyDescent="0.25">
      <c r="A193" s="64"/>
      <c r="B193" s="64"/>
      <c r="C193" s="64"/>
      <c r="D193" s="64"/>
      <c r="E193" s="64"/>
      <c r="F193" s="64"/>
      <c r="G193" s="64"/>
      <c r="H193" s="64"/>
      <c r="I193" s="64"/>
      <c r="J193" s="64"/>
      <c r="K193" s="64"/>
      <c r="L193" s="64"/>
      <c r="M193" s="64"/>
      <c r="N193" s="65"/>
      <c r="O193" s="65"/>
      <c r="P193" s="64"/>
      <c r="Q193" s="64"/>
      <c r="R193" s="64"/>
      <c r="S193" s="64"/>
      <c r="T193" s="64"/>
      <c r="U193" s="64"/>
      <c r="V193" s="64"/>
      <c r="W193" s="64"/>
      <c r="X193" s="64"/>
      <c r="Y193" s="64"/>
      <c r="Z193" s="64"/>
    </row>
    <row r="194" spans="1:26" x14ac:dyDescent="0.25">
      <c r="A194" s="64"/>
      <c r="B194" s="64"/>
      <c r="C194" s="64"/>
      <c r="D194" s="64"/>
      <c r="E194" s="64"/>
      <c r="F194" s="64"/>
      <c r="G194" s="64"/>
      <c r="H194" s="64"/>
      <c r="I194" s="64"/>
      <c r="J194" s="64"/>
      <c r="K194" s="64"/>
      <c r="L194" s="64"/>
      <c r="M194" s="64"/>
      <c r="N194" s="65"/>
      <c r="O194" s="65"/>
      <c r="P194" s="64"/>
      <c r="Q194" s="64"/>
      <c r="R194" s="64"/>
      <c r="S194" s="64"/>
      <c r="T194" s="64"/>
      <c r="U194" s="64"/>
      <c r="V194" s="64"/>
      <c r="W194" s="64"/>
      <c r="X194" s="64"/>
      <c r="Y194" s="64"/>
      <c r="Z194" s="64"/>
    </row>
    <row r="195" spans="1:26" x14ac:dyDescent="0.25">
      <c r="A195" s="64"/>
      <c r="B195" s="64"/>
      <c r="C195" s="64"/>
      <c r="D195" s="64"/>
      <c r="E195" s="64"/>
      <c r="F195" s="64"/>
      <c r="G195" s="64"/>
      <c r="H195" s="64"/>
      <c r="I195" s="64"/>
      <c r="J195" s="64"/>
      <c r="K195" s="64"/>
      <c r="L195" s="64"/>
      <c r="M195" s="64"/>
      <c r="N195" s="65"/>
      <c r="O195" s="65"/>
      <c r="P195" s="64"/>
      <c r="Q195" s="64"/>
      <c r="R195" s="64"/>
      <c r="S195" s="64"/>
      <c r="T195" s="64"/>
      <c r="U195" s="64"/>
      <c r="V195" s="64"/>
      <c r="W195" s="64"/>
      <c r="X195" s="64"/>
      <c r="Y195" s="64"/>
      <c r="Z195" s="64"/>
    </row>
    <row r="196" spans="1:26" x14ac:dyDescent="0.25">
      <c r="A196" s="64"/>
      <c r="B196" s="64"/>
      <c r="C196" s="64"/>
      <c r="D196" s="64"/>
      <c r="E196" s="64"/>
      <c r="F196" s="64"/>
      <c r="G196" s="64"/>
      <c r="H196" s="64"/>
      <c r="I196" s="64"/>
      <c r="J196" s="64"/>
      <c r="K196" s="64"/>
      <c r="L196" s="64"/>
      <c r="M196" s="64"/>
      <c r="N196" s="65"/>
      <c r="O196" s="65"/>
      <c r="P196" s="64"/>
      <c r="Q196" s="64"/>
      <c r="R196" s="64"/>
      <c r="S196" s="64"/>
      <c r="T196" s="64"/>
      <c r="U196" s="64"/>
      <c r="V196" s="64"/>
      <c r="W196" s="64"/>
      <c r="X196" s="64"/>
      <c r="Y196" s="64"/>
      <c r="Z196" s="64"/>
    </row>
    <row r="197" spans="1:26" x14ac:dyDescent="0.25">
      <c r="A197" s="64"/>
      <c r="B197" s="64"/>
      <c r="C197" s="64"/>
      <c r="D197" s="64"/>
      <c r="E197" s="64"/>
      <c r="F197" s="64"/>
      <c r="G197" s="64"/>
      <c r="H197" s="64"/>
      <c r="I197" s="64"/>
      <c r="J197" s="64"/>
      <c r="K197" s="64"/>
      <c r="L197" s="64"/>
      <c r="M197" s="64"/>
      <c r="N197" s="65"/>
      <c r="O197" s="65"/>
      <c r="P197" s="64"/>
      <c r="Q197" s="64"/>
      <c r="R197" s="64"/>
      <c r="S197" s="64"/>
      <c r="T197" s="64"/>
      <c r="U197" s="64"/>
      <c r="V197" s="64"/>
      <c r="W197" s="64"/>
      <c r="X197" s="64"/>
      <c r="Y197" s="64"/>
      <c r="Z197" s="64"/>
    </row>
    <row r="198" spans="1:26" x14ac:dyDescent="0.25">
      <c r="A198" s="64"/>
      <c r="B198" s="64"/>
      <c r="C198" s="64"/>
      <c r="D198" s="64"/>
      <c r="E198" s="64"/>
      <c r="F198" s="64"/>
      <c r="G198" s="64"/>
      <c r="H198" s="64"/>
      <c r="I198" s="64"/>
      <c r="J198" s="64"/>
      <c r="K198" s="64"/>
      <c r="L198" s="64"/>
      <c r="M198" s="64"/>
      <c r="N198" s="65"/>
      <c r="O198" s="65"/>
      <c r="P198" s="64"/>
      <c r="Q198" s="64"/>
      <c r="R198" s="64"/>
      <c r="S198" s="64"/>
      <c r="T198" s="64"/>
      <c r="U198" s="64"/>
      <c r="V198" s="64"/>
      <c r="W198" s="64"/>
      <c r="X198" s="64"/>
      <c r="Y198" s="64"/>
      <c r="Z198" s="64"/>
    </row>
    <row r="199" spans="1:26" x14ac:dyDescent="0.25">
      <c r="A199" s="64"/>
      <c r="B199" s="64"/>
      <c r="C199" s="64"/>
      <c r="D199" s="64"/>
      <c r="E199" s="64"/>
      <c r="F199" s="64"/>
      <c r="G199" s="64"/>
      <c r="H199" s="64"/>
      <c r="I199" s="64"/>
      <c r="J199" s="64"/>
      <c r="K199" s="64"/>
      <c r="L199" s="64"/>
      <c r="M199" s="64"/>
      <c r="N199" s="65"/>
      <c r="O199" s="65"/>
      <c r="P199" s="64"/>
      <c r="Q199" s="64"/>
      <c r="R199" s="64"/>
      <c r="S199" s="64"/>
      <c r="T199" s="64"/>
      <c r="U199" s="64"/>
      <c r="V199" s="64"/>
      <c r="W199" s="64"/>
      <c r="X199" s="64"/>
      <c r="Y199" s="64"/>
      <c r="Z199" s="64"/>
    </row>
    <row r="200" spans="1:26" x14ac:dyDescent="0.25">
      <c r="A200" s="64"/>
      <c r="B200" s="64"/>
      <c r="C200" s="64"/>
      <c r="D200" s="64"/>
      <c r="E200" s="64"/>
      <c r="F200" s="64"/>
      <c r="G200" s="64"/>
      <c r="H200" s="64"/>
      <c r="I200" s="64"/>
      <c r="J200" s="64"/>
      <c r="K200" s="64"/>
      <c r="L200" s="64"/>
      <c r="M200" s="64"/>
      <c r="N200" s="65"/>
      <c r="O200" s="65"/>
      <c r="P200" s="64"/>
      <c r="Q200" s="64"/>
      <c r="R200" s="64"/>
      <c r="S200" s="64"/>
      <c r="T200" s="64"/>
      <c r="U200" s="64"/>
      <c r="V200" s="64"/>
      <c r="W200" s="64"/>
      <c r="X200" s="64"/>
      <c r="Y200" s="64"/>
      <c r="Z200" s="64"/>
    </row>
    <row r="201" spans="1:26" x14ac:dyDescent="0.25">
      <c r="A201" s="64"/>
      <c r="B201" s="64"/>
      <c r="C201" s="64"/>
      <c r="D201" s="64"/>
      <c r="E201" s="64"/>
      <c r="F201" s="64"/>
      <c r="G201" s="64"/>
      <c r="H201" s="64"/>
      <c r="I201" s="64"/>
      <c r="J201" s="64"/>
      <c r="K201" s="64"/>
      <c r="L201" s="64"/>
      <c r="M201" s="64"/>
      <c r="N201" s="65"/>
      <c r="O201" s="65"/>
      <c r="P201" s="64"/>
      <c r="Q201" s="64"/>
      <c r="R201" s="64"/>
      <c r="S201" s="64"/>
      <c r="T201" s="64"/>
      <c r="U201" s="64"/>
      <c r="V201" s="64"/>
      <c r="W201" s="64"/>
      <c r="X201" s="64"/>
      <c r="Y201" s="64"/>
      <c r="Z201" s="64"/>
    </row>
    <row r="202" spans="1:26" x14ac:dyDescent="0.25">
      <c r="A202" s="64"/>
      <c r="B202" s="64"/>
      <c r="C202" s="64"/>
      <c r="D202" s="64"/>
      <c r="E202" s="64"/>
      <c r="F202" s="64"/>
      <c r="G202" s="64"/>
      <c r="H202" s="64"/>
      <c r="I202" s="64"/>
      <c r="J202" s="64"/>
      <c r="K202" s="64"/>
      <c r="L202" s="64"/>
      <c r="M202" s="64"/>
      <c r="N202" s="65"/>
      <c r="O202" s="65"/>
      <c r="P202" s="64"/>
      <c r="Q202" s="64"/>
      <c r="R202" s="64"/>
      <c r="S202" s="64"/>
      <c r="T202" s="64"/>
      <c r="U202" s="64"/>
      <c r="V202" s="64"/>
      <c r="W202" s="64"/>
      <c r="X202" s="64"/>
      <c r="Y202" s="64"/>
      <c r="Z202" s="64"/>
    </row>
    <row r="203" spans="1:26" x14ac:dyDescent="0.25">
      <c r="A203" s="64"/>
      <c r="B203" s="64"/>
      <c r="C203" s="64"/>
      <c r="D203" s="64"/>
      <c r="E203" s="64"/>
      <c r="F203" s="64"/>
      <c r="G203" s="64"/>
      <c r="H203" s="64"/>
      <c r="I203" s="64"/>
      <c r="J203" s="64"/>
      <c r="K203" s="64"/>
      <c r="L203" s="64"/>
      <c r="M203" s="64"/>
      <c r="N203" s="65"/>
      <c r="O203" s="65"/>
      <c r="P203" s="64"/>
      <c r="Q203" s="64"/>
      <c r="R203" s="64"/>
      <c r="S203" s="64"/>
      <c r="T203" s="64"/>
      <c r="U203" s="64"/>
      <c r="V203" s="64"/>
      <c r="W203" s="64"/>
      <c r="X203" s="64"/>
      <c r="Y203" s="64"/>
      <c r="Z203" s="64"/>
    </row>
    <row r="204" spans="1:26" x14ac:dyDescent="0.25">
      <c r="A204" s="64"/>
      <c r="B204" s="64"/>
      <c r="C204" s="64"/>
      <c r="D204" s="64"/>
      <c r="E204" s="64"/>
      <c r="F204" s="64"/>
      <c r="G204" s="64"/>
      <c r="H204" s="64"/>
      <c r="I204" s="64"/>
      <c r="J204" s="64"/>
      <c r="K204" s="64"/>
      <c r="L204" s="64"/>
      <c r="M204" s="64"/>
      <c r="N204" s="65"/>
      <c r="O204" s="65"/>
      <c r="P204" s="64"/>
      <c r="Q204" s="64"/>
      <c r="R204" s="64"/>
      <c r="S204" s="64"/>
      <c r="T204" s="64"/>
      <c r="U204" s="64"/>
      <c r="V204" s="64"/>
      <c r="W204" s="64"/>
      <c r="X204" s="64"/>
      <c r="Y204" s="64"/>
      <c r="Z204" s="64"/>
    </row>
    <row r="205" spans="1:26" x14ac:dyDescent="0.25">
      <c r="A205" s="64"/>
      <c r="B205" s="64"/>
      <c r="C205" s="64"/>
      <c r="D205" s="64"/>
      <c r="E205" s="64"/>
      <c r="F205" s="64"/>
      <c r="G205" s="64"/>
      <c r="H205" s="64"/>
      <c r="I205" s="64"/>
      <c r="J205" s="64"/>
      <c r="K205" s="64"/>
      <c r="L205" s="64"/>
      <c r="M205" s="64"/>
      <c r="N205" s="65"/>
      <c r="O205" s="65"/>
      <c r="P205" s="64"/>
      <c r="Q205" s="64"/>
      <c r="R205" s="64"/>
      <c r="S205" s="64"/>
      <c r="T205" s="64"/>
      <c r="U205" s="64"/>
      <c r="V205" s="64"/>
      <c r="W205" s="64"/>
      <c r="X205" s="64"/>
      <c r="Y205" s="64"/>
      <c r="Z205" s="64"/>
    </row>
    <row r="206" spans="1:26" x14ac:dyDescent="0.25">
      <c r="A206" s="64"/>
      <c r="B206" s="64"/>
      <c r="C206" s="64"/>
      <c r="D206" s="64"/>
      <c r="E206" s="64"/>
      <c r="F206" s="64"/>
      <c r="G206" s="64"/>
      <c r="H206" s="64"/>
      <c r="I206" s="64"/>
      <c r="J206" s="64"/>
      <c r="K206" s="64"/>
      <c r="L206" s="64"/>
      <c r="M206" s="64"/>
      <c r="N206" s="65"/>
      <c r="O206" s="65"/>
      <c r="P206" s="64"/>
      <c r="Q206" s="64"/>
      <c r="R206" s="64"/>
      <c r="S206" s="64"/>
      <c r="T206" s="64"/>
      <c r="U206" s="64"/>
      <c r="V206" s="64"/>
      <c r="W206" s="64"/>
      <c r="X206" s="64"/>
      <c r="Y206" s="64"/>
      <c r="Z206" s="64"/>
    </row>
    <row r="207" spans="1:26" x14ac:dyDescent="0.25">
      <c r="A207" s="64"/>
      <c r="B207" s="64"/>
      <c r="C207" s="64"/>
      <c r="D207" s="64"/>
      <c r="E207" s="64"/>
      <c r="F207" s="64"/>
      <c r="G207" s="64"/>
      <c r="H207" s="64"/>
      <c r="I207" s="64"/>
      <c r="J207" s="64"/>
      <c r="K207" s="64"/>
      <c r="L207" s="64"/>
      <c r="M207" s="64"/>
      <c r="N207" s="65"/>
      <c r="O207" s="65"/>
      <c r="P207" s="64"/>
      <c r="Q207" s="64"/>
      <c r="R207" s="64"/>
      <c r="S207" s="64"/>
      <c r="T207" s="64"/>
      <c r="U207" s="64"/>
      <c r="V207" s="64"/>
      <c r="W207" s="64"/>
      <c r="X207" s="64"/>
      <c r="Y207" s="64"/>
      <c r="Z207" s="64"/>
    </row>
    <row r="208" spans="1:26" x14ac:dyDescent="0.25">
      <c r="A208" s="64"/>
      <c r="B208" s="64"/>
      <c r="C208" s="64"/>
      <c r="D208" s="64"/>
      <c r="E208" s="64"/>
      <c r="F208" s="64"/>
      <c r="G208" s="64"/>
      <c r="H208" s="64"/>
      <c r="I208" s="64"/>
      <c r="J208" s="64"/>
      <c r="K208" s="64"/>
      <c r="L208" s="64"/>
      <c r="M208" s="64"/>
      <c r="N208" s="65"/>
      <c r="O208" s="65"/>
      <c r="P208" s="64"/>
      <c r="Q208" s="64"/>
      <c r="R208" s="64"/>
      <c r="S208" s="64"/>
      <c r="T208" s="64"/>
      <c r="U208" s="64"/>
      <c r="V208" s="64"/>
      <c r="W208" s="64"/>
      <c r="X208" s="64"/>
      <c r="Y208" s="64"/>
      <c r="Z208" s="64"/>
    </row>
    <row r="209" spans="1:26" x14ac:dyDescent="0.25">
      <c r="A209" s="64"/>
      <c r="B209" s="64"/>
      <c r="C209" s="64"/>
      <c r="D209" s="64"/>
      <c r="E209" s="64"/>
      <c r="F209" s="64"/>
      <c r="G209" s="64"/>
      <c r="H209" s="64"/>
      <c r="I209" s="64"/>
      <c r="J209" s="64"/>
      <c r="K209" s="64"/>
      <c r="L209" s="64"/>
      <c r="M209" s="64"/>
      <c r="N209" s="65"/>
      <c r="O209" s="65"/>
      <c r="P209" s="64"/>
      <c r="Q209" s="64"/>
      <c r="R209" s="64"/>
      <c r="S209" s="64"/>
      <c r="T209" s="64"/>
      <c r="U209" s="64"/>
      <c r="V209" s="64"/>
      <c r="W209" s="64"/>
      <c r="X209" s="64"/>
      <c r="Y209" s="64"/>
      <c r="Z209" s="64"/>
    </row>
    <row r="210" spans="1:26" x14ac:dyDescent="0.25">
      <c r="A210" s="64"/>
      <c r="B210" s="64"/>
      <c r="C210" s="64"/>
      <c r="D210" s="64"/>
      <c r="E210" s="64"/>
      <c r="F210" s="64"/>
      <c r="G210" s="64"/>
      <c r="H210" s="64"/>
      <c r="I210" s="64"/>
      <c r="J210" s="64"/>
      <c r="K210" s="64"/>
      <c r="L210" s="64"/>
      <c r="M210" s="64"/>
      <c r="N210" s="65"/>
      <c r="O210" s="65"/>
      <c r="P210" s="64"/>
      <c r="Q210" s="64"/>
      <c r="R210" s="64"/>
      <c r="S210" s="64"/>
      <c r="T210" s="64"/>
      <c r="U210" s="64"/>
      <c r="V210" s="64"/>
      <c r="W210" s="64"/>
      <c r="X210" s="64"/>
      <c r="Y210" s="64"/>
      <c r="Z210" s="64"/>
    </row>
    <row r="211" spans="1:26" x14ac:dyDescent="0.25">
      <c r="A211" s="64"/>
      <c r="B211" s="64"/>
      <c r="C211" s="64"/>
      <c r="D211" s="64"/>
      <c r="E211" s="64"/>
      <c r="F211" s="64"/>
      <c r="G211" s="64"/>
      <c r="H211" s="64"/>
      <c r="I211" s="64"/>
      <c r="J211" s="64"/>
      <c r="K211" s="64"/>
      <c r="L211" s="64"/>
      <c r="M211" s="64"/>
      <c r="N211" s="65"/>
      <c r="O211" s="65"/>
      <c r="P211" s="64"/>
      <c r="Q211" s="64"/>
      <c r="R211" s="64"/>
      <c r="S211" s="64"/>
      <c r="T211" s="64"/>
      <c r="U211" s="64"/>
      <c r="V211" s="64"/>
      <c r="W211" s="64"/>
      <c r="X211" s="64"/>
      <c r="Y211" s="64"/>
      <c r="Z211" s="64"/>
    </row>
  </sheetData>
  <sheetProtection sheet="1" objects="1" scenarios="1"/>
  <mergeCells count="10">
    <mergeCell ref="A2:F2"/>
    <mergeCell ref="I10:K12"/>
    <mergeCell ref="M2:M3"/>
    <mergeCell ref="G4:M4"/>
    <mergeCell ref="G1:H1"/>
    <mergeCell ref="G2:H3"/>
    <mergeCell ref="I2:I3"/>
    <mergeCell ref="J2:J3"/>
    <mergeCell ref="K2:K3"/>
    <mergeCell ref="L2:L3"/>
  </mergeCells>
  <conditionalFormatting sqref="D15:D19">
    <cfRule type="cellIs" dxfId="38" priority="1" stopIfTrue="1" operator="equal">
      <formula>0</formula>
    </cfRule>
    <cfRule type="dataBar" priority="2">
      <dataBar>
        <cfvo type="num" val="0"/>
        <cfvo type="formula" val="$B29"/>
        <color rgb="FFA9C9A9"/>
      </dataBar>
      <extLst>
        <ext xmlns:x14="http://schemas.microsoft.com/office/spreadsheetml/2009/9/main" uri="{B025F937-C7B1-47D3-B67F-A62EFF666E3E}">
          <x14:id>{15CBFB16-6022-4336-A2D5-19316BF54C10}</x14:id>
        </ext>
      </extLst>
    </cfRule>
    <cfRule type="cellIs" dxfId="37" priority="3" operator="lessThan">
      <formula>0</formula>
    </cfRule>
  </conditionalFormatting>
  <conditionalFormatting sqref="D24:D31">
    <cfRule type="cellIs" dxfId="36" priority="4" stopIfTrue="1" operator="equal">
      <formula>0</formula>
    </cfRule>
    <cfRule type="dataBar" priority="5">
      <dataBar>
        <cfvo type="num" val="0"/>
        <cfvo type="formula" val="$B47"/>
        <color rgb="FF9FC3D6"/>
      </dataBar>
      <extLst>
        <ext xmlns:x14="http://schemas.microsoft.com/office/spreadsheetml/2009/9/main" uri="{B025F937-C7B1-47D3-B67F-A62EFF666E3E}">
          <x14:id>{9FB37003-CCF6-422F-8E1A-FB68E88E2475}</x14:id>
        </ext>
      </extLst>
    </cfRule>
    <cfRule type="cellIs" dxfId="35" priority="6" operator="lessThan">
      <formula>0</formula>
    </cfRule>
  </conditionalFormatting>
  <conditionalFormatting sqref="D36:D43">
    <cfRule type="cellIs" dxfId="34" priority="7" stopIfTrue="1" operator="equal">
      <formula>0</formula>
    </cfRule>
    <cfRule type="dataBar" priority="8">
      <dataBar>
        <cfvo type="num" val="0"/>
        <cfvo type="formula" val="$B71"/>
        <color rgb="FFE8AFC0"/>
      </dataBar>
      <extLst>
        <ext xmlns:x14="http://schemas.microsoft.com/office/spreadsheetml/2009/9/main" uri="{B025F937-C7B1-47D3-B67F-A62EFF666E3E}">
          <x14:id>{B5A834C5-EB16-4899-A6A6-8FE8B7BE3D7C}</x14:id>
        </ext>
      </extLst>
    </cfRule>
    <cfRule type="cellIs" dxfId="33" priority="9" operator="lessThan">
      <formula>0</formula>
    </cfRule>
  </conditionalFormatting>
  <conditionalFormatting sqref="D48:D52">
    <cfRule type="cellIs" dxfId="32" priority="10" stopIfTrue="1" operator="equal">
      <formula>0</formula>
    </cfRule>
    <cfRule type="dataBar" priority="11">
      <dataBar>
        <cfvo type="num" val="0"/>
        <cfvo type="formula" val="$B95"/>
        <color rgb="FFEBD98F"/>
      </dataBar>
      <extLst>
        <ext xmlns:x14="http://schemas.microsoft.com/office/spreadsheetml/2009/9/main" uri="{B025F937-C7B1-47D3-B67F-A62EFF666E3E}">
          <x14:id>{2B57A8E5-7629-4E75-8227-6CE65373D5B0}</x14:id>
        </ext>
      </extLst>
    </cfRule>
    <cfRule type="cellIs" dxfId="31" priority="12" operator="lessThan">
      <formula>0</formula>
    </cfRule>
  </conditionalFormatting>
  <conditionalFormatting sqref="D57:D60">
    <cfRule type="cellIs" dxfId="30" priority="13" stopIfTrue="1" operator="equal">
      <formula>0</formula>
    </cfRule>
    <cfRule type="dataBar" priority="14">
      <dataBar>
        <cfvo type="num" val="0"/>
        <cfvo type="formula" val="$B113"/>
        <color rgb="FFC7B8E8"/>
      </dataBar>
      <extLst>
        <ext xmlns:x14="http://schemas.microsoft.com/office/spreadsheetml/2009/9/main" uri="{B025F937-C7B1-47D3-B67F-A62EFF666E3E}">
          <x14:id>{D46893B0-4DD7-49CF-AC32-ACD8D6F7B08D}</x14:id>
        </ext>
      </extLst>
    </cfRule>
    <cfRule type="cellIs" dxfId="29" priority="15" operator="lessThan">
      <formula>0</formula>
    </cfRule>
  </conditionalFormatting>
  <dataValidations count="4">
    <dataValidation type="list" allowBlank="1" showInputMessage="1" showErrorMessage="1" sqref="B8" xr:uid="{D858AC1E-F394-46B4-B8FB-5E921E2F3713}">
      <formula1>CurrencyList</formula1>
    </dataValidation>
    <dataValidation type="list" allowBlank="1" showInputMessage="1" showErrorMessage="1" sqref="B6" xr:uid="{6A3BED9D-40E6-493F-BF48-9865B6398C86}">
      <formula1>PayFrequencyList</formula1>
    </dataValidation>
    <dataValidation type="list" allowBlank="1" showInputMessage="1" showErrorMessage="1" sqref="E15:E19 E24:E31 E36:E43 E48:E52 E57:E60" xr:uid="{7A1198F4-FB1B-40A9-A1C6-1B52D0A55608}">
      <formula1>"✓,​"</formula1>
    </dataValidation>
    <dataValidation allowBlank="1" showInputMessage="1" showErrorMessage="1" errorTitle="That's not a valid date" error="Please type a real date using your Excel's normal date format (any date through 2030)." promptTitle="Type a date" prompt="Use your Excel's normal date format. Any date through 2030 works." sqref="B5 B7" xr:uid="{B8D6449F-6D07-4ABF-993C-7F81A4333FDD}"/>
  </dataValidations>
  <pageMargins left="0.7" right="0.7" top="0.75" bottom="0.75" header="0.3" footer="0.3"/>
  <pageSetup paperSize="9" scale="44" orientation="landscape" horizontalDpi="300" verticalDpi="0" copies="0" r:id="rId1"/>
  <drawing r:id="rId2"/>
  <legacyDrawing r:id="rId3"/>
  <extLst>
    <ext xmlns:x14="http://schemas.microsoft.com/office/spreadsheetml/2009/9/main" uri="{78C0D931-6437-407d-A8EE-F0AAD7539E65}">
      <x14:conditionalFormattings>
        <x14:conditionalFormatting xmlns:xm="http://schemas.microsoft.com/office/excel/2006/main">
          <x14:cfRule type="dataBar" id="{15CBFB16-6022-4336-A2D5-19316BF54C10}">
            <x14:dataBar minLength="0" maxLength="100" direction="leftToRight" axisPosition="none">
              <x14:cfvo type="num">
                <xm:f>0</xm:f>
              </x14:cfvo>
              <x14:cfvo type="formula">
                <xm:f>$B29</xm:f>
              </x14:cfvo>
              <x14:negativeFillColor rgb="FFF0A8A0"/>
            </x14:dataBar>
          </x14:cfRule>
          <xm:sqref>D15:D19</xm:sqref>
        </x14:conditionalFormatting>
        <x14:conditionalFormatting xmlns:xm="http://schemas.microsoft.com/office/excel/2006/main">
          <x14:cfRule type="dataBar" id="{9FB37003-CCF6-422F-8E1A-FB68E88E2475}">
            <x14:dataBar minLength="0" maxLength="100" direction="leftToRight" axisPosition="none">
              <x14:cfvo type="num">
                <xm:f>0</xm:f>
              </x14:cfvo>
              <x14:cfvo type="formula">
                <xm:f>$B47</xm:f>
              </x14:cfvo>
              <x14:negativeFillColor rgb="FFF0A8A0"/>
            </x14:dataBar>
          </x14:cfRule>
          <xm:sqref>D24:D31</xm:sqref>
        </x14:conditionalFormatting>
        <x14:conditionalFormatting xmlns:xm="http://schemas.microsoft.com/office/excel/2006/main">
          <x14:cfRule type="dataBar" id="{B5A834C5-EB16-4899-A6A6-8FE8B7BE3D7C}">
            <x14:dataBar minLength="0" maxLength="100" direction="leftToRight" axisPosition="none">
              <x14:cfvo type="num">
                <xm:f>0</xm:f>
              </x14:cfvo>
              <x14:cfvo type="formula">
                <xm:f>$B71</xm:f>
              </x14:cfvo>
              <x14:negativeFillColor rgb="FFF0A8A0"/>
            </x14:dataBar>
          </x14:cfRule>
          <xm:sqref>D36:D43</xm:sqref>
        </x14:conditionalFormatting>
        <x14:conditionalFormatting xmlns:xm="http://schemas.microsoft.com/office/excel/2006/main">
          <x14:cfRule type="dataBar" id="{2B57A8E5-7629-4E75-8227-6CE65373D5B0}">
            <x14:dataBar minLength="0" maxLength="100" direction="leftToRight" axisPosition="none">
              <x14:cfvo type="num">
                <xm:f>0</xm:f>
              </x14:cfvo>
              <x14:cfvo type="formula">
                <xm:f>$B95</xm:f>
              </x14:cfvo>
              <x14:negativeFillColor rgb="FFF0A8A0"/>
            </x14:dataBar>
          </x14:cfRule>
          <xm:sqref>D48:D52</xm:sqref>
        </x14:conditionalFormatting>
        <x14:conditionalFormatting xmlns:xm="http://schemas.microsoft.com/office/excel/2006/main">
          <x14:cfRule type="dataBar" id="{D46893B0-4DD7-49CF-AC32-ACD8D6F7B08D}">
            <x14:dataBar minLength="0" maxLength="100" direction="leftToRight" axisPosition="none">
              <x14:cfvo type="num">
                <xm:f>0</xm:f>
              </x14:cfvo>
              <x14:cfvo type="formula">
                <xm:f>$B113</xm:f>
              </x14:cfvo>
              <x14:negativeFillColor rgb="FFF0A8A0"/>
            </x14:dataBar>
          </x14:cfRule>
          <xm:sqref>D57:D60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CF197-67B2-4BC9-84D1-36BE3FD8F8E6}">
  <sheetPr>
    <tabColor rgb="FFD6E8D6"/>
    <pageSetUpPr fitToPage="1"/>
  </sheetPr>
  <dimension ref="A1:Z211"/>
  <sheetViews>
    <sheetView showGridLines="0" zoomScale="70" zoomScaleNormal="70" workbookViewId="0">
      <selection activeCell="C7" sqref="C7"/>
    </sheetView>
  </sheetViews>
  <sheetFormatPr defaultRowHeight="15" outlineLevelCol="3" x14ac:dyDescent="0.25"/>
  <cols>
    <col min="1" max="1" width="28.5703125" customWidth="1"/>
    <col min="2" max="3" width="16.140625" customWidth="1"/>
    <col min="4" max="4" width="19" customWidth="1"/>
    <col min="5" max="5" width="14.28515625" customWidth="1"/>
    <col min="6" max="6" width="13.28515625" customWidth="1"/>
    <col min="7" max="8" width="11" customWidth="1"/>
    <col min="9" max="13" width="15.28515625" customWidth="1"/>
    <col min="14" max="15" width="0" style="12" hidden="1" customWidth="1" outlineLevel="3"/>
    <col min="16" max="16" width="0" hidden="1" customWidth="1" outlineLevel="2"/>
    <col min="17" max="17" width="9.140625" collapsed="1"/>
  </cols>
  <sheetData>
    <row r="1" spans="1:26" ht="36" customHeight="1" x14ac:dyDescent="0.5">
      <c r="A1" s="120" t="s">
        <v>77</v>
      </c>
      <c r="B1" s="53"/>
      <c r="C1" s="53"/>
      <c r="D1" s="53"/>
      <c r="E1" s="53"/>
      <c r="F1" s="53"/>
      <c r="G1" s="208" t="s">
        <v>196</v>
      </c>
      <c r="H1" s="209"/>
      <c r="I1" s="174" t="s">
        <v>216</v>
      </c>
      <c r="J1" s="175" t="s">
        <v>217</v>
      </c>
      <c r="K1" s="176" t="s">
        <v>218</v>
      </c>
      <c r="L1" s="177" t="s">
        <v>219</v>
      </c>
      <c r="M1" s="178" t="s">
        <v>220</v>
      </c>
      <c r="N1" s="191"/>
      <c r="O1" s="191"/>
      <c r="P1" s="191"/>
      <c r="Q1" s="64"/>
      <c r="R1" s="64"/>
      <c r="S1" s="64"/>
      <c r="T1" s="64"/>
      <c r="U1" s="64"/>
      <c r="V1" s="64"/>
      <c r="W1" s="64"/>
      <c r="X1" s="64"/>
      <c r="Y1" s="64"/>
      <c r="Z1" s="64"/>
    </row>
    <row r="2" spans="1:26" ht="30" customHeight="1" x14ac:dyDescent="0.25">
      <c r="A2" s="201" t="s">
        <v>215</v>
      </c>
      <c r="B2" s="201"/>
      <c r="C2" s="201"/>
      <c r="D2" s="201"/>
      <c r="E2" s="201"/>
      <c r="F2" s="202"/>
      <c r="G2" s="210">
        <f>E10</f>
        <v>0</v>
      </c>
      <c r="H2" s="211"/>
      <c r="I2" s="214">
        <f>C20</f>
        <v>0</v>
      </c>
      <c r="J2" s="216">
        <f>C32</f>
        <v>0</v>
      </c>
      <c r="K2" s="218">
        <f>C44</f>
        <v>0</v>
      </c>
      <c r="L2" s="220">
        <f>C53</f>
        <v>0</v>
      </c>
      <c r="M2" s="204">
        <f>C61</f>
        <v>0</v>
      </c>
      <c r="N2" s="143"/>
      <c r="O2" s="143"/>
      <c r="P2" s="144"/>
      <c r="Q2" s="64"/>
      <c r="R2" s="64"/>
      <c r="S2" s="64"/>
      <c r="T2" s="64"/>
      <c r="U2" s="64"/>
      <c r="V2" s="64"/>
      <c r="W2" s="64"/>
      <c r="X2" s="64"/>
      <c r="Y2" s="64"/>
      <c r="Z2" s="64"/>
    </row>
    <row r="3" spans="1:26" ht="26.1" customHeight="1" thickBot="1" x14ac:dyDescent="0.3">
      <c r="A3" s="53"/>
      <c r="B3" s="53"/>
      <c r="C3" s="53"/>
      <c r="D3" s="53"/>
      <c r="E3" s="53"/>
      <c r="F3" s="53"/>
      <c r="G3" s="212"/>
      <c r="H3" s="213"/>
      <c r="I3" s="215"/>
      <c r="J3" s="217"/>
      <c r="K3" s="219"/>
      <c r="L3" s="221"/>
      <c r="M3" s="205"/>
      <c r="N3" s="145" t="s">
        <v>100</v>
      </c>
      <c r="O3" s="143"/>
      <c r="P3" s="144"/>
      <c r="Q3" s="64"/>
      <c r="R3" s="64"/>
      <c r="S3" s="64"/>
      <c r="T3" s="64"/>
      <c r="U3" s="64"/>
      <c r="V3" s="64"/>
      <c r="W3" s="64"/>
      <c r="X3" s="64"/>
      <c r="Y3" s="64"/>
      <c r="Z3" s="64"/>
    </row>
    <row r="4" spans="1:26" ht="16.5" x14ac:dyDescent="0.25">
      <c r="A4" s="14" t="s">
        <v>78</v>
      </c>
      <c r="B4" s="15"/>
      <c r="C4" s="55"/>
      <c r="D4" s="14" t="s">
        <v>81</v>
      </c>
      <c r="E4" s="13"/>
      <c r="F4" s="15"/>
      <c r="G4" s="222" t="str">
        <f ca="1">"Days left: "&amp;IF(ISNUMBER(B7),MAX(B7-TODAY(),0),0)</f>
        <v>Days left: 16</v>
      </c>
      <c r="H4" s="207"/>
      <c r="I4" s="207"/>
      <c r="J4" s="207"/>
      <c r="K4" s="207"/>
      <c r="L4" s="207"/>
      <c r="M4" s="207"/>
      <c r="N4" s="143" t="s">
        <v>101</v>
      </c>
      <c r="O4" s="146">
        <f>MAX(E10,0)</f>
        <v>0</v>
      </c>
      <c r="P4" s="144"/>
      <c r="Q4" s="64"/>
      <c r="R4" s="64"/>
      <c r="S4" s="64"/>
      <c r="T4" s="64"/>
      <c r="U4" s="64"/>
      <c r="V4" s="64"/>
      <c r="W4" s="64"/>
      <c r="X4" s="64"/>
      <c r="Y4" s="64"/>
      <c r="Z4" s="64"/>
    </row>
    <row r="5" spans="1:26" x14ac:dyDescent="0.25">
      <c r="A5" s="56" t="s">
        <v>79</v>
      </c>
      <c r="B5" s="150">
        <v>46235</v>
      </c>
      <c r="C5" s="53"/>
      <c r="D5" s="56" t="s">
        <v>4</v>
      </c>
      <c r="E5" s="57">
        <f>C20</f>
        <v>0</v>
      </c>
      <c r="F5" s="58"/>
      <c r="G5" s="53"/>
      <c r="H5" s="53"/>
      <c r="I5" s="53"/>
      <c r="J5" s="53"/>
      <c r="K5" s="53"/>
      <c r="L5" s="53"/>
      <c r="M5" s="53"/>
      <c r="N5" s="143" t="s">
        <v>102</v>
      </c>
      <c r="O5" s="146">
        <f>C32+C44+C53+C61</f>
        <v>0</v>
      </c>
      <c r="P5" s="144"/>
      <c r="Q5" s="64"/>
      <c r="R5" s="64"/>
      <c r="S5" s="64"/>
      <c r="T5" s="64"/>
      <c r="U5" s="64"/>
      <c r="V5" s="64"/>
      <c r="W5" s="64"/>
      <c r="X5" s="64"/>
      <c r="Y5" s="64"/>
      <c r="Z5" s="64"/>
    </row>
    <row r="6" spans="1:26" x14ac:dyDescent="0.25">
      <c r="A6" s="56" t="s">
        <v>39</v>
      </c>
      <c r="B6" s="153" t="s">
        <v>43</v>
      </c>
      <c r="C6" s="53"/>
      <c r="D6" s="56" t="s">
        <v>82</v>
      </c>
      <c r="E6" s="57">
        <f>-C32</f>
        <v>0</v>
      </c>
      <c r="F6" s="58"/>
      <c r="G6" s="53"/>
      <c r="H6" s="53"/>
      <c r="I6" s="53"/>
      <c r="J6" s="53"/>
      <c r="K6" s="53"/>
      <c r="L6" s="53"/>
      <c r="M6" s="53"/>
      <c r="N6" s="143"/>
      <c r="O6" s="143"/>
      <c r="P6" s="144"/>
      <c r="Q6" s="64"/>
      <c r="R6" s="64"/>
      <c r="S6" s="64"/>
      <c r="T6" s="64"/>
      <c r="U6" s="64"/>
      <c r="V6" s="64"/>
      <c r="W6" s="64"/>
      <c r="X6" s="64"/>
      <c r="Y6" s="64"/>
      <c r="Z6" s="64"/>
    </row>
    <row r="7" spans="1:26" x14ac:dyDescent="0.25">
      <c r="A7" s="56" t="s">
        <v>80</v>
      </c>
      <c r="B7" s="151">
        <v>46265</v>
      </c>
      <c r="C7" s="59"/>
      <c r="D7" s="56" t="s">
        <v>83</v>
      </c>
      <c r="E7" s="57">
        <f>-C44</f>
        <v>0</v>
      </c>
      <c r="F7" s="58"/>
      <c r="G7" s="53"/>
      <c r="H7" s="53"/>
      <c r="I7" s="53"/>
      <c r="J7" s="53"/>
      <c r="K7" s="53"/>
      <c r="L7" s="53"/>
      <c r="M7" s="53"/>
      <c r="N7" s="143"/>
      <c r="O7" s="143"/>
      <c r="P7" s="144"/>
      <c r="Q7" s="64"/>
      <c r="R7" s="64"/>
      <c r="S7" s="64"/>
      <c r="T7" s="64"/>
      <c r="U7" s="64"/>
      <c r="V7" s="64"/>
      <c r="W7" s="64"/>
      <c r="X7" s="64"/>
      <c r="Y7" s="64"/>
      <c r="Z7" s="64"/>
    </row>
    <row r="8" spans="1:26" x14ac:dyDescent="0.25">
      <c r="A8" s="60" t="s">
        <v>44</v>
      </c>
      <c r="B8" s="154" t="s">
        <v>45</v>
      </c>
      <c r="C8" s="53"/>
      <c r="D8" s="56" t="s">
        <v>84</v>
      </c>
      <c r="E8" s="57">
        <f>-C53</f>
        <v>0</v>
      </c>
      <c r="F8" s="58"/>
      <c r="G8" s="53"/>
      <c r="H8" s="53"/>
      <c r="I8" s="53"/>
      <c r="J8" s="53"/>
      <c r="K8" s="53"/>
      <c r="L8" s="53"/>
      <c r="M8" s="53"/>
      <c r="N8" s="143" t="s">
        <v>82</v>
      </c>
      <c r="O8" s="146">
        <f>C32</f>
        <v>0</v>
      </c>
      <c r="P8" s="144"/>
      <c r="Q8" s="64"/>
      <c r="R8" s="64"/>
      <c r="S8" s="64"/>
      <c r="T8" s="64"/>
      <c r="U8" s="64"/>
      <c r="V8" s="64"/>
      <c r="W8" s="64"/>
      <c r="X8" s="64"/>
      <c r="Y8" s="64"/>
      <c r="Z8" s="64"/>
    </row>
    <row r="9" spans="1:26" x14ac:dyDescent="0.25">
      <c r="A9" s="53"/>
      <c r="B9" s="53"/>
      <c r="C9" s="53"/>
      <c r="D9" s="56" t="s">
        <v>34</v>
      </c>
      <c r="E9" s="57">
        <f>-C61</f>
        <v>0</v>
      </c>
      <c r="F9" s="58"/>
      <c r="G9" s="53"/>
      <c r="H9" s="53"/>
      <c r="I9" s="53"/>
      <c r="J9" s="53"/>
      <c r="K9" s="53"/>
      <c r="L9" s="53"/>
      <c r="M9" s="53"/>
      <c r="N9" s="143" t="s">
        <v>83</v>
      </c>
      <c r="O9" s="146">
        <f>C44</f>
        <v>0</v>
      </c>
      <c r="P9" s="144"/>
      <c r="Q9" s="64"/>
      <c r="R9" s="64"/>
      <c r="S9" s="64"/>
      <c r="T9" s="64"/>
      <c r="U9" s="64"/>
      <c r="V9" s="64"/>
      <c r="W9" s="64"/>
      <c r="X9" s="64"/>
      <c r="Y9" s="64"/>
      <c r="Z9" s="64"/>
    </row>
    <row r="10" spans="1:26" x14ac:dyDescent="0.25">
      <c r="A10" s="53"/>
      <c r="B10" s="53"/>
      <c r="C10" s="53"/>
      <c r="D10" s="62" t="s">
        <v>85</v>
      </c>
      <c r="E10" s="77">
        <f>E5+E6+E7+E8+E9</f>
        <v>0</v>
      </c>
      <c r="F10" s="61"/>
      <c r="G10" s="53"/>
      <c r="H10" s="53"/>
      <c r="I10" s="203">
        <f>E10</f>
        <v>0</v>
      </c>
      <c r="J10" s="203"/>
      <c r="K10" s="203"/>
      <c r="L10" s="53"/>
      <c r="M10" s="53"/>
      <c r="N10" s="143" t="s">
        <v>84</v>
      </c>
      <c r="O10" s="146">
        <f>C53</f>
        <v>0</v>
      </c>
      <c r="P10" s="144"/>
      <c r="Q10" s="64"/>
      <c r="R10" s="64"/>
      <c r="S10" s="64"/>
      <c r="T10" s="64"/>
      <c r="U10" s="64"/>
      <c r="V10" s="64"/>
      <c r="W10" s="64"/>
      <c r="X10" s="64"/>
      <c r="Y10" s="64"/>
      <c r="Z10" s="64"/>
    </row>
    <row r="11" spans="1:26" x14ac:dyDescent="0.25">
      <c r="A11" s="53"/>
      <c r="B11" s="53"/>
      <c r="C11" s="53"/>
      <c r="D11" s="53"/>
      <c r="E11" s="53"/>
      <c r="F11" s="53"/>
      <c r="G11" s="53"/>
      <c r="H11" s="53"/>
      <c r="I11" s="203"/>
      <c r="J11" s="203"/>
      <c r="K11" s="203"/>
      <c r="L11" s="53"/>
      <c r="M11" s="53"/>
      <c r="N11" s="143" t="s">
        <v>34</v>
      </c>
      <c r="O11" s="146">
        <f>C61</f>
        <v>0</v>
      </c>
      <c r="P11" s="144"/>
      <c r="Q11" s="64"/>
      <c r="R11" s="64"/>
      <c r="S11" s="64"/>
      <c r="T11" s="64"/>
      <c r="U11" s="64"/>
      <c r="V11" s="64"/>
      <c r="W11" s="64"/>
      <c r="X11" s="64"/>
      <c r="Y11" s="64"/>
      <c r="Z11" s="64"/>
    </row>
    <row r="12" spans="1:26" x14ac:dyDescent="0.25">
      <c r="A12" s="53"/>
      <c r="B12" s="53"/>
      <c r="C12" s="53"/>
      <c r="D12" s="53"/>
      <c r="E12" s="53"/>
      <c r="F12" s="53"/>
      <c r="G12" s="53"/>
      <c r="H12" s="53"/>
      <c r="I12" s="203"/>
      <c r="J12" s="203"/>
      <c r="K12" s="203"/>
      <c r="L12" s="53"/>
      <c r="M12" s="53"/>
      <c r="N12" s="143" t="s">
        <v>101</v>
      </c>
      <c r="O12" s="146">
        <f>MAX(E10,0)</f>
        <v>0</v>
      </c>
      <c r="P12" s="144"/>
      <c r="Q12" s="64"/>
      <c r="R12" s="64"/>
      <c r="S12" s="64"/>
      <c r="T12" s="64"/>
      <c r="U12" s="64"/>
      <c r="V12" s="64"/>
      <c r="W12" s="64"/>
      <c r="X12" s="64"/>
      <c r="Y12" s="64"/>
      <c r="Z12" s="64"/>
    </row>
    <row r="13" spans="1:26" x14ac:dyDescent="0.25">
      <c r="A13" s="53"/>
      <c r="B13" s="53"/>
      <c r="C13" s="53"/>
      <c r="D13" s="53"/>
      <c r="E13" s="53"/>
      <c r="F13" s="53"/>
      <c r="G13" s="53"/>
      <c r="H13" s="53"/>
      <c r="I13" s="53"/>
      <c r="J13" s="53"/>
      <c r="K13" s="53"/>
      <c r="L13" s="53"/>
      <c r="M13" s="53"/>
      <c r="N13" s="143"/>
      <c r="O13" s="143"/>
      <c r="P13" s="144"/>
      <c r="Q13" s="64"/>
      <c r="R13" s="64"/>
      <c r="S13" s="64"/>
      <c r="T13" s="64"/>
      <c r="U13" s="64"/>
      <c r="V13" s="64"/>
      <c r="W13" s="64"/>
      <c r="X13" s="64"/>
      <c r="Y13" s="64"/>
      <c r="Z13" s="64"/>
    </row>
    <row r="14" spans="1:26" ht="18" customHeight="1" x14ac:dyDescent="0.25">
      <c r="A14" s="83" t="s">
        <v>86</v>
      </c>
      <c r="B14" s="79" t="s">
        <v>87</v>
      </c>
      <c r="C14" s="79" t="s">
        <v>88</v>
      </c>
      <c r="D14" s="80" t="s">
        <v>89</v>
      </c>
      <c r="E14" s="86" t="s">
        <v>195</v>
      </c>
      <c r="F14" s="53"/>
      <c r="G14" s="53"/>
      <c r="H14" s="53"/>
      <c r="I14" s="53"/>
      <c r="J14" s="53"/>
      <c r="K14" s="53"/>
      <c r="L14" s="53"/>
      <c r="M14" s="53"/>
      <c r="N14" s="143"/>
      <c r="O14" s="143"/>
      <c r="P14" s="144"/>
      <c r="Q14" s="64"/>
      <c r="R14" s="64"/>
      <c r="S14" s="64"/>
      <c r="T14" s="64"/>
      <c r="U14" s="64"/>
      <c r="V14" s="64"/>
      <c r="W14" s="64"/>
      <c r="X14" s="64"/>
      <c r="Y14" s="64"/>
      <c r="Z14" s="64"/>
    </row>
    <row r="15" spans="1:26" ht="18" customHeight="1" x14ac:dyDescent="0.25">
      <c r="A15" s="84" t="str">
        <f>Settings!A3</f>
        <v>Paycheck</v>
      </c>
      <c r="B15" s="134"/>
      <c r="C15" s="134">
        <f>SUMIFS(TransactionsLog[Amount],TransactionsLog[Category],$A15,TransactionsLog[Date],"&gt;="&amp;PeriodStart,TransactionsLog[Date],"&lt;="&amp;PeriodEnd)</f>
        <v>0</v>
      </c>
      <c r="D15" s="76">
        <f t="shared" ref="D15:D20" si="0">C15-B15</f>
        <v>0</v>
      </c>
      <c r="E15" s="135"/>
      <c r="F15" s="53"/>
      <c r="G15" s="53"/>
      <c r="H15" s="53"/>
      <c r="I15" s="53"/>
      <c r="J15" s="53"/>
      <c r="K15" s="53"/>
      <c r="L15" s="53"/>
      <c r="M15" s="53"/>
      <c r="N15" s="143" t="s">
        <v>1</v>
      </c>
      <c r="O15" s="143" t="s">
        <v>88</v>
      </c>
      <c r="P15" s="144"/>
      <c r="Q15" s="64"/>
      <c r="R15" s="64"/>
      <c r="S15" s="64"/>
      <c r="T15" s="64"/>
      <c r="U15" s="64"/>
      <c r="V15" s="64"/>
      <c r="W15" s="64"/>
      <c r="X15" s="64"/>
      <c r="Y15" s="64"/>
      <c r="Z15" s="64"/>
    </row>
    <row r="16" spans="1:26" ht="18" customHeight="1" x14ac:dyDescent="0.25">
      <c r="A16" s="84" t="str">
        <f>Settings!A4</f>
        <v>Side Income</v>
      </c>
      <c r="B16" s="134">
        <v>0</v>
      </c>
      <c r="C16" s="134">
        <f>SUMIFS(TransactionsLog[Amount],TransactionsLog[Category],$A16,TransactionsLog[Date],"&gt;="&amp;PeriodStart,TransactionsLog[Date],"&lt;="&amp;PeriodEnd)</f>
        <v>0</v>
      </c>
      <c r="D16" s="76">
        <f t="shared" si="0"/>
        <v>0</v>
      </c>
      <c r="E16" s="135"/>
      <c r="F16" s="53"/>
      <c r="G16" s="53"/>
      <c r="H16" s="53"/>
      <c r="I16" s="53"/>
      <c r="J16" s="53"/>
      <c r="K16" s="53"/>
      <c r="L16" s="53"/>
      <c r="M16" s="53"/>
      <c r="N16" s="143" t="str">
        <f t="shared" ref="N16:N23" si="1">A36</f>
        <v>Groceries</v>
      </c>
      <c r="O16" s="146">
        <f t="shared" ref="O16:O23" si="2">C36</f>
        <v>0</v>
      </c>
      <c r="P16" s="144"/>
      <c r="Q16" s="64"/>
      <c r="R16" s="64"/>
      <c r="S16" s="64"/>
      <c r="T16" s="64"/>
      <c r="U16" s="64"/>
      <c r="V16" s="64"/>
      <c r="W16" s="64"/>
      <c r="X16" s="64"/>
      <c r="Y16" s="64"/>
      <c r="Z16" s="64"/>
    </row>
    <row r="17" spans="1:26" ht="18" customHeight="1" x14ac:dyDescent="0.25">
      <c r="A17" s="84" t="str">
        <f>Settings!A5</f>
        <v>Freelance Income</v>
      </c>
      <c r="B17" s="134">
        <v>0</v>
      </c>
      <c r="C17" s="134">
        <f>SUMIFS(TransactionsLog[Amount],TransactionsLog[Category],$A17,TransactionsLog[Date],"&gt;="&amp;PeriodStart,TransactionsLog[Date],"&lt;="&amp;PeriodEnd)</f>
        <v>0</v>
      </c>
      <c r="D17" s="76">
        <f t="shared" si="0"/>
        <v>0</v>
      </c>
      <c r="E17" s="135"/>
      <c r="F17" s="53"/>
      <c r="G17" s="53"/>
      <c r="H17" s="53"/>
      <c r="I17" s="53"/>
      <c r="J17" s="53"/>
      <c r="K17" s="53"/>
      <c r="L17" s="53"/>
      <c r="M17" s="53"/>
      <c r="N17" s="143" t="str">
        <f t="shared" si="1"/>
        <v>Dining Out</v>
      </c>
      <c r="O17" s="146">
        <f t="shared" si="2"/>
        <v>0</v>
      </c>
      <c r="P17" s="144"/>
      <c r="Q17" s="64"/>
      <c r="R17" s="64"/>
      <c r="S17" s="64"/>
      <c r="T17" s="64"/>
      <c r="U17" s="64"/>
      <c r="V17" s="64"/>
      <c r="W17" s="64"/>
      <c r="X17" s="64"/>
      <c r="Y17" s="64"/>
      <c r="Z17" s="64"/>
    </row>
    <row r="18" spans="1:26" ht="18" customHeight="1" x14ac:dyDescent="0.25">
      <c r="A18" s="84" t="str">
        <f>Settings!A6</f>
        <v>Bonus</v>
      </c>
      <c r="B18" s="134">
        <v>0</v>
      </c>
      <c r="C18" s="134">
        <f>SUMIFS(TransactionsLog[Amount],TransactionsLog[Category],$A18,TransactionsLog[Date],"&gt;="&amp;PeriodStart,TransactionsLog[Date],"&lt;="&amp;PeriodEnd)</f>
        <v>0</v>
      </c>
      <c r="D18" s="76">
        <f t="shared" si="0"/>
        <v>0</v>
      </c>
      <c r="E18" s="135"/>
      <c r="F18" s="53"/>
      <c r="G18" s="53"/>
      <c r="H18" s="53"/>
      <c r="I18" s="53"/>
      <c r="J18" s="53"/>
      <c r="K18" s="53"/>
      <c r="L18" s="53"/>
      <c r="M18" s="53"/>
      <c r="N18" s="143" t="str">
        <f t="shared" si="1"/>
        <v>Transportation</v>
      </c>
      <c r="O18" s="146">
        <f t="shared" si="2"/>
        <v>0</v>
      </c>
      <c r="P18" s="144"/>
      <c r="Q18" s="64"/>
      <c r="R18" s="64"/>
      <c r="S18" s="64"/>
      <c r="T18" s="64"/>
      <c r="U18" s="64"/>
      <c r="V18" s="64"/>
      <c r="W18" s="64"/>
      <c r="X18" s="64"/>
      <c r="Y18" s="64"/>
      <c r="Z18" s="64"/>
    </row>
    <row r="19" spans="1:26" ht="18" customHeight="1" x14ac:dyDescent="0.25">
      <c r="A19" s="84" t="str">
        <f>Settings!A7</f>
        <v>Other Income</v>
      </c>
      <c r="B19" s="134">
        <v>0</v>
      </c>
      <c r="C19" s="134">
        <f>SUMIFS(TransactionsLog[Amount],TransactionsLog[Category],$A19,TransactionsLog[Date],"&gt;="&amp;PeriodStart,TransactionsLog[Date],"&lt;="&amp;PeriodEnd)</f>
        <v>0</v>
      </c>
      <c r="D19" s="76">
        <f t="shared" si="0"/>
        <v>0</v>
      </c>
      <c r="E19" s="135"/>
      <c r="F19" s="53"/>
      <c r="G19" s="53"/>
      <c r="H19" s="53"/>
      <c r="I19" s="53"/>
      <c r="J19" s="53"/>
      <c r="K19" s="53"/>
      <c r="L19" s="53"/>
      <c r="M19" s="53"/>
      <c r="N19" s="143" t="str">
        <f t="shared" si="1"/>
        <v>Entertainment</v>
      </c>
      <c r="O19" s="146">
        <f t="shared" si="2"/>
        <v>0</v>
      </c>
      <c r="P19" s="144"/>
      <c r="Q19" s="64"/>
      <c r="R19" s="64"/>
      <c r="S19" s="64"/>
      <c r="T19" s="64"/>
      <c r="U19" s="64"/>
      <c r="V19" s="64"/>
      <c r="W19" s="64"/>
      <c r="X19" s="64"/>
      <c r="Y19" s="64"/>
      <c r="Z19" s="64"/>
    </row>
    <row r="20" spans="1:26" ht="18" customHeight="1" x14ac:dyDescent="0.25">
      <c r="A20" s="85" t="s">
        <v>90</v>
      </c>
      <c r="B20" s="81">
        <f>SUM(B15:B19)</f>
        <v>0</v>
      </c>
      <c r="C20" s="81">
        <f>SUM(C15:C19)</f>
        <v>0</v>
      </c>
      <c r="D20" s="82">
        <f t="shared" si="0"/>
        <v>0</v>
      </c>
      <c r="E20" s="87"/>
      <c r="F20" s="53"/>
      <c r="G20" s="53"/>
      <c r="H20" s="53"/>
      <c r="I20" s="53"/>
      <c r="J20" s="53"/>
      <c r="K20" s="53"/>
      <c r="L20" s="53"/>
      <c r="M20" s="53"/>
      <c r="N20" s="143" t="str">
        <f t="shared" si="1"/>
        <v>Shopping</v>
      </c>
      <c r="O20" s="146">
        <f t="shared" si="2"/>
        <v>0</v>
      </c>
      <c r="P20" s="144"/>
      <c r="Q20" s="64"/>
      <c r="R20" s="64"/>
      <c r="S20" s="64"/>
      <c r="T20" s="64"/>
      <c r="U20" s="64"/>
      <c r="V20" s="64"/>
      <c r="W20" s="64"/>
      <c r="X20" s="64"/>
      <c r="Y20" s="64"/>
      <c r="Z20" s="64"/>
    </row>
    <row r="21" spans="1:26" x14ac:dyDescent="0.25">
      <c r="A21" s="53"/>
      <c r="B21" s="53"/>
      <c r="C21" s="53"/>
      <c r="D21" s="53"/>
      <c r="E21" s="53"/>
      <c r="F21" s="53"/>
      <c r="G21" s="53"/>
      <c r="H21" s="53"/>
      <c r="I21" s="53"/>
      <c r="J21" s="53"/>
      <c r="K21" s="53"/>
      <c r="L21" s="53"/>
      <c r="M21" s="53"/>
      <c r="N21" s="143" t="str">
        <f t="shared" si="1"/>
        <v>Personal Care</v>
      </c>
      <c r="O21" s="146">
        <f t="shared" si="2"/>
        <v>0</v>
      </c>
      <c r="P21" s="144"/>
      <c r="Q21" s="64"/>
      <c r="R21" s="64"/>
      <c r="S21" s="64"/>
      <c r="T21" s="64"/>
      <c r="U21" s="64"/>
      <c r="V21" s="64"/>
      <c r="W21" s="64"/>
      <c r="X21" s="64"/>
      <c r="Y21" s="64"/>
      <c r="Z21" s="64"/>
    </row>
    <row r="22" spans="1:26" x14ac:dyDescent="0.25">
      <c r="A22" s="53"/>
      <c r="B22" s="53"/>
      <c r="C22" s="53"/>
      <c r="D22" s="53"/>
      <c r="E22" s="53"/>
      <c r="F22" s="53"/>
      <c r="G22" s="53"/>
      <c r="H22" s="53"/>
      <c r="I22" s="53"/>
      <c r="J22" s="53"/>
      <c r="K22" s="53"/>
      <c r="L22" s="53"/>
      <c r="M22" s="53"/>
      <c r="N22" s="143" t="str">
        <f t="shared" si="1"/>
        <v>Household Supplies</v>
      </c>
      <c r="O22" s="146">
        <f t="shared" si="2"/>
        <v>0</v>
      </c>
      <c r="P22" s="144"/>
      <c r="Q22" s="64"/>
      <c r="R22" s="64"/>
      <c r="S22" s="64"/>
      <c r="T22" s="64"/>
      <c r="U22" s="64"/>
      <c r="V22" s="64"/>
      <c r="W22" s="64"/>
      <c r="X22" s="64"/>
      <c r="Y22" s="64"/>
      <c r="Z22" s="64"/>
    </row>
    <row r="23" spans="1:26" ht="18" customHeight="1" x14ac:dyDescent="0.25">
      <c r="A23" s="92" t="s">
        <v>91</v>
      </c>
      <c r="B23" s="88" t="s">
        <v>87</v>
      </c>
      <c r="C23" s="88" t="s">
        <v>88</v>
      </c>
      <c r="D23" s="89" t="s">
        <v>92</v>
      </c>
      <c r="E23" s="95" t="s">
        <v>195</v>
      </c>
      <c r="F23" s="53"/>
      <c r="G23" s="53"/>
      <c r="H23" s="53"/>
      <c r="I23" s="53"/>
      <c r="J23" s="53"/>
      <c r="K23" s="53"/>
      <c r="L23" s="53"/>
      <c r="M23" s="53"/>
      <c r="N23" s="143" t="str">
        <f t="shared" si="1"/>
        <v>Miscellaneous</v>
      </c>
      <c r="O23" s="146">
        <f t="shared" si="2"/>
        <v>0</v>
      </c>
      <c r="P23" s="144"/>
      <c r="Q23" s="64"/>
      <c r="R23" s="64"/>
      <c r="S23" s="64"/>
      <c r="T23" s="64"/>
      <c r="U23" s="64"/>
      <c r="V23" s="64"/>
      <c r="W23" s="64"/>
      <c r="X23" s="64"/>
      <c r="Y23" s="64"/>
      <c r="Z23" s="64"/>
    </row>
    <row r="24" spans="1:26" ht="18" customHeight="1" x14ac:dyDescent="0.25">
      <c r="A24" s="93" t="str">
        <f>Settings!A8</f>
        <v>Rent or Mortgage</v>
      </c>
      <c r="B24" s="134">
        <v>0</v>
      </c>
      <c r="C24" s="134">
        <f>SUMIFS(TransactionsLog[Amount],TransactionsLog[Category],$A24,TransactionsLog[Date],"&gt;="&amp;PeriodStart,TransactionsLog[Date],"&lt;="&amp;PeriodEnd)</f>
        <v>0</v>
      </c>
      <c r="D24" s="76">
        <f>B24-C24</f>
        <v>0</v>
      </c>
      <c r="E24" s="136"/>
      <c r="F24" s="53"/>
      <c r="G24" s="53"/>
      <c r="H24" s="53"/>
      <c r="I24" s="53"/>
      <c r="J24" s="53"/>
      <c r="K24" s="53"/>
      <c r="L24" s="53"/>
      <c r="M24" s="53"/>
      <c r="N24" s="143"/>
      <c r="O24" s="143"/>
      <c r="P24" s="144"/>
      <c r="Q24" s="64"/>
      <c r="R24" s="64"/>
      <c r="S24" s="64"/>
      <c r="T24" s="64"/>
      <c r="U24" s="64"/>
      <c r="V24" s="64"/>
      <c r="W24" s="64"/>
      <c r="X24" s="64"/>
      <c r="Y24" s="64"/>
      <c r="Z24" s="64"/>
    </row>
    <row r="25" spans="1:26" ht="18" customHeight="1" x14ac:dyDescent="0.25">
      <c r="A25" s="93" t="str">
        <f>Settings!A9</f>
        <v>Electricity</v>
      </c>
      <c r="B25" s="134">
        <v>0</v>
      </c>
      <c r="C25" s="134">
        <f>SUMIFS(TransactionsLog[Amount],TransactionsLog[Category],$A25,TransactionsLog[Date],"&gt;="&amp;PeriodStart,TransactionsLog[Date],"&lt;="&amp;PeriodEnd)</f>
        <v>0</v>
      </c>
      <c r="D25" s="76">
        <f t="shared" ref="D25:D30" si="3">B25-C25</f>
        <v>0</v>
      </c>
      <c r="E25" s="136"/>
      <c r="F25" s="53"/>
      <c r="G25" s="53"/>
      <c r="H25" s="53"/>
      <c r="I25" s="53"/>
      <c r="J25" s="53"/>
      <c r="K25" s="53"/>
      <c r="L25" s="53"/>
      <c r="M25" s="53"/>
      <c r="N25" s="143"/>
      <c r="O25" s="143"/>
      <c r="P25" s="144"/>
      <c r="Q25" s="64"/>
      <c r="R25" s="64"/>
      <c r="S25" s="64"/>
      <c r="T25" s="64"/>
      <c r="U25" s="64"/>
      <c r="V25" s="64"/>
      <c r="W25" s="64"/>
      <c r="X25" s="64"/>
      <c r="Y25" s="64"/>
      <c r="Z25" s="64"/>
    </row>
    <row r="26" spans="1:26" ht="18" customHeight="1" x14ac:dyDescent="0.25">
      <c r="A26" s="93" t="str">
        <f>Settings!A10</f>
        <v>Water</v>
      </c>
      <c r="B26" s="134">
        <v>0</v>
      </c>
      <c r="C26" s="134">
        <f>SUMIFS(TransactionsLog[Amount],TransactionsLog[Category],$A26,TransactionsLog[Date],"&gt;="&amp;PeriodStart,TransactionsLog[Date],"&lt;="&amp;PeriodEnd)</f>
        <v>0</v>
      </c>
      <c r="D26" s="76">
        <f t="shared" si="3"/>
        <v>0</v>
      </c>
      <c r="E26" s="136"/>
      <c r="F26" s="53"/>
      <c r="G26" s="53"/>
      <c r="H26" s="53"/>
      <c r="I26" s="53"/>
      <c r="J26" s="53"/>
      <c r="K26" s="53"/>
      <c r="L26" s="53"/>
      <c r="M26" s="53"/>
      <c r="N26" s="147" t="s">
        <v>1</v>
      </c>
      <c r="O26" s="147" t="s">
        <v>87</v>
      </c>
      <c r="P26" s="147" t="s">
        <v>88</v>
      </c>
      <c r="Q26" s="64"/>
      <c r="R26" s="64"/>
      <c r="S26" s="64"/>
      <c r="T26" s="64"/>
      <c r="U26" s="64"/>
      <c r="V26" s="64"/>
      <c r="W26" s="64"/>
      <c r="X26" s="64"/>
      <c r="Y26" s="64"/>
      <c r="Z26" s="64"/>
    </row>
    <row r="27" spans="1:26" ht="18" customHeight="1" x14ac:dyDescent="0.25">
      <c r="A27" s="93" t="str">
        <f>Settings!A11</f>
        <v>Internet</v>
      </c>
      <c r="B27" s="134">
        <v>0</v>
      </c>
      <c r="C27" s="134">
        <f>SUMIFS(TransactionsLog[Amount],TransactionsLog[Category],$A27,TransactionsLog[Date],"&gt;="&amp;PeriodStart,TransactionsLog[Date],"&lt;="&amp;PeriodEnd)</f>
        <v>0</v>
      </c>
      <c r="D27" s="76">
        <f t="shared" si="3"/>
        <v>0</v>
      </c>
      <c r="E27" s="136"/>
      <c r="F27" s="53"/>
      <c r="G27" s="53"/>
      <c r="H27" s="53"/>
      <c r="I27" s="53"/>
      <c r="J27" s="53"/>
      <c r="K27" s="53"/>
      <c r="L27" s="53"/>
      <c r="M27" s="53"/>
      <c r="N27" s="147" t="s">
        <v>4</v>
      </c>
      <c r="O27" s="147">
        <f>B20</f>
        <v>0</v>
      </c>
      <c r="P27" s="147">
        <f>C20</f>
        <v>0</v>
      </c>
      <c r="Q27" s="64"/>
      <c r="R27" s="64"/>
      <c r="S27" s="64"/>
      <c r="T27" s="64"/>
      <c r="U27" s="64"/>
      <c r="V27" s="64"/>
      <c r="W27" s="64"/>
      <c r="X27" s="64"/>
      <c r="Y27" s="64"/>
      <c r="Z27" s="64"/>
    </row>
    <row r="28" spans="1:26" ht="18" customHeight="1" x14ac:dyDescent="0.25">
      <c r="A28" s="93" t="str">
        <f>Settings!A12</f>
        <v>Phone</v>
      </c>
      <c r="B28" s="134">
        <v>0</v>
      </c>
      <c r="C28" s="134">
        <f>SUMIFS(TransactionsLog[Amount],TransactionsLog[Category],$A28,TransactionsLog[Date],"&gt;="&amp;PeriodStart,TransactionsLog[Date],"&lt;="&amp;PeriodEnd)</f>
        <v>0</v>
      </c>
      <c r="D28" s="76">
        <f t="shared" si="3"/>
        <v>0</v>
      </c>
      <c r="E28" s="136"/>
      <c r="F28" s="53"/>
      <c r="G28" s="53"/>
      <c r="H28" s="53"/>
      <c r="I28" s="53"/>
      <c r="J28" s="53"/>
      <c r="K28" s="53"/>
      <c r="L28" s="53"/>
      <c r="M28" s="53"/>
      <c r="N28" s="147" t="s">
        <v>82</v>
      </c>
      <c r="O28" s="147">
        <f>B32</f>
        <v>0</v>
      </c>
      <c r="P28" s="147">
        <f>C32</f>
        <v>0</v>
      </c>
      <c r="Q28" s="64"/>
      <c r="R28" s="64"/>
      <c r="S28" s="64"/>
      <c r="T28" s="64"/>
      <c r="U28" s="64"/>
      <c r="V28" s="64"/>
      <c r="W28" s="64"/>
      <c r="X28" s="64"/>
      <c r="Y28" s="64"/>
      <c r="Z28" s="64"/>
    </row>
    <row r="29" spans="1:26" ht="18" customHeight="1" x14ac:dyDescent="0.25">
      <c r="A29" s="93" t="str">
        <f>Settings!A13</f>
        <v>Car Payment</v>
      </c>
      <c r="B29" s="134">
        <v>0</v>
      </c>
      <c r="C29" s="134">
        <f>SUMIFS(TransactionsLog[Amount],TransactionsLog[Category],$A29,TransactionsLog[Date],"&gt;="&amp;PeriodStart,TransactionsLog[Date],"&lt;="&amp;PeriodEnd)</f>
        <v>0</v>
      </c>
      <c r="D29" s="76">
        <f t="shared" si="3"/>
        <v>0</v>
      </c>
      <c r="E29" s="136"/>
      <c r="F29" s="53"/>
      <c r="G29" s="53"/>
      <c r="H29" s="53"/>
      <c r="I29" s="53"/>
      <c r="J29" s="53"/>
      <c r="K29" s="53"/>
      <c r="L29" s="53"/>
      <c r="M29" s="53"/>
      <c r="N29" s="147" t="s">
        <v>83</v>
      </c>
      <c r="O29" s="147">
        <f>B44</f>
        <v>0</v>
      </c>
      <c r="P29" s="147">
        <f>C44</f>
        <v>0</v>
      </c>
      <c r="Q29" s="64"/>
      <c r="R29" s="64"/>
      <c r="S29" s="64"/>
      <c r="T29" s="64"/>
      <c r="U29" s="64"/>
      <c r="V29" s="64"/>
      <c r="W29" s="64"/>
      <c r="X29" s="64"/>
      <c r="Y29" s="64"/>
      <c r="Z29" s="64"/>
    </row>
    <row r="30" spans="1:26" ht="18" customHeight="1" x14ac:dyDescent="0.25">
      <c r="A30" s="93" t="str">
        <f>Settings!A14</f>
        <v>Insurance</v>
      </c>
      <c r="B30" s="134">
        <v>0</v>
      </c>
      <c r="C30" s="134">
        <f>SUMIFS(TransactionsLog[Amount],TransactionsLog[Category],$A30,TransactionsLog[Date],"&gt;="&amp;PeriodStart,TransactionsLog[Date],"&lt;="&amp;PeriodEnd)</f>
        <v>0</v>
      </c>
      <c r="D30" s="76">
        <f t="shared" si="3"/>
        <v>0</v>
      </c>
      <c r="E30" s="136"/>
      <c r="F30" s="53"/>
      <c r="G30" s="53"/>
      <c r="H30" s="53"/>
      <c r="I30" s="53"/>
      <c r="J30" s="53"/>
      <c r="K30" s="53"/>
      <c r="L30" s="53"/>
      <c r="M30" s="53"/>
      <c r="N30" s="147" t="s">
        <v>84</v>
      </c>
      <c r="O30" s="147">
        <f>B53</f>
        <v>0</v>
      </c>
      <c r="P30" s="147">
        <f>C53</f>
        <v>0</v>
      </c>
      <c r="Q30" s="64"/>
      <c r="R30" s="64"/>
      <c r="S30" s="64"/>
      <c r="T30" s="64"/>
      <c r="U30" s="64"/>
      <c r="V30" s="64"/>
      <c r="W30" s="64"/>
      <c r="X30" s="64"/>
      <c r="Y30" s="64"/>
      <c r="Z30" s="64"/>
    </row>
    <row r="31" spans="1:26" ht="18" customHeight="1" x14ac:dyDescent="0.25">
      <c r="A31" s="93" t="str">
        <f>Settings!A15</f>
        <v>Subscriptions</v>
      </c>
      <c r="B31" s="134">
        <v>0</v>
      </c>
      <c r="C31" s="134">
        <f>'Subscription Tracker'!$C$4</f>
        <v>0</v>
      </c>
      <c r="D31" s="76">
        <f>B31-C31</f>
        <v>0</v>
      </c>
      <c r="E31" s="137"/>
      <c r="F31" s="53"/>
      <c r="G31" s="53"/>
      <c r="H31" s="53"/>
      <c r="I31" s="53"/>
      <c r="J31" s="53"/>
      <c r="K31" s="53"/>
      <c r="L31" s="53"/>
      <c r="M31" s="53"/>
      <c r="N31" s="147" t="s">
        <v>34</v>
      </c>
      <c r="O31" s="147">
        <f>B61</f>
        <v>0</v>
      </c>
      <c r="P31" s="147">
        <f>C61</f>
        <v>0</v>
      </c>
      <c r="Q31" s="64"/>
      <c r="R31" s="64"/>
      <c r="S31" s="64"/>
      <c r="T31" s="64"/>
      <c r="U31" s="64"/>
      <c r="V31" s="64"/>
      <c r="W31" s="64"/>
      <c r="X31" s="64"/>
      <c r="Y31" s="64"/>
      <c r="Z31" s="64"/>
    </row>
    <row r="32" spans="1:26" ht="18" customHeight="1" x14ac:dyDescent="0.25">
      <c r="A32" s="94" t="s">
        <v>93</v>
      </c>
      <c r="B32" s="90">
        <f>SUM(B24:B31)</f>
        <v>0</v>
      </c>
      <c r="C32" s="90">
        <f>SUM(C24:C31)</f>
        <v>0</v>
      </c>
      <c r="D32" s="91">
        <f>B32-C32</f>
        <v>0</v>
      </c>
      <c r="E32" s="96"/>
      <c r="F32" s="53"/>
      <c r="G32" s="53"/>
      <c r="H32" s="53"/>
      <c r="I32" s="53"/>
      <c r="J32" s="53"/>
      <c r="K32" s="53"/>
      <c r="L32" s="53"/>
      <c r="M32" s="53"/>
      <c r="N32" s="143"/>
      <c r="O32" s="143"/>
      <c r="P32" s="144"/>
      <c r="Q32" s="64"/>
      <c r="R32" s="64"/>
      <c r="S32" s="64"/>
      <c r="T32" s="64"/>
      <c r="U32" s="64"/>
      <c r="V32" s="64"/>
      <c r="W32" s="64"/>
      <c r="X32" s="64"/>
      <c r="Y32" s="64"/>
      <c r="Z32" s="64"/>
    </row>
    <row r="33" spans="1:26" x14ac:dyDescent="0.25">
      <c r="A33" s="53"/>
      <c r="B33" s="53"/>
      <c r="C33" s="53"/>
      <c r="D33" s="53"/>
      <c r="E33" s="53"/>
      <c r="F33" s="53"/>
      <c r="G33" s="53"/>
      <c r="H33" s="53"/>
      <c r="I33" s="53"/>
      <c r="J33" s="53"/>
      <c r="K33" s="53"/>
      <c r="L33" s="53"/>
      <c r="M33" s="53"/>
      <c r="N33" s="143"/>
      <c r="O33" s="143"/>
      <c r="P33" s="144"/>
      <c r="Q33" s="64"/>
      <c r="R33" s="64"/>
      <c r="S33" s="64"/>
      <c r="T33" s="64"/>
      <c r="U33" s="64"/>
      <c r="V33" s="64"/>
      <c r="W33" s="64"/>
      <c r="X33" s="64"/>
      <c r="Y33" s="64"/>
      <c r="Z33" s="64"/>
    </row>
    <row r="34" spans="1:26" x14ac:dyDescent="0.25">
      <c r="A34" s="53"/>
      <c r="B34" s="53"/>
      <c r="C34" s="53"/>
      <c r="D34" s="53"/>
      <c r="E34" s="53"/>
      <c r="F34" s="53"/>
      <c r="G34" s="53"/>
      <c r="H34" s="53"/>
      <c r="I34" s="53"/>
      <c r="J34" s="53"/>
      <c r="K34" s="53"/>
      <c r="L34" s="53"/>
      <c r="M34" s="53"/>
      <c r="N34" s="143"/>
      <c r="O34" s="143"/>
      <c r="P34" s="144"/>
      <c r="Q34" s="64"/>
      <c r="R34" s="64"/>
      <c r="S34" s="64"/>
      <c r="T34" s="64"/>
      <c r="U34" s="64"/>
      <c r="V34" s="64"/>
      <c r="W34" s="64"/>
      <c r="X34" s="64"/>
      <c r="Y34" s="64"/>
      <c r="Z34" s="64"/>
    </row>
    <row r="35" spans="1:26" ht="18" customHeight="1" x14ac:dyDescent="0.25">
      <c r="A35" s="101" t="s">
        <v>94</v>
      </c>
      <c r="B35" s="97" t="s">
        <v>87</v>
      </c>
      <c r="C35" s="97" t="s">
        <v>88</v>
      </c>
      <c r="D35" s="98" t="s">
        <v>92</v>
      </c>
      <c r="E35" s="104" t="s">
        <v>195</v>
      </c>
      <c r="F35" s="53"/>
      <c r="G35" s="53"/>
      <c r="H35" s="53"/>
      <c r="I35" s="53"/>
      <c r="J35" s="53"/>
      <c r="K35" s="53"/>
      <c r="L35" s="53"/>
      <c r="M35" s="53"/>
      <c r="N35" s="143"/>
      <c r="O35" s="143"/>
      <c r="P35" s="144"/>
      <c r="Q35" s="64"/>
      <c r="R35" s="64"/>
      <c r="S35" s="64"/>
      <c r="T35" s="64"/>
      <c r="U35" s="64"/>
      <c r="V35" s="64"/>
      <c r="W35" s="64"/>
      <c r="X35" s="64"/>
      <c r="Y35" s="64"/>
      <c r="Z35" s="64"/>
    </row>
    <row r="36" spans="1:26" ht="18" customHeight="1" x14ac:dyDescent="0.25">
      <c r="A36" s="102" t="str">
        <f>Settings!A16</f>
        <v>Groceries</v>
      </c>
      <c r="B36" s="134">
        <v>0</v>
      </c>
      <c r="C36" s="134">
        <f>SUMIFS(TransactionsLog[Amount],TransactionsLog[Category],$A36,TransactionsLog[Date],"&gt;="&amp;PeriodStart,TransactionsLog[Date],"&lt;="&amp;PeriodEnd)</f>
        <v>0</v>
      </c>
      <c r="D36" s="76">
        <f>B36-C36</f>
        <v>0</v>
      </c>
      <c r="E36" s="138"/>
      <c r="F36" s="53"/>
      <c r="G36" s="53"/>
      <c r="H36" s="53"/>
      <c r="I36" s="53"/>
      <c r="J36" s="53"/>
      <c r="K36" s="53"/>
      <c r="L36" s="53"/>
      <c r="M36" s="53"/>
      <c r="N36" s="143"/>
      <c r="O36" s="143"/>
      <c r="P36" s="144"/>
      <c r="Q36" s="64"/>
      <c r="R36" s="64"/>
      <c r="S36" s="64"/>
      <c r="T36" s="64"/>
      <c r="U36" s="64"/>
      <c r="V36" s="64"/>
      <c r="W36" s="64"/>
      <c r="X36" s="64"/>
      <c r="Y36" s="64"/>
      <c r="Z36" s="64"/>
    </row>
    <row r="37" spans="1:26" ht="18" customHeight="1" x14ac:dyDescent="0.25">
      <c r="A37" s="102" t="str">
        <f>Settings!A17</f>
        <v>Dining Out</v>
      </c>
      <c r="B37" s="134">
        <v>0</v>
      </c>
      <c r="C37" s="134">
        <f>SUMIFS(TransactionsLog[Amount],TransactionsLog[Category],$A37,TransactionsLog[Date],"&gt;="&amp;PeriodStart,TransactionsLog[Date],"&lt;="&amp;PeriodEnd)</f>
        <v>0</v>
      </c>
      <c r="D37" s="76">
        <f t="shared" ref="D37:D43" si="4">B37-C37</f>
        <v>0</v>
      </c>
      <c r="E37" s="138"/>
      <c r="F37" s="53"/>
      <c r="G37" s="53"/>
      <c r="H37" s="53"/>
      <c r="I37" s="53"/>
      <c r="J37" s="53"/>
      <c r="K37" s="53"/>
      <c r="L37" s="53"/>
      <c r="M37" s="53"/>
      <c r="N37" s="143"/>
      <c r="O37" s="143"/>
      <c r="P37" s="144"/>
      <c r="Q37" s="64"/>
      <c r="R37" s="64"/>
      <c r="S37" s="64"/>
      <c r="T37" s="64"/>
      <c r="U37" s="64"/>
      <c r="V37" s="64"/>
      <c r="W37" s="64"/>
      <c r="X37" s="64"/>
      <c r="Y37" s="64"/>
      <c r="Z37" s="64"/>
    </row>
    <row r="38" spans="1:26" ht="18" customHeight="1" x14ac:dyDescent="0.25">
      <c r="A38" s="102" t="str">
        <f>Settings!A18</f>
        <v>Transportation</v>
      </c>
      <c r="B38" s="134">
        <v>0</v>
      </c>
      <c r="C38" s="134">
        <f>SUMIFS(TransactionsLog[Amount],TransactionsLog[Category],$A38,TransactionsLog[Date],"&gt;="&amp;PeriodStart,TransactionsLog[Date],"&lt;="&amp;PeriodEnd)</f>
        <v>0</v>
      </c>
      <c r="D38" s="76">
        <f t="shared" si="4"/>
        <v>0</v>
      </c>
      <c r="E38" s="138"/>
      <c r="F38" s="53"/>
      <c r="G38" s="53"/>
      <c r="H38" s="53"/>
      <c r="I38" s="53"/>
      <c r="J38" s="53"/>
      <c r="K38" s="53"/>
      <c r="L38" s="53"/>
      <c r="M38" s="53"/>
      <c r="N38" s="143"/>
      <c r="O38" s="143"/>
      <c r="P38" s="144"/>
      <c r="Q38" s="64"/>
      <c r="R38" s="64"/>
      <c r="S38" s="64"/>
      <c r="T38" s="64"/>
      <c r="U38" s="64"/>
      <c r="V38" s="64"/>
      <c r="W38" s="64"/>
      <c r="X38" s="64"/>
      <c r="Y38" s="64"/>
      <c r="Z38" s="64"/>
    </row>
    <row r="39" spans="1:26" ht="18" customHeight="1" x14ac:dyDescent="0.25">
      <c r="A39" s="102" t="str">
        <f>Settings!A19</f>
        <v>Entertainment</v>
      </c>
      <c r="B39" s="134">
        <v>0</v>
      </c>
      <c r="C39" s="134">
        <f>SUMIFS(TransactionsLog[Amount],TransactionsLog[Category],$A39,TransactionsLog[Date],"&gt;="&amp;PeriodStart,TransactionsLog[Date],"&lt;="&amp;PeriodEnd)</f>
        <v>0</v>
      </c>
      <c r="D39" s="76">
        <f t="shared" si="4"/>
        <v>0</v>
      </c>
      <c r="E39" s="138"/>
      <c r="F39" s="53"/>
      <c r="G39" s="53"/>
      <c r="H39" s="53"/>
      <c r="I39" s="53"/>
      <c r="J39" s="53"/>
      <c r="K39" s="53"/>
      <c r="L39" s="53"/>
      <c r="M39" s="53"/>
      <c r="N39" s="143"/>
      <c r="O39" s="143"/>
      <c r="P39" s="144"/>
      <c r="Q39" s="64"/>
      <c r="R39" s="64"/>
      <c r="S39" s="64"/>
      <c r="T39" s="64"/>
      <c r="U39" s="64"/>
      <c r="V39" s="64"/>
      <c r="W39" s="64"/>
      <c r="X39" s="64"/>
      <c r="Y39" s="64"/>
      <c r="Z39" s="64"/>
    </row>
    <row r="40" spans="1:26" ht="18" customHeight="1" x14ac:dyDescent="0.25">
      <c r="A40" s="102" t="str">
        <f>Settings!A20</f>
        <v>Shopping</v>
      </c>
      <c r="B40" s="134">
        <v>0</v>
      </c>
      <c r="C40" s="134">
        <f>SUMIFS(TransactionsLog[Amount],TransactionsLog[Category],$A40,TransactionsLog[Date],"&gt;="&amp;PeriodStart,TransactionsLog[Date],"&lt;="&amp;PeriodEnd)</f>
        <v>0</v>
      </c>
      <c r="D40" s="76">
        <f t="shared" si="4"/>
        <v>0</v>
      </c>
      <c r="E40" s="138"/>
      <c r="F40" s="53"/>
      <c r="G40" s="53"/>
      <c r="H40" s="53"/>
      <c r="I40" s="53"/>
      <c r="J40" s="53"/>
      <c r="K40" s="53"/>
      <c r="L40" s="53"/>
      <c r="M40" s="53"/>
      <c r="N40" s="143"/>
      <c r="O40" s="143"/>
      <c r="P40" s="144"/>
      <c r="Q40" s="64"/>
      <c r="R40" s="64"/>
      <c r="S40" s="64"/>
      <c r="T40" s="64"/>
      <c r="U40" s="64"/>
      <c r="V40" s="64"/>
      <c r="W40" s="64"/>
      <c r="X40" s="64"/>
      <c r="Y40" s="64"/>
      <c r="Z40" s="64"/>
    </row>
    <row r="41" spans="1:26" ht="18" customHeight="1" x14ac:dyDescent="0.25">
      <c r="A41" s="102" t="str">
        <f>Settings!A21</f>
        <v>Personal Care</v>
      </c>
      <c r="B41" s="134">
        <v>0</v>
      </c>
      <c r="C41" s="134">
        <f>SUMIFS(TransactionsLog[Amount],TransactionsLog[Category],$A41,TransactionsLog[Date],"&gt;="&amp;PeriodStart,TransactionsLog[Date],"&lt;="&amp;PeriodEnd)</f>
        <v>0</v>
      </c>
      <c r="D41" s="76">
        <f t="shared" si="4"/>
        <v>0</v>
      </c>
      <c r="E41" s="138"/>
      <c r="F41" s="53"/>
      <c r="G41" s="53"/>
      <c r="H41" s="53"/>
      <c r="I41" s="53"/>
      <c r="J41" s="53"/>
      <c r="K41" s="53"/>
      <c r="L41" s="53"/>
      <c r="M41" s="53"/>
      <c r="N41" s="54"/>
      <c r="O41" s="54"/>
      <c r="P41" s="53"/>
      <c r="Q41" s="64"/>
      <c r="R41" s="64"/>
      <c r="S41" s="64"/>
      <c r="T41" s="64"/>
      <c r="U41" s="64"/>
      <c r="V41" s="64"/>
      <c r="W41" s="64"/>
      <c r="X41" s="64"/>
      <c r="Y41" s="64"/>
      <c r="Z41" s="64"/>
    </row>
    <row r="42" spans="1:26" ht="18" customHeight="1" x14ac:dyDescent="0.25">
      <c r="A42" s="102" t="str">
        <f>Settings!A22</f>
        <v>Household Supplies</v>
      </c>
      <c r="B42" s="134">
        <v>0</v>
      </c>
      <c r="C42" s="134">
        <f>SUMIFS(TransactionsLog[Amount],TransactionsLog[Category],$A42,TransactionsLog[Date],"&gt;="&amp;PeriodStart,TransactionsLog[Date],"&lt;="&amp;PeriodEnd)</f>
        <v>0</v>
      </c>
      <c r="D42" s="76">
        <f t="shared" si="4"/>
        <v>0</v>
      </c>
      <c r="E42" s="138"/>
      <c r="F42" s="53"/>
      <c r="G42" s="53"/>
      <c r="H42" s="53"/>
      <c r="I42" s="53"/>
      <c r="J42" s="53"/>
      <c r="K42" s="53"/>
      <c r="L42" s="53"/>
      <c r="M42" s="53"/>
      <c r="N42" s="54"/>
      <c r="O42" s="54"/>
      <c r="P42" s="53"/>
      <c r="Q42" s="64"/>
      <c r="R42" s="64"/>
      <c r="S42" s="64"/>
      <c r="T42" s="64"/>
      <c r="U42" s="64"/>
      <c r="V42" s="64"/>
      <c r="W42" s="64"/>
      <c r="X42" s="64"/>
      <c r="Y42" s="64"/>
      <c r="Z42" s="64"/>
    </row>
    <row r="43" spans="1:26" ht="18" customHeight="1" x14ac:dyDescent="0.25">
      <c r="A43" s="102" t="str">
        <f>Settings!A23</f>
        <v>Miscellaneous</v>
      </c>
      <c r="B43" s="134">
        <v>0</v>
      </c>
      <c r="C43" s="134">
        <f>SUMIFS(TransactionsLog[Amount],TransactionsLog[Category],$A43,TransactionsLog[Date],"&gt;="&amp;PeriodStart,TransactionsLog[Date],"&lt;="&amp;PeriodEnd)</f>
        <v>0</v>
      </c>
      <c r="D43" s="76">
        <f t="shared" si="4"/>
        <v>0</v>
      </c>
      <c r="E43" s="138"/>
      <c r="F43" s="53"/>
      <c r="G43" s="53"/>
      <c r="H43" s="53"/>
      <c r="I43" s="53"/>
      <c r="J43" s="53"/>
      <c r="K43" s="53"/>
      <c r="L43" s="53"/>
      <c r="M43" s="53"/>
      <c r="N43" s="54"/>
      <c r="O43" s="54"/>
      <c r="P43" s="53"/>
      <c r="Q43" s="64"/>
      <c r="R43" s="64"/>
      <c r="S43" s="64"/>
      <c r="T43" s="64"/>
      <c r="U43" s="64"/>
      <c r="V43" s="64"/>
      <c r="W43" s="64"/>
      <c r="X43" s="64"/>
      <c r="Y43" s="64"/>
      <c r="Z43" s="64"/>
    </row>
    <row r="44" spans="1:26" ht="18" customHeight="1" x14ac:dyDescent="0.25">
      <c r="A44" s="103" t="s">
        <v>95</v>
      </c>
      <c r="B44" s="99">
        <f>SUM(B36:B43)</f>
        <v>0</v>
      </c>
      <c r="C44" s="99">
        <f>SUM(C36:C43)</f>
        <v>0</v>
      </c>
      <c r="D44" s="100">
        <f>B44-C44</f>
        <v>0</v>
      </c>
      <c r="E44" s="105"/>
      <c r="F44" s="53"/>
      <c r="G44" s="53"/>
      <c r="H44" s="53"/>
      <c r="I44" s="53"/>
      <c r="J44" s="53"/>
      <c r="K44" s="53"/>
      <c r="L44" s="53"/>
      <c r="M44" s="53"/>
      <c r="N44" s="54"/>
      <c r="O44" s="54"/>
      <c r="P44" s="53"/>
      <c r="Q44" s="64"/>
      <c r="R44" s="64"/>
      <c r="S44" s="64"/>
      <c r="T44" s="64"/>
      <c r="U44" s="64"/>
      <c r="V44" s="64"/>
      <c r="W44" s="64"/>
      <c r="X44" s="64"/>
      <c r="Y44" s="64"/>
      <c r="Z44" s="64"/>
    </row>
    <row r="45" spans="1:26" x14ac:dyDescent="0.25">
      <c r="A45" s="53"/>
      <c r="B45" s="53"/>
      <c r="C45" s="53"/>
      <c r="D45" s="53"/>
      <c r="E45" s="53"/>
      <c r="F45" s="53"/>
      <c r="G45" s="53"/>
      <c r="H45" s="53"/>
      <c r="I45" s="53"/>
      <c r="J45" s="53"/>
      <c r="K45" s="53"/>
      <c r="L45" s="53"/>
      <c r="M45" s="53"/>
      <c r="N45" s="54"/>
      <c r="O45" s="54"/>
      <c r="P45" s="53"/>
      <c r="Q45" s="64"/>
      <c r="R45" s="64"/>
      <c r="S45" s="64"/>
      <c r="T45" s="64"/>
      <c r="U45" s="64"/>
      <c r="V45" s="64"/>
      <c r="W45" s="64"/>
      <c r="X45" s="64"/>
      <c r="Y45" s="64"/>
      <c r="Z45" s="64"/>
    </row>
    <row r="46" spans="1:26" x14ac:dyDescent="0.25">
      <c r="A46" s="53"/>
      <c r="B46" s="53"/>
      <c r="C46" s="53"/>
      <c r="D46" s="53"/>
      <c r="E46" s="53"/>
      <c r="F46" s="53"/>
      <c r="G46" s="53"/>
      <c r="H46" s="53"/>
      <c r="I46" s="53"/>
      <c r="J46" s="53"/>
      <c r="K46" s="53"/>
      <c r="L46" s="53"/>
      <c r="M46" s="53"/>
      <c r="N46" s="54"/>
      <c r="O46" s="54"/>
      <c r="P46" s="53"/>
      <c r="Q46" s="64"/>
      <c r="R46" s="64"/>
      <c r="S46" s="64"/>
      <c r="T46" s="64"/>
      <c r="U46" s="64"/>
      <c r="V46" s="64"/>
      <c r="W46" s="64"/>
      <c r="X46" s="64"/>
      <c r="Y46" s="64"/>
      <c r="Z46" s="64"/>
    </row>
    <row r="47" spans="1:26" ht="18" customHeight="1" x14ac:dyDescent="0.25">
      <c r="A47" s="110" t="s">
        <v>96</v>
      </c>
      <c r="B47" s="106" t="s">
        <v>87</v>
      </c>
      <c r="C47" s="106" t="s">
        <v>88</v>
      </c>
      <c r="D47" s="107" t="s">
        <v>92</v>
      </c>
      <c r="E47" s="113" t="s">
        <v>195</v>
      </c>
      <c r="F47" s="53"/>
      <c r="G47" s="53"/>
      <c r="H47" s="53"/>
      <c r="I47" s="53"/>
      <c r="J47" s="53"/>
      <c r="K47" s="53"/>
      <c r="L47" s="53"/>
      <c r="M47" s="53"/>
      <c r="N47" s="54"/>
      <c r="O47" s="54"/>
      <c r="P47" s="53"/>
      <c r="Q47" s="64"/>
      <c r="R47" s="64"/>
      <c r="S47" s="64"/>
      <c r="T47" s="64"/>
      <c r="U47" s="64"/>
      <c r="V47" s="64"/>
      <c r="W47" s="64"/>
      <c r="X47" s="64"/>
      <c r="Y47" s="64"/>
      <c r="Z47" s="64"/>
    </row>
    <row r="48" spans="1:26" ht="18" customHeight="1" x14ac:dyDescent="0.25">
      <c r="A48" s="111" t="str">
        <f>Settings!A24</f>
        <v>Emergency Fund</v>
      </c>
      <c r="B48" s="134"/>
      <c r="C48" s="134"/>
      <c r="D48" s="76">
        <f t="shared" ref="D48:D53" si="5">B48-C48</f>
        <v>0</v>
      </c>
      <c r="E48" s="139" t="s">
        <v>195</v>
      </c>
      <c r="F48" s="53"/>
      <c r="G48" s="53"/>
      <c r="H48" s="53"/>
      <c r="I48" s="53"/>
      <c r="J48" s="53"/>
      <c r="K48" s="53"/>
      <c r="L48" s="53"/>
      <c r="M48" s="53"/>
      <c r="N48" s="54"/>
      <c r="O48" s="54"/>
      <c r="P48" s="53"/>
      <c r="Q48" s="64"/>
      <c r="R48" s="64"/>
      <c r="S48" s="64"/>
      <c r="T48" s="64"/>
      <c r="U48" s="64"/>
      <c r="V48" s="64"/>
      <c r="W48" s="64"/>
      <c r="X48" s="64"/>
      <c r="Y48" s="64"/>
      <c r="Z48" s="64"/>
    </row>
    <row r="49" spans="1:26" ht="18" customHeight="1" x14ac:dyDescent="0.25">
      <c r="A49" s="111" t="str">
        <f>Settings!A25</f>
        <v>Vacation Fund</v>
      </c>
      <c r="B49" s="134">
        <v>0</v>
      </c>
      <c r="C49" s="134">
        <f>SUMIFS(TransactionsLog[Amount],TransactionsLog[Category],$A49,TransactionsLog[Date],"&gt;="&amp;PeriodStart,TransactionsLog[Date],"&lt;="&amp;PeriodEnd)</f>
        <v>0</v>
      </c>
      <c r="D49" s="76">
        <f t="shared" si="5"/>
        <v>0</v>
      </c>
      <c r="E49" s="139"/>
      <c r="F49" s="53"/>
      <c r="G49" s="53"/>
      <c r="H49" s="53"/>
      <c r="I49" s="53"/>
      <c r="J49" s="53"/>
      <c r="K49" s="53"/>
      <c r="L49" s="53"/>
      <c r="M49" s="53"/>
      <c r="N49" s="54"/>
      <c r="O49" s="54"/>
      <c r="P49" s="53"/>
      <c r="Q49" s="64"/>
      <c r="R49" s="64"/>
      <c r="S49" s="64"/>
      <c r="T49" s="64"/>
      <c r="U49" s="64"/>
      <c r="V49" s="64"/>
      <c r="W49" s="64"/>
      <c r="X49" s="64"/>
      <c r="Y49" s="64"/>
      <c r="Z49" s="64"/>
    </row>
    <row r="50" spans="1:26" ht="18" customHeight="1" x14ac:dyDescent="0.25">
      <c r="A50" s="111" t="str">
        <f>Settings!A26</f>
        <v>Holiday Fund</v>
      </c>
      <c r="B50" s="134">
        <v>0</v>
      </c>
      <c r="C50" s="134">
        <f>SUMIFS(TransactionsLog[Amount],TransactionsLog[Category],$A50,TransactionsLog[Date],"&gt;="&amp;PeriodStart,TransactionsLog[Date],"&lt;="&amp;PeriodEnd)</f>
        <v>0</v>
      </c>
      <c r="D50" s="76">
        <f t="shared" si="5"/>
        <v>0</v>
      </c>
      <c r="E50" s="139"/>
      <c r="F50" s="53"/>
      <c r="G50" s="53"/>
      <c r="H50" s="53"/>
      <c r="I50" s="53"/>
      <c r="J50" s="53"/>
      <c r="K50" s="53"/>
      <c r="L50" s="53"/>
      <c r="M50" s="53"/>
      <c r="N50" s="54"/>
      <c r="O50" s="54"/>
      <c r="P50" s="53"/>
      <c r="Q50" s="64"/>
      <c r="R50" s="64"/>
      <c r="S50" s="64"/>
      <c r="T50" s="64"/>
      <c r="U50" s="64"/>
      <c r="V50" s="64"/>
      <c r="W50" s="64"/>
      <c r="X50" s="64"/>
      <c r="Y50" s="64"/>
      <c r="Z50" s="64"/>
    </row>
    <row r="51" spans="1:26" ht="18" customHeight="1" x14ac:dyDescent="0.25">
      <c r="A51" s="111" t="str">
        <f>Settings!A27</f>
        <v>Retirement Savings</v>
      </c>
      <c r="B51" s="134">
        <v>0</v>
      </c>
      <c r="C51" s="134">
        <f>SUMIFS(TransactionsLog[Amount],TransactionsLog[Category],$A51,TransactionsLog[Date],"&gt;="&amp;PeriodStart,TransactionsLog[Date],"&lt;="&amp;PeriodEnd)</f>
        <v>0</v>
      </c>
      <c r="D51" s="76">
        <f t="shared" si="5"/>
        <v>0</v>
      </c>
      <c r="E51" s="139"/>
      <c r="F51" s="53"/>
      <c r="G51" s="53"/>
      <c r="H51" s="53"/>
      <c r="I51" s="53"/>
      <c r="J51" s="53"/>
      <c r="K51" s="53"/>
      <c r="L51" s="53"/>
      <c r="M51" s="53"/>
      <c r="N51" s="54"/>
      <c r="O51" s="54"/>
      <c r="P51" s="53"/>
      <c r="Q51" s="64"/>
      <c r="R51" s="64"/>
      <c r="S51" s="64"/>
      <c r="T51" s="64"/>
      <c r="U51" s="64"/>
      <c r="V51" s="64"/>
      <c r="W51" s="64"/>
      <c r="X51" s="64"/>
      <c r="Y51" s="64"/>
      <c r="Z51" s="64"/>
    </row>
    <row r="52" spans="1:26" ht="18" customHeight="1" x14ac:dyDescent="0.25">
      <c r="A52" s="111" t="str">
        <f>Settings!A28</f>
        <v>General Savings</v>
      </c>
      <c r="B52" s="134">
        <v>0</v>
      </c>
      <c r="C52" s="134">
        <f>SUMIFS(TransactionsLog[Amount],TransactionsLog[Category],$A52,TransactionsLog[Date],"&gt;="&amp;PeriodStart,TransactionsLog[Date],"&lt;="&amp;PeriodEnd)</f>
        <v>0</v>
      </c>
      <c r="D52" s="76">
        <f t="shared" si="5"/>
        <v>0</v>
      </c>
      <c r="E52" s="139"/>
      <c r="F52" s="53"/>
      <c r="G52" s="53"/>
      <c r="H52" s="53"/>
      <c r="I52" s="53"/>
      <c r="J52" s="53"/>
      <c r="K52" s="53"/>
      <c r="L52" s="53"/>
      <c r="M52" s="53"/>
      <c r="N52" s="54"/>
      <c r="O52" s="54"/>
      <c r="P52" s="53"/>
      <c r="Q52" s="64"/>
      <c r="R52" s="64"/>
      <c r="S52" s="64"/>
      <c r="T52" s="64"/>
      <c r="U52" s="64"/>
      <c r="V52" s="64"/>
      <c r="W52" s="64"/>
      <c r="X52" s="64"/>
      <c r="Y52" s="64"/>
      <c r="Z52" s="64"/>
    </row>
    <row r="53" spans="1:26" ht="18" customHeight="1" x14ac:dyDescent="0.25">
      <c r="A53" s="112" t="s">
        <v>97</v>
      </c>
      <c r="B53" s="108">
        <f>SUM(B48:B52)</f>
        <v>0</v>
      </c>
      <c r="C53" s="108">
        <f>SUM(C48:C52)</f>
        <v>0</v>
      </c>
      <c r="D53" s="109">
        <f t="shared" si="5"/>
        <v>0</v>
      </c>
      <c r="E53" s="114"/>
      <c r="F53" s="53"/>
      <c r="G53" s="53"/>
      <c r="H53" s="53"/>
      <c r="I53" s="53"/>
      <c r="J53" s="53"/>
      <c r="K53" s="53"/>
      <c r="L53" s="53"/>
      <c r="M53" s="53"/>
      <c r="N53" s="54"/>
      <c r="O53" s="54"/>
      <c r="P53" s="53"/>
      <c r="Q53" s="64"/>
      <c r="R53" s="64"/>
      <c r="S53" s="64"/>
      <c r="T53" s="64"/>
      <c r="U53" s="64"/>
      <c r="V53" s="64"/>
      <c r="W53" s="64"/>
      <c r="X53" s="64"/>
      <c r="Y53" s="64"/>
      <c r="Z53" s="64"/>
    </row>
    <row r="54" spans="1:26" x14ac:dyDescent="0.25">
      <c r="A54" s="53"/>
      <c r="B54" s="53"/>
      <c r="C54" s="53"/>
      <c r="D54" s="53"/>
      <c r="E54" s="53"/>
      <c r="F54" s="53"/>
      <c r="G54" s="53"/>
      <c r="H54" s="53"/>
      <c r="I54" s="53"/>
      <c r="J54" s="53"/>
      <c r="K54" s="53"/>
      <c r="L54" s="53"/>
      <c r="M54" s="53"/>
      <c r="N54" s="54"/>
      <c r="O54" s="54"/>
      <c r="P54" s="53"/>
      <c r="Q54" s="64"/>
      <c r="R54" s="64"/>
      <c r="S54" s="64"/>
      <c r="T54" s="64"/>
      <c r="U54" s="64"/>
      <c r="V54" s="64"/>
      <c r="W54" s="64"/>
      <c r="X54" s="64"/>
      <c r="Y54" s="64"/>
      <c r="Z54" s="64"/>
    </row>
    <row r="55" spans="1:26" x14ac:dyDescent="0.25">
      <c r="A55" s="53"/>
      <c r="B55" s="53"/>
      <c r="C55" s="53"/>
      <c r="D55" s="53"/>
      <c r="E55" s="53"/>
      <c r="F55" s="53"/>
      <c r="G55" s="53"/>
      <c r="H55" s="53"/>
      <c r="I55" s="53"/>
      <c r="J55" s="53"/>
      <c r="K55" s="53"/>
      <c r="L55" s="53"/>
      <c r="M55" s="53"/>
      <c r="N55" s="54"/>
      <c r="O55" s="54"/>
      <c r="P55" s="53"/>
      <c r="Q55" s="64"/>
      <c r="R55" s="64"/>
      <c r="S55" s="64"/>
      <c r="T55" s="64"/>
      <c r="U55" s="64"/>
      <c r="V55" s="64"/>
      <c r="W55" s="64"/>
      <c r="X55" s="64"/>
      <c r="Y55" s="64"/>
      <c r="Z55" s="64"/>
    </row>
    <row r="56" spans="1:26" ht="18" customHeight="1" x14ac:dyDescent="0.25">
      <c r="A56" s="122" t="s">
        <v>98</v>
      </c>
      <c r="B56" s="123" t="s">
        <v>87</v>
      </c>
      <c r="C56" s="123" t="s">
        <v>88</v>
      </c>
      <c r="D56" s="124" t="s">
        <v>92</v>
      </c>
      <c r="E56" s="125" t="s">
        <v>195</v>
      </c>
      <c r="F56" s="53"/>
      <c r="G56" s="53"/>
      <c r="H56" s="53"/>
      <c r="I56" s="53"/>
      <c r="J56" s="53"/>
      <c r="K56" s="53"/>
      <c r="L56" s="53"/>
      <c r="M56" s="53"/>
      <c r="N56" s="54"/>
      <c r="O56" s="54"/>
      <c r="P56" s="53"/>
      <c r="Q56" s="64"/>
      <c r="R56" s="64"/>
      <c r="S56" s="64"/>
      <c r="T56" s="64"/>
      <c r="U56" s="64"/>
      <c r="V56" s="64"/>
      <c r="W56" s="64"/>
      <c r="X56" s="64"/>
      <c r="Y56" s="64"/>
      <c r="Z56" s="64"/>
    </row>
    <row r="57" spans="1:26" ht="18" customHeight="1" x14ac:dyDescent="0.25">
      <c r="A57" s="117" t="str">
        <f>Settings!A29</f>
        <v>Credit Card</v>
      </c>
      <c r="B57" s="134">
        <v>0</v>
      </c>
      <c r="C57" s="134">
        <f>SUMIFS(TransactionsLog[Amount],TransactionsLog[Category],$A57,TransactionsLog[Date],"&gt;="&amp;PeriodStart,TransactionsLog[Date],"&lt;="&amp;PeriodEnd)</f>
        <v>0</v>
      </c>
      <c r="D57" s="76">
        <f>B57-C57</f>
        <v>0</v>
      </c>
      <c r="E57" s="140"/>
      <c r="F57" s="53"/>
      <c r="G57" s="53"/>
      <c r="H57" s="53"/>
      <c r="I57" s="53"/>
      <c r="J57" s="53"/>
      <c r="K57" s="53"/>
      <c r="L57" s="53"/>
      <c r="M57" s="53"/>
      <c r="N57" s="54"/>
      <c r="O57" s="54"/>
      <c r="P57" s="53"/>
      <c r="Q57" s="64"/>
      <c r="R57" s="64"/>
      <c r="S57" s="64"/>
      <c r="T57" s="64"/>
      <c r="U57" s="64"/>
      <c r="V57" s="64"/>
      <c r="W57" s="64"/>
      <c r="X57" s="64"/>
      <c r="Y57" s="64"/>
      <c r="Z57" s="64"/>
    </row>
    <row r="58" spans="1:26" ht="18" customHeight="1" x14ac:dyDescent="0.25">
      <c r="A58" s="117" t="str">
        <f>Settings!A30</f>
        <v>Student Loan</v>
      </c>
      <c r="B58" s="134">
        <v>0</v>
      </c>
      <c r="C58" s="134">
        <f>SUMIFS(TransactionsLog[Amount],TransactionsLog[Category],$A58,TransactionsLog[Date],"&gt;="&amp;PeriodStart,TransactionsLog[Date],"&lt;="&amp;PeriodEnd)</f>
        <v>0</v>
      </c>
      <c r="D58" s="76">
        <f>B58-C58</f>
        <v>0</v>
      </c>
      <c r="E58" s="140"/>
      <c r="F58" s="53"/>
      <c r="G58" s="53"/>
      <c r="H58" s="53"/>
      <c r="I58" s="53"/>
      <c r="J58" s="53"/>
      <c r="K58" s="53"/>
      <c r="L58" s="53"/>
      <c r="M58" s="53"/>
      <c r="N58" s="54"/>
      <c r="O58" s="54"/>
      <c r="P58" s="53"/>
      <c r="Q58" s="64"/>
      <c r="R58" s="64"/>
      <c r="S58" s="64"/>
      <c r="T58" s="64"/>
      <c r="U58" s="64"/>
      <c r="V58" s="64"/>
      <c r="W58" s="64"/>
      <c r="X58" s="64"/>
      <c r="Y58" s="64"/>
      <c r="Z58" s="64"/>
    </row>
    <row r="59" spans="1:26" ht="18" customHeight="1" x14ac:dyDescent="0.25">
      <c r="A59" s="117" t="str">
        <f>Settings!A31</f>
        <v>Personal Loan</v>
      </c>
      <c r="B59" s="134">
        <v>0</v>
      </c>
      <c r="C59" s="134">
        <f>SUMIFS(TransactionsLog[Amount],TransactionsLog[Category],$A59,TransactionsLog[Date],"&gt;="&amp;PeriodStart,TransactionsLog[Date],"&lt;="&amp;PeriodEnd)</f>
        <v>0</v>
      </c>
      <c r="D59" s="76">
        <f>B59-C59</f>
        <v>0</v>
      </c>
      <c r="E59" s="140"/>
      <c r="F59" s="53"/>
      <c r="G59" s="53"/>
      <c r="H59" s="53"/>
      <c r="I59" s="53"/>
      <c r="J59" s="53"/>
      <c r="K59" s="53"/>
      <c r="L59" s="53"/>
      <c r="M59" s="53"/>
      <c r="N59" s="54"/>
      <c r="O59" s="54"/>
      <c r="P59" s="53"/>
      <c r="Q59" s="64"/>
      <c r="R59" s="64"/>
      <c r="S59" s="64"/>
      <c r="T59" s="64"/>
      <c r="U59" s="64"/>
      <c r="V59" s="64"/>
      <c r="W59" s="64"/>
      <c r="X59" s="64"/>
      <c r="Y59" s="64"/>
      <c r="Z59" s="64"/>
    </row>
    <row r="60" spans="1:26" ht="18" customHeight="1" x14ac:dyDescent="0.25">
      <c r="A60" s="117" t="str">
        <f>Settings!A32</f>
        <v>Medical Debt</v>
      </c>
      <c r="B60" s="134">
        <v>0</v>
      </c>
      <c r="C60" s="134">
        <f>SUMIFS(TransactionsLog[Amount],TransactionsLog[Category],$A60,TransactionsLog[Date],"&gt;="&amp;PeriodStart,TransactionsLog[Date],"&lt;="&amp;PeriodEnd)</f>
        <v>0</v>
      </c>
      <c r="D60" s="76">
        <f>B60-C60</f>
        <v>0</v>
      </c>
      <c r="E60" s="140"/>
      <c r="F60" s="53"/>
      <c r="G60" s="53"/>
      <c r="H60" s="53"/>
      <c r="I60" s="53"/>
      <c r="J60" s="53"/>
      <c r="K60" s="53"/>
      <c r="L60" s="53"/>
      <c r="M60" s="53"/>
      <c r="N60" s="54"/>
      <c r="O60" s="54"/>
      <c r="P60" s="53"/>
      <c r="Q60" s="64"/>
      <c r="R60" s="64"/>
      <c r="S60" s="64"/>
      <c r="T60" s="64"/>
      <c r="U60" s="64"/>
      <c r="V60" s="64"/>
      <c r="W60" s="64"/>
      <c r="X60" s="64"/>
      <c r="Y60" s="64"/>
      <c r="Z60" s="64"/>
    </row>
    <row r="61" spans="1:26" ht="18" customHeight="1" x14ac:dyDescent="0.25">
      <c r="A61" s="118" t="s">
        <v>99</v>
      </c>
      <c r="B61" s="115">
        <f>SUM(B57:B60)</f>
        <v>0</v>
      </c>
      <c r="C61" s="115">
        <f>SUM(C57:C60)</f>
        <v>0</v>
      </c>
      <c r="D61" s="116">
        <f>B61-C61</f>
        <v>0</v>
      </c>
      <c r="E61" s="119"/>
      <c r="F61" s="53"/>
      <c r="G61" s="53"/>
      <c r="H61" s="53"/>
      <c r="I61" s="53"/>
      <c r="J61" s="53"/>
      <c r="K61" s="53"/>
      <c r="L61" s="53"/>
      <c r="M61" s="53"/>
      <c r="N61" s="54"/>
      <c r="O61" s="54"/>
      <c r="P61" s="53"/>
      <c r="Q61" s="64"/>
      <c r="R61" s="64"/>
      <c r="S61" s="64"/>
      <c r="T61" s="64"/>
      <c r="U61" s="64"/>
      <c r="V61" s="64"/>
      <c r="W61" s="64"/>
      <c r="X61" s="64"/>
      <c r="Y61" s="64"/>
      <c r="Z61" s="64"/>
    </row>
    <row r="62" spans="1:26" x14ac:dyDescent="0.25">
      <c r="A62" s="53"/>
      <c r="B62" s="53"/>
      <c r="C62" s="53"/>
      <c r="D62" s="53"/>
      <c r="E62" s="53"/>
      <c r="F62" s="53"/>
      <c r="G62" s="53"/>
      <c r="H62" s="53"/>
      <c r="I62" s="53"/>
      <c r="J62" s="53"/>
      <c r="K62" s="53"/>
      <c r="L62" s="53"/>
      <c r="M62" s="53"/>
      <c r="N62" s="54"/>
      <c r="O62" s="54"/>
      <c r="P62" s="53"/>
      <c r="Q62" s="64"/>
      <c r="R62" s="64"/>
      <c r="S62" s="64"/>
      <c r="T62" s="64"/>
      <c r="U62" s="64"/>
      <c r="V62" s="64"/>
      <c r="W62" s="64"/>
      <c r="X62" s="64"/>
      <c r="Y62" s="64"/>
      <c r="Z62" s="64"/>
    </row>
    <row r="63" spans="1:26" x14ac:dyDescent="0.25">
      <c r="A63" s="64"/>
      <c r="B63" s="64"/>
      <c r="C63" s="64"/>
      <c r="D63" s="64"/>
      <c r="E63" s="64"/>
      <c r="F63" s="64"/>
      <c r="G63" s="64"/>
      <c r="H63" s="64"/>
      <c r="I63" s="64"/>
      <c r="J63" s="64"/>
      <c r="K63" s="64"/>
      <c r="L63" s="64"/>
      <c r="M63" s="64"/>
      <c r="N63" s="65"/>
      <c r="O63" s="65"/>
      <c r="P63" s="64"/>
      <c r="Q63" s="64"/>
      <c r="R63" s="64"/>
      <c r="S63" s="64"/>
      <c r="T63" s="64"/>
      <c r="U63" s="64"/>
      <c r="V63" s="64"/>
      <c r="W63" s="64"/>
      <c r="X63" s="64"/>
      <c r="Y63" s="64"/>
      <c r="Z63" s="64"/>
    </row>
    <row r="64" spans="1:26" x14ac:dyDescent="0.25">
      <c r="A64" s="64"/>
      <c r="B64" s="64"/>
      <c r="C64" s="64"/>
      <c r="D64" s="64"/>
      <c r="E64" s="64"/>
      <c r="F64" s="64"/>
      <c r="G64" s="64"/>
      <c r="H64" s="64"/>
      <c r="I64" s="64"/>
      <c r="J64" s="64"/>
      <c r="K64" s="64"/>
      <c r="L64" s="64"/>
      <c r="M64" s="64"/>
      <c r="N64" s="65"/>
      <c r="O64" s="65"/>
      <c r="P64" s="64"/>
      <c r="Q64" s="64"/>
      <c r="R64" s="64"/>
      <c r="S64" s="64"/>
      <c r="T64" s="64"/>
      <c r="U64" s="64"/>
      <c r="V64" s="64"/>
      <c r="W64" s="64"/>
      <c r="X64" s="64"/>
      <c r="Y64" s="64"/>
      <c r="Z64" s="64"/>
    </row>
    <row r="65" spans="1:26" x14ac:dyDescent="0.25">
      <c r="A65" s="64"/>
      <c r="B65" s="64"/>
      <c r="C65" s="64"/>
      <c r="D65" s="64"/>
      <c r="E65" s="64"/>
      <c r="F65" s="64"/>
      <c r="G65" s="64"/>
      <c r="H65" s="64"/>
      <c r="I65" s="64"/>
      <c r="J65" s="64"/>
      <c r="K65" s="64"/>
      <c r="L65" s="64"/>
      <c r="M65" s="64"/>
      <c r="N65" s="65"/>
      <c r="O65" s="65"/>
      <c r="P65" s="64"/>
      <c r="Q65" s="64"/>
      <c r="R65" s="64"/>
      <c r="S65" s="64"/>
      <c r="T65" s="64"/>
      <c r="U65" s="64"/>
      <c r="V65" s="64"/>
      <c r="W65" s="64"/>
      <c r="X65" s="64"/>
      <c r="Y65" s="64"/>
      <c r="Z65" s="64"/>
    </row>
    <row r="66" spans="1:26" x14ac:dyDescent="0.25">
      <c r="A66" s="64"/>
      <c r="B66" s="64"/>
      <c r="C66" s="64"/>
      <c r="D66" s="64"/>
      <c r="E66" s="64"/>
      <c r="F66" s="64"/>
      <c r="G66" s="64"/>
      <c r="H66" s="64"/>
      <c r="I66" s="64"/>
      <c r="J66" s="64"/>
      <c r="K66" s="64"/>
      <c r="L66" s="64"/>
      <c r="M66" s="64"/>
      <c r="N66" s="65"/>
      <c r="O66" s="65"/>
      <c r="P66" s="64"/>
      <c r="Q66" s="64"/>
      <c r="R66" s="64"/>
      <c r="S66" s="64"/>
      <c r="T66" s="64"/>
      <c r="U66" s="64"/>
      <c r="V66" s="64"/>
      <c r="W66" s="64"/>
      <c r="X66" s="64"/>
      <c r="Y66" s="64"/>
      <c r="Z66" s="64"/>
    </row>
    <row r="67" spans="1:26" x14ac:dyDescent="0.25">
      <c r="A67" s="64"/>
      <c r="B67" s="64"/>
      <c r="C67" s="64"/>
      <c r="D67" s="64"/>
      <c r="E67" s="64"/>
      <c r="F67" s="64"/>
      <c r="G67" s="64"/>
      <c r="H67" s="64"/>
      <c r="I67" s="64"/>
      <c r="J67" s="64"/>
      <c r="K67" s="64"/>
      <c r="L67" s="64"/>
      <c r="M67" s="64"/>
      <c r="N67" s="65"/>
      <c r="O67" s="65"/>
      <c r="P67" s="64"/>
      <c r="Q67" s="64"/>
      <c r="R67" s="64"/>
      <c r="S67" s="64"/>
      <c r="T67" s="64"/>
      <c r="U67" s="64"/>
      <c r="V67" s="64"/>
      <c r="W67" s="64"/>
      <c r="X67" s="64"/>
      <c r="Y67" s="64"/>
      <c r="Z67" s="64"/>
    </row>
    <row r="68" spans="1:26" x14ac:dyDescent="0.25">
      <c r="A68" s="64"/>
      <c r="B68" s="64"/>
      <c r="C68" s="64"/>
      <c r="D68" s="64"/>
      <c r="E68" s="64"/>
      <c r="F68" s="64"/>
      <c r="G68" s="64"/>
      <c r="H68" s="64"/>
      <c r="I68" s="64"/>
      <c r="J68" s="64"/>
      <c r="K68" s="64"/>
      <c r="L68" s="64"/>
      <c r="M68" s="64"/>
      <c r="N68" s="65"/>
      <c r="O68" s="65"/>
      <c r="P68" s="64"/>
      <c r="Q68" s="64"/>
      <c r="R68" s="64"/>
      <c r="S68" s="64"/>
      <c r="T68" s="64"/>
      <c r="U68" s="64"/>
      <c r="V68" s="64"/>
      <c r="W68" s="64"/>
      <c r="X68" s="64"/>
      <c r="Y68" s="64"/>
      <c r="Z68" s="64"/>
    </row>
    <row r="69" spans="1:26" x14ac:dyDescent="0.25">
      <c r="A69" s="64"/>
      <c r="B69" s="64"/>
      <c r="C69" s="64"/>
      <c r="D69" s="64"/>
      <c r="E69" s="64"/>
      <c r="F69" s="64"/>
      <c r="G69" s="64"/>
      <c r="H69" s="64"/>
      <c r="I69" s="64"/>
      <c r="J69" s="64"/>
      <c r="K69" s="64"/>
      <c r="L69" s="64"/>
      <c r="M69" s="64"/>
      <c r="N69" s="65"/>
      <c r="O69" s="65"/>
      <c r="P69" s="64"/>
      <c r="Q69" s="64"/>
      <c r="R69" s="64"/>
      <c r="S69" s="64"/>
      <c r="T69" s="64"/>
      <c r="U69" s="64"/>
      <c r="V69" s="64"/>
      <c r="W69" s="64"/>
      <c r="X69" s="64"/>
      <c r="Y69" s="64"/>
      <c r="Z69" s="64"/>
    </row>
    <row r="70" spans="1:26" x14ac:dyDescent="0.25">
      <c r="A70" s="64"/>
      <c r="B70" s="64"/>
      <c r="C70" s="64"/>
      <c r="D70" s="64"/>
      <c r="E70" s="64"/>
      <c r="F70" s="64"/>
      <c r="G70" s="64"/>
      <c r="H70" s="64"/>
      <c r="I70" s="64"/>
      <c r="J70" s="64"/>
      <c r="K70" s="64"/>
      <c r="L70" s="64"/>
      <c r="M70" s="64"/>
      <c r="N70" s="65"/>
      <c r="O70" s="65"/>
      <c r="P70" s="64"/>
      <c r="Q70" s="64"/>
      <c r="R70" s="64"/>
      <c r="S70" s="64"/>
      <c r="T70" s="64"/>
      <c r="U70" s="64"/>
      <c r="V70" s="64"/>
      <c r="W70" s="64"/>
      <c r="X70" s="64"/>
      <c r="Y70" s="64"/>
      <c r="Z70" s="64"/>
    </row>
    <row r="71" spans="1:26" x14ac:dyDescent="0.25">
      <c r="A71" s="64"/>
      <c r="B71" s="64"/>
      <c r="C71" s="64"/>
      <c r="D71" s="64"/>
      <c r="E71" s="64"/>
      <c r="F71" s="64"/>
      <c r="G71" s="64"/>
      <c r="H71" s="64"/>
      <c r="I71" s="64"/>
      <c r="J71" s="64"/>
      <c r="K71" s="64"/>
      <c r="L71" s="64"/>
      <c r="M71" s="64"/>
      <c r="N71" s="65"/>
      <c r="O71" s="65"/>
      <c r="P71" s="64"/>
      <c r="Q71" s="64"/>
      <c r="R71" s="64"/>
      <c r="S71" s="64"/>
      <c r="T71" s="64"/>
      <c r="U71" s="64"/>
      <c r="V71" s="64"/>
      <c r="W71" s="64"/>
      <c r="X71" s="64"/>
      <c r="Y71" s="64"/>
      <c r="Z71" s="64"/>
    </row>
    <row r="72" spans="1:26" x14ac:dyDescent="0.25">
      <c r="A72" s="64"/>
      <c r="B72" s="64"/>
      <c r="C72" s="64"/>
      <c r="D72" s="64"/>
      <c r="E72" s="64"/>
      <c r="F72" s="64"/>
      <c r="G72" s="64"/>
      <c r="H72" s="64"/>
      <c r="I72" s="64"/>
      <c r="J72" s="64"/>
      <c r="K72" s="64"/>
      <c r="L72" s="64"/>
      <c r="M72" s="64"/>
      <c r="N72" s="65"/>
      <c r="O72" s="65"/>
      <c r="P72" s="64"/>
      <c r="Q72" s="64"/>
      <c r="R72" s="64"/>
      <c r="S72" s="64"/>
      <c r="T72" s="64"/>
      <c r="U72" s="64"/>
      <c r="V72" s="64"/>
      <c r="W72" s="64"/>
      <c r="X72" s="64"/>
      <c r="Y72" s="64"/>
      <c r="Z72" s="64"/>
    </row>
    <row r="73" spans="1:26" x14ac:dyDescent="0.25">
      <c r="A73" s="64"/>
      <c r="B73" s="64"/>
      <c r="C73" s="64"/>
      <c r="D73" s="64"/>
      <c r="E73" s="64"/>
      <c r="F73" s="64"/>
      <c r="G73" s="64"/>
      <c r="H73" s="64"/>
      <c r="I73" s="64"/>
      <c r="J73" s="64"/>
      <c r="K73" s="64"/>
      <c r="L73" s="64"/>
      <c r="M73" s="64"/>
      <c r="N73" s="65"/>
      <c r="O73" s="65"/>
      <c r="P73" s="64"/>
      <c r="Q73" s="64"/>
      <c r="R73" s="64"/>
      <c r="S73" s="64"/>
      <c r="T73" s="64"/>
      <c r="U73" s="64"/>
      <c r="V73" s="64"/>
      <c r="W73" s="64"/>
      <c r="X73" s="64"/>
      <c r="Y73" s="64"/>
      <c r="Z73" s="64"/>
    </row>
    <row r="74" spans="1:26" x14ac:dyDescent="0.25">
      <c r="A74" s="64"/>
      <c r="B74" s="64"/>
      <c r="C74" s="64"/>
      <c r="D74" s="64"/>
      <c r="E74" s="64"/>
      <c r="F74" s="64"/>
      <c r="G74" s="64"/>
      <c r="H74" s="64"/>
      <c r="I74" s="64"/>
      <c r="J74" s="64"/>
      <c r="K74" s="64"/>
      <c r="L74" s="64"/>
      <c r="M74" s="64"/>
      <c r="N74" s="65"/>
      <c r="O74" s="65"/>
      <c r="P74" s="64"/>
      <c r="Q74" s="64"/>
      <c r="R74" s="64"/>
      <c r="S74" s="64"/>
      <c r="T74" s="64"/>
      <c r="U74" s="64"/>
      <c r="V74" s="64"/>
      <c r="W74" s="64"/>
      <c r="X74" s="64"/>
      <c r="Y74" s="64"/>
      <c r="Z74" s="64"/>
    </row>
    <row r="75" spans="1:26" x14ac:dyDescent="0.25">
      <c r="A75" s="64"/>
      <c r="B75" s="64"/>
      <c r="C75" s="64"/>
      <c r="D75" s="64"/>
      <c r="E75" s="64"/>
      <c r="F75" s="64"/>
      <c r="G75" s="64"/>
      <c r="H75" s="64"/>
      <c r="I75" s="64"/>
      <c r="J75" s="64"/>
      <c r="K75" s="64"/>
      <c r="L75" s="64"/>
      <c r="M75" s="64"/>
      <c r="N75" s="65"/>
      <c r="O75" s="65"/>
      <c r="P75" s="64"/>
      <c r="Q75" s="64"/>
      <c r="R75" s="64"/>
      <c r="S75" s="64"/>
      <c r="T75" s="64"/>
      <c r="U75" s="64"/>
      <c r="V75" s="64"/>
      <c r="W75" s="64"/>
      <c r="X75" s="64"/>
      <c r="Y75" s="64"/>
      <c r="Z75" s="64"/>
    </row>
    <row r="76" spans="1:26" x14ac:dyDescent="0.25">
      <c r="A76" s="64"/>
      <c r="B76" s="64"/>
      <c r="C76" s="64"/>
      <c r="D76" s="64"/>
      <c r="E76" s="64"/>
      <c r="F76" s="64"/>
      <c r="G76" s="64"/>
      <c r="H76" s="64"/>
      <c r="I76" s="64"/>
      <c r="J76" s="64"/>
      <c r="K76" s="64"/>
      <c r="L76" s="64"/>
      <c r="M76" s="64"/>
      <c r="N76" s="65"/>
      <c r="O76" s="65"/>
      <c r="P76" s="64"/>
      <c r="Q76" s="64"/>
      <c r="R76" s="64"/>
      <c r="S76" s="64"/>
      <c r="T76" s="64"/>
      <c r="U76" s="64"/>
      <c r="V76" s="64"/>
      <c r="W76" s="64"/>
      <c r="X76" s="64"/>
      <c r="Y76" s="64"/>
      <c r="Z76" s="64"/>
    </row>
    <row r="77" spans="1:26" x14ac:dyDescent="0.25">
      <c r="A77" s="64"/>
      <c r="B77" s="64"/>
      <c r="C77" s="64"/>
      <c r="D77" s="64"/>
      <c r="E77" s="64"/>
      <c r="F77" s="64"/>
      <c r="G77" s="64"/>
      <c r="H77" s="64"/>
      <c r="I77" s="64"/>
      <c r="J77" s="64"/>
      <c r="K77" s="64"/>
      <c r="L77" s="64"/>
      <c r="M77" s="64"/>
      <c r="N77" s="65"/>
      <c r="O77" s="65"/>
      <c r="P77" s="64"/>
      <c r="Q77" s="64"/>
      <c r="R77" s="64"/>
      <c r="S77" s="64"/>
      <c r="T77" s="64"/>
      <c r="U77" s="64"/>
      <c r="V77" s="64"/>
      <c r="W77" s="64"/>
      <c r="X77" s="64"/>
      <c r="Y77" s="64"/>
      <c r="Z77" s="64"/>
    </row>
    <row r="78" spans="1:26" x14ac:dyDescent="0.25">
      <c r="A78" s="64"/>
      <c r="B78" s="64"/>
      <c r="C78" s="64"/>
      <c r="D78" s="64"/>
      <c r="E78" s="64"/>
      <c r="F78" s="64"/>
      <c r="G78" s="64"/>
      <c r="H78" s="64"/>
      <c r="I78" s="64"/>
      <c r="J78" s="64"/>
      <c r="K78" s="64"/>
      <c r="L78" s="64"/>
      <c r="M78" s="64"/>
      <c r="N78" s="65"/>
      <c r="O78" s="65"/>
      <c r="P78" s="64"/>
      <c r="Q78" s="64"/>
      <c r="R78" s="64"/>
      <c r="S78" s="64"/>
      <c r="T78" s="64"/>
      <c r="U78" s="64"/>
      <c r="V78" s="64"/>
      <c r="W78" s="64"/>
      <c r="X78" s="64"/>
      <c r="Y78" s="64"/>
      <c r="Z78" s="64"/>
    </row>
    <row r="79" spans="1:26" x14ac:dyDescent="0.25">
      <c r="A79" s="64"/>
      <c r="B79" s="64"/>
      <c r="C79" s="64"/>
      <c r="D79" s="64"/>
      <c r="E79" s="64"/>
      <c r="F79" s="64"/>
      <c r="G79" s="64"/>
      <c r="H79" s="64"/>
      <c r="I79" s="64"/>
      <c r="J79" s="64"/>
      <c r="K79" s="64"/>
      <c r="L79" s="64"/>
      <c r="M79" s="64"/>
      <c r="N79" s="65"/>
      <c r="O79" s="65"/>
      <c r="P79" s="64"/>
      <c r="Q79" s="64"/>
      <c r="R79" s="64"/>
      <c r="S79" s="64"/>
      <c r="T79" s="64"/>
      <c r="U79" s="64"/>
      <c r="V79" s="64"/>
      <c r="W79" s="64"/>
      <c r="X79" s="64"/>
      <c r="Y79" s="64"/>
      <c r="Z79" s="64"/>
    </row>
    <row r="80" spans="1:26" x14ac:dyDescent="0.25">
      <c r="A80" s="64"/>
      <c r="B80" s="64"/>
      <c r="C80" s="64"/>
      <c r="D80" s="64"/>
      <c r="E80" s="64"/>
      <c r="F80" s="64"/>
      <c r="G80" s="64"/>
      <c r="H80" s="64"/>
      <c r="I80" s="64"/>
      <c r="J80" s="64"/>
      <c r="K80" s="64"/>
      <c r="L80" s="64"/>
      <c r="M80" s="64"/>
      <c r="N80" s="65"/>
      <c r="O80" s="65"/>
      <c r="P80" s="64"/>
      <c r="Q80" s="64"/>
      <c r="R80" s="64"/>
      <c r="S80" s="64"/>
      <c r="T80" s="64"/>
      <c r="U80" s="64"/>
      <c r="V80" s="64"/>
      <c r="W80" s="64"/>
      <c r="X80" s="64"/>
      <c r="Y80" s="64"/>
      <c r="Z80" s="64"/>
    </row>
    <row r="81" spans="1:26" x14ac:dyDescent="0.25">
      <c r="A81" s="64"/>
      <c r="B81" s="64"/>
      <c r="C81" s="64"/>
      <c r="D81" s="64"/>
      <c r="E81" s="64"/>
      <c r="F81" s="64"/>
      <c r="G81" s="64"/>
      <c r="H81" s="64"/>
      <c r="I81" s="64"/>
      <c r="J81" s="64"/>
      <c r="K81" s="64"/>
      <c r="L81" s="64"/>
      <c r="M81" s="64"/>
      <c r="N81" s="65"/>
      <c r="O81" s="65"/>
      <c r="P81" s="64"/>
      <c r="Q81" s="64"/>
      <c r="R81" s="64"/>
      <c r="S81" s="64"/>
      <c r="T81" s="64"/>
      <c r="U81" s="64"/>
      <c r="V81" s="64"/>
      <c r="W81" s="64"/>
      <c r="X81" s="64"/>
      <c r="Y81" s="64"/>
      <c r="Z81" s="64"/>
    </row>
    <row r="82" spans="1:26" x14ac:dyDescent="0.25">
      <c r="A82" s="64"/>
      <c r="B82" s="64"/>
      <c r="C82" s="64"/>
      <c r="D82" s="64"/>
      <c r="E82" s="64"/>
      <c r="F82" s="64"/>
      <c r="G82" s="64"/>
      <c r="H82" s="64"/>
      <c r="I82" s="64"/>
      <c r="J82" s="64"/>
      <c r="K82" s="64"/>
      <c r="L82" s="64"/>
      <c r="M82" s="64"/>
      <c r="N82" s="65"/>
      <c r="O82" s="65"/>
      <c r="P82" s="64"/>
      <c r="Q82" s="64"/>
      <c r="R82" s="64"/>
      <c r="S82" s="64"/>
      <c r="T82" s="64"/>
      <c r="U82" s="64"/>
      <c r="V82" s="64"/>
      <c r="W82" s="64"/>
      <c r="X82" s="64"/>
      <c r="Y82" s="64"/>
      <c r="Z82" s="64"/>
    </row>
    <row r="83" spans="1:26" x14ac:dyDescent="0.25">
      <c r="A83" s="64"/>
      <c r="B83" s="64"/>
      <c r="C83" s="64"/>
      <c r="D83" s="64"/>
      <c r="E83" s="64"/>
      <c r="F83" s="64"/>
      <c r="G83" s="64"/>
      <c r="H83" s="64"/>
      <c r="I83" s="64"/>
      <c r="J83" s="64"/>
      <c r="K83" s="64"/>
      <c r="L83" s="64"/>
      <c r="M83" s="64"/>
      <c r="N83" s="65"/>
      <c r="O83" s="65"/>
      <c r="P83" s="64"/>
      <c r="Q83" s="64"/>
      <c r="R83" s="64"/>
      <c r="S83" s="64"/>
      <c r="T83" s="64"/>
      <c r="U83" s="64"/>
      <c r="V83" s="64"/>
      <c r="W83" s="64"/>
      <c r="X83" s="64"/>
      <c r="Y83" s="64"/>
      <c r="Z83" s="64"/>
    </row>
    <row r="84" spans="1:26" x14ac:dyDescent="0.25">
      <c r="A84" s="64"/>
      <c r="B84" s="64"/>
      <c r="C84" s="64"/>
      <c r="D84" s="64"/>
      <c r="E84" s="64"/>
      <c r="F84" s="64"/>
      <c r="G84" s="64"/>
      <c r="H84" s="64"/>
      <c r="I84" s="64"/>
      <c r="J84" s="64"/>
      <c r="K84" s="64"/>
      <c r="L84" s="64"/>
      <c r="M84" s="64"/>
      <c r="N84" s="65"/>
      <c r="O84" s="65"/>
      <c r="P84" s="64"/>
      <c r="Q84" s="64"/>
      <c r="R84" s="64"/>
      <c r="S84" s="64"/>
      <c r="T84" s="64"/>
      <c r="U84" s="64"/>
      <c r="V84" s="64"/>
      <c r="W84" s="64"/>
      <c r="X84" s="64"/>
      <c r="Y84" s="64"/>
      <c r="Z84" s="64"/>
    </row>
    <row r="85" spans="1:26" x14ac:dyDescent="0.25">
      <c r="A85" s="64"/>
      <c r="B85" s="64"/>
      <c r="C85" s="64"/>
      <c r="D85" s="64"/>
      <c r="E85" s="64"/>
      <c r="F85" s="64"/>
      <c r="G85" s="64"/>
      <c r="H85" s="64"/>
      <c r="I85" s="64"/>
      <c r="J85" s="64"/>
      <c r="K85" s="64"/>
      <c r="L85" s="64"/>
      <c r="M85" s="64"/>
      <c r="N85" s="65"/>
      <c r="O85" s="65"/>
      <c r="P85" s="64"/>
      <c r="Q85" s="64"/>
      <c r="R85" s="64"/>
      <c r="S85" s="64"/>
      <c r="T85" s="64"/>
      <c r="U85" s="64"/>
      <c r="V85" s="64"/>
      <c r="W85" s="64"/>
      <c r="X85" s="64"/>
      <c r="Y85" s="64"/>
      <c r="Z85" s="64"/>
    </row>
    <row r="86" spans="1:26" x14ac:dyDescent="0.25">
      <c r="A86" s="64"/>
      <c r="B86" s="64"/>
      <c r="C86" s="64"/>
      <c r="D86" s="64"/>
      <c r="E86" s="64"/>
      <c r="F86" s="64"/>
      <c r="G86" s="64"/>
      <c r="H86" s="64"/>
      <c r="I86" s="64"/>
      <c r="J86" s="64"/>
      <c r="K86" s="64"/>
      <c r="L86" s="64"/>
      <c r="M86" s="64"/>
      <c r="N86" s="65"/>
      <c r="O86" s="65"/>
      <c r="P86" s="64"/>
      <c r="Q86" s="64"/>
      <c r="R86" s="64"/>
      <c r="S86" s="64"/>
      <c r="T86" s="64"/>
      <c r="U86" s="64"/>
      <c r="V86" s="64"/>
      <c r="W86" s="64"/>
      <c r="X86" s="64"/>
      <c r="Y86" s="64"/>
      <c r="Z86" s="64"/>
    </row>
    <row r="87" spans="1:26" x14ac:dyDescent="0.25">
      <c r="A87" s="64"/>
      <c r="B87" s="64"/>
      <c r="C87" s="64"/>
      <c r="D87" s="64"/>
      <c r="E87" s="64"/>
      <c r="F87" s="64"/>
      <c r="G87" s="64"/>
      <c r="H87" s="64"/>
      <c r="I87" s="64"/>
      <c r="J87" s="64"/>
      <c r="K87" s="64"/>
      <c r="L87" s="64"/>
      <c r="M87" s="64"/>
      <c r="N87" s="65"/>
      <c r="O87" s="65"/>
      <c r="P87" s="64"/>
      <c r="Q87" s="64"/>
      <c r="R87" s="64"/>
      <c r="S87" s="64"/>
      <c r="T87" s="64"/>
      <c r="U87" s="64"/>
      <c r="V87" s="64"/>
      <c r="W87" s="64"/>
      <c r="X87" s="64"/>
      <c r="Y87" s="64"/>
      <c r="Z87" s="64"/>
    </row>
    <row r="88" spans="1:26" x14ac:dyDescent="0.25">
      <c r="A88" s="64"/>
      <c r="B88" s="64"/>
      <c r="C88" s="64"/>
      <c r="D88" s="64"/>
      <c r="E88" s="64"/>
      <c r="F88" s="64"/>
      <c r="G88" s="64"/>
      <c r="H88" s="64"/>
      <c r="I88" s="64"/>
      <c r="J88" s="64"/>
      <c r="K88" s="64"/>
      <c r="L88" s="64"/>
      <c r="M88" s="64"/>
      <c r="N88" s="65"/>
      <c r="O88" s="65"/>
      <c r="P88" s="64"/>
      <c r="Q88" s="64"/>
      <c r="R88" s="64"/>
      <c r="S88" s="64"/>
      <c r="T88" s="64"/>
      <c r="U88" s="64"/>
      <c r="V88" s="64"/>
      <c r="W88" s="64"/>
      <c r="X88" s="64"/>
      <c r="Y88" s="64"/>
      <c r="Z88" s="64"/>
    </row>
    <row r="89" spans="1:26" x14ac:dyDescent="0.25">
      <c r="A89" s="64"/>
      <c r="B89" s="64"/>
      <c r="C89" s="64"/>
      <c r="D89" s="64"/>
      <c r="E89" s="64"/>
      <c r="F89" s="64"/>
      <c r="G89" s="64"/>
      <c r="H89" s="64"/>
      <c r="I89" s="64"/>
      <c r="J89" s="64"/>
      <c r="K89" s="64"/>
      <c r="L89" s="64"/>
      <c r="M89" s="64"/>
      <c r="N89" s="65"/>
      <c r="O89" s="65"/>
      <c r="P89" s="64"/>
      <c r="Q89" s="64"/>
      <c r="R89" s="64"/>
      <c r="S89" s="64"/>
      <c r="T89" s="64"/>
      <c r="U89" s="64"/>
      <c r="V89" s="64"/>
      <c r="W89" s="64"/>
      <c r="X89" s="64"/>
      <c r="Y89" s="64"/>
      <c r="Z89" s="64"/>
    </row>
    <row r="90" spans="1:26" x14ac:dyDescent="0.25">
      <c r="A90" s="64"/>
      <c r="B90" s="64"/>
      <c r="C90" s="64"/>
      <c r="D90" s="64"/>
      <c r="E90" s="64"/>
      <c r="F90" s="64"/>
      <c r="G90" s="64"/>
      <c r="H90" s="64"/>
      <c r="I90" s="64"/>
      <c r="J90" s="64"/>
      <c r="K90" s="64"/>
      <c r="L90" s="64"/>
      <c r="M90" s="64"/>
      <c r="N90" s="65"/>
      <c r="O90" s="65"/>
      <c r="P90" s="64"/>
      <c r="Q90" s="64"/>
      <c r="R90" s="64"/>
      <c r="S90" s="64"/>
      <c r="T90" s="64"/>
      <c r="U90" s="64"/>
      <c r="V90" s="64"/>
      <c r="W90" s="64"/>
      <c r="X90" s="64"/>
      <c r="Y90" s="64"/>
      <c r="Z90" s="64"/>
    </row>
    <row r="91" spans="1:26" x14ac:dyDescent="0.25">
      <c r="A91" s="64"/>
      <c r="B91" s="64"/>
      <c r="C91" s="64"/>
      <c r="D91" s="64"/>
      <c r="E91" s="64"/>
      <c r="F91" s="64"/>
      <c r="G91" s="64"/>
      <c r="H91" s="64"/>
      <c r="I91" s="64"/>
      <c r="J91" s="64"/>
      <c r="K91" s="64"/>
      <c r="L91" s="64"/>
      <c r="M91" s="64"/>
      <c r="N91" s="65"/>
      <c r="O91" s="65"/>
      <c r="P91" s="64"/>
      <c r="Q91" s="64"/>
      <c r="R91" s="64"/>
      <c r="S91" s="64"/>
      <c r="T91" s="64"/>
      <c r="U91" s="64"/>
      <c r="V91" s="64"/>
      <c r="W91" s="64"/>
      <c r="X91" s="64"/>
      <c r="Y91" s="64"/>
      <c r="Z91" s="64"/>
    </row>
    <row r="92" spans="1:26" x14ac:dyDescent="0.25">
      <c r="A92" s="64"/>
      <c r="B92" s="64"/>
      <c r="C92" s="64"/>
      <c r="D92" s="64"/>
      <c r="E92" s="64"/>
      <c r="F92" s="64"/>
      <c r="G92" s="64"/>
      <c r="H92" s="64"/>
      <c r="I92" s="64"/>
      <c r="J92" s="64"/>
      <c r="K92" s="64"/>
      <c r="L92" s="64"/>
      <c r="M92" s="64"/>
      <c r="N92" s="65"/>
      <c r="O92" s="65"/>
      <c r="P92" s="64"/>
      <c r="Q92" s="64"/>
      <c r="R92" s="64"/>
      <c r="S92" s="64"/>
      <c r="T92" s="64"/>
      <c r="U92" s="64"/>
      <c r="V92" s="64"/>
      <c r="W92" s="64"/>
      <c r="X92" s="64"/>
      <c r="Y92" s="64"/>
      <c r="Z92" s="64"/>
    </row>
    <row r="93" spans="1:26" x14ac:dyDescent="0.25">
      <c r="A93" s="64"/>
      <c r="B93" s="64"/>
      <c r="C93" s="64"/>
      <c r="D93" s="64"/>
      <c r="E93" s="64"/>
      <c r="F93" s="64"/>
      <c r="G93" s="64"/>
      <c r="H93" s="64"/>
      <c r="I93" s="64"/>
      <c r="J93" s="64"/>
      <c r="K93" s="64"/>
      <c r="L93" s="64"/>
      <c r="M93" s="64"/>
      <c r="N93" s="65"/>
      <c r="O93" s="65"/>
      <c r="P93" s="64"/>
      <c r="Q93" s="64"/>
      <c r="R93" s="64"/>
      <c r="S93" s="64"/>
      <c r="T93" s="64"/>
      <c r="U93" s="64"/>
      <c r="V93" s="64"/>
      <c r="W93" s="64"/>
      <c r="X93" s="64"/>
      <c r="Y93" s="64"/>
      <c r="Z93" s="64"/>
    </row>
    <row r="94" spans="1:26" x14ac:dyDescent="0.25">
      <c r="A94" s="64"/>
      <c r="B94" s="64"/>
      <c r="C94" s="64"/>
      <c r="D94" s="64"/>
      <c r="E94" s="64"/>
      <c r="F94" s="64"/>
      <c r="G94" s="64"/>
      <c r="H94" s="64"/>
      <c r="I94" s="64"/>
      <c r="J94" s="64"/>
      <c r="K94" s="64"/>
      <c r="L94" s="64"/>
      <c r="M94" s="64"/>
      <c r="N94" s="65"/>
      <c r="O94" s="65"/>
      <c r="P94" s="64"/>
      <c r="Q94" s="64"/>
      <c r="R94" s="64"/>
      <c r="S94" s="64"/>
      <c r="T94" s="64"/>
      <c r="U94" s="64"/>
      <c r="V94" s="64"/>
      <c r="W94" s="64"/>
      <c r="X94" s="64"/>
      <c r="Y94" s="64"/>
      <c r="Z94" s="64"/>
    </row>
    <row r="95" spans="1:26" x14ac:dyDescent="0.25">
      <c r="A95" s="64"/>
      <c r="B95" s="64"/>
      <c r="C95" s="64"/>
      <c r="D95" s="64"/>
      <c r="E95" s="64"/>
      <c r="F95" s="64"/>
      <c r="G95" s="64"/>
      <c r="H95" s="64"/>
      <c r="I95" s="64"/>
      <c r="J95" s="64"/>
      <c r="K95" s="64"/>
      <c r="L95" s="64"/>
      <c r="M95" s="64"/>
      <c r="N95" s="65"/>
      <c r="O95" s="65"/>
      <c r="P95" s="64"/>
      <c r="Q95" s="64"/>
      <c r="R95" s="64"/>
      <c r="S95" s="64"/>
      <c r="T95" s="64"/>
      <c r="U95" s="64"/>
      <c r="V95" s="64"/>
      <c r="W95" s="64"/>
      <c r="X95" s="64"/>
      <c r="Y95" s="64"/>
      <c r="Z95" s="64"/>
    </row>
    <row r="96" spans="1:26" x14ac:dyDescent="0.25">
      <c r="A96" s="64"/>
      <c r="B96" s="64"/>
      <c r="C96" s="64"/>
      <c r="D96" s="64"/>
      <c r="E96" s="64"/>
      <c r="F96" s="64"/>
      <c r="G96" s="64"/>
      <c r="H96" s="64"/>
      <c r="I96" s="64"/>
      <c r="J96" s="64"/>
      <c r="K96" s="64"/>
      <c r="L96" s="64"/>
      <c r="M96" s="64"/>
      <c r="N96" s="65"/>
      <c r="O96" s="65"/>
      <c r="P96" s="64"/>
      <c r="Q96" s="64"/>
      <c r="R96" s="64"/>
      <c r="S96" s="64"/>
      <c r="T96" s="64"/>
      <c r="U96" s="64"/>
      <c r="V96" s="64"/>
      <c r="W96" s="64"/>
      <c r="X96" s="64"/>
      <c r="Y96" s="64"/>
      <c r="Z96" s="64"/>
    </row>
    <row r="97" spans="1:26" x14ac:dyDescent="0.25">
      <c r="A97" s="64"/>
      <c r="B97" s="64"/>
      <c r="C97" s="64"/>
      <c r="D97" s="64"/>
      <c r="E97" s="64"/>
      <c r="F97" s="64"/>
      <c r="G97" s="64"/>
      <c r="H97" s="64"/>
      <c r="I97" s="64"/>
      <c r="J97" s="64"/>
      <c r="K97" s="64"/>
      <c r="L97" s="64"/>
      <c r="M97" s="64"/>
      <c r="N97" s="65"/>
      <c r="O97" s="65"/>
      <c r="P97" s="64"/>
      <c r="Q97" s="64"/>
      <c r="R97" s="64"/>
      <c r="S97" s="64"/>
      <c r="T97" s="64"/>
      <c r="U97" s="64"/>
      <c r="V97" s="64"/>
      <c r="W97" s="64"/>
      <c r="X97" s="64"/>
      <c r="Y97" s="64"/>
      <c r="Z97" s="64"/>
    </row>
    <row r="98" spans="1:26" x14ac:dyDescent="0.25">
      <c r="A98" s="64"/>
      <c r="B98" s="64"/>
      <c r="C98" s="64"/>
      <c r="D98" s="64"/>
      <c r="E98" s="64"/>
      <c r="F98" s="64"/>
      <c r="G98" s="64"/>
      <c r="H98" s="64"/>
      <c r="I98" s="64"/>
      <c r="J98" s="64"/>
      <c r="K98" s="64"/>
      <c r="L98" s="64"/>
      <c r="M98" s="64"/>
      <c r="N98" s="65"/>
      <c r="O98" s="65"/>
      <c r="P98" s="64"/>
      <c r="Q98" s="64"/>
      <c r="R98" s="64"/>
      <c r="S98" s="64"/>
      <c r="T98" s="64"/>
      <c r="U98" s="64"/>
      <c r="V98" s="64"/>
      <c r="W98" s="64"/>
      <c r="X98" s="64"/>
      <c r="Y98" s="64"/>
      <c r="Z98" s="64"/>
    </row>
    <row r="99" spans="1:26" x14ac:dyDescent="0.25">
      <c r="A99" s="64"/>
      <c r="B99" s="64"/>
      <c r="C99" s="64"/>
      <c r="D99" s="64"/>
      <c r="E99" s="64"/>
      <c r="F99" s="64"/>
      <c r="G99" s="64"/>
      <c r="H99" s="64"/>
      <c r="I99" s="64"/>
      <c r="J99" s="64"/>
      <c r="K99" s="64"/>
      <c r="L99" s="64"/>
      <c r="M99" s="64"/>
      <c r="N99" s="65"/>
      <c r="O99" s="65"/>
      <c r="P99" s="64"/>
      <c r="Q99" s="64"/>
      <c r="R99" s="64"/>
      <c r="S99" s="64"/>
      <c r="T99" s="64"/>
      <c r="U99" s="64"/>
      <c r="V99" s="64"/>
      <c r="W99" s="64"/>
      <c r="X99" s="64"/>
      <c r="Y99" s="64"/>
      <c r="Z99" s="64"/>
    </row>
    <row r="100" spans="1:26" x14ac:dyDescent="0.25">
      <c r="A100" s="64"/>
      <c r="B100" s="64"/>
      <c r="C100" s="64"/>
      <c r="D100" s="64"/>
      <c r="E100" s="64"/>
      <c r="F100" s="64"/>
      <c r="G100" s="64"/>
      <c r="H100" s="64"/>
      <c r="I100" s="64"/>
      <c r="J100" s="64"/>
      <c r="K100" s="64"/>
      <c r="L100" s="64"/>
      <c r="M100" s="64"/>
      <c r="N100" s="65"/>
      <c r="O100" s="65"/>
      <c r="P100" s="64"/>
      <c r="Q100" s="64"/>
      <c r="R100" s="64"/>
      <c r="S100" s="64"/>
      <c r="T100" s="64"/>
      <c r="U100" s="64"/>
      <c r="V100" s="64"/>
      <c r="W100" s="64"/>
      <c r="X100" s="64"/>
      <c r="Y100" s="64"/>
      <c r="Z100" s="64"/>
    </row>
    <row r="101" spans="1:26" x14ac:dyDescent="0.25">
      <c r="A101" s="64"/>
      <c r="B101" s="64"/>
      <c r="C101" s="64"/>
      <c r="D101" s="64"/>
      <c r="E101" s="64"/>
      <c r="F101" s="64"/>
      <c r="G101" s="64"/>
      <c r="H101" s="64"/>
      <c r="I101" s="64"/>
      <c r="J101" s="64"/>
      <c r="K101" s="64"/>
      <c r="L101" s="64"/>
      <c r="M101" s="64"/>
      <c r="N101" s="65"/>
      <c r="O101" s="65"/>
      <c r="P101" s="64"/>
      <c r="Q101" s="64"/>
      <c r="R101" s="64"/>
      <c r="S101" s="64"/>
      <c r="T101" s="64"/>
      <c r="U101" s="64"/>
      <c r="V101" s="64"/>
      <c r="W101" s="64"/>
      <c r="X101" s="64"/>
      <c r="Y101" s="64"/>
      <c r="Z101" s="64"/>
    </row>
    <row r="102" spans="1:26" x14ac:dyDescent="0.25">
      <c r="A102" s="64"/>
      <c r="B102" s="64"/>
      <c r="C102" s="64"/>
      <c r="D102" s="64"/>
      <c r="E102" s="64"/>
      <c r="F102" s="64"/>
      <c r="G102" s="64"/>
      <c r="H102" s="64"/>
      <c r="I102" s="64"/>
      <c r="J102" s="64"/>
      <c r="K102" s="64"/>
      <c r="L102" s="64"/>
      <c r="M102" s="64"/>
      <c r="N102" s="65"/>
      <c r="O102" s="65"/>
      <c r="P102" s="64"/>
      <c r="Q102" s="64"/>
      <c r="R102" s="64"/>
      <c r="S102" s="64"/>
      <c r="T102" s="64"/>
      <c r="U102" s="64"/>
      <c r="V102" s="64"/>
      <c r="W102" s="64"/>
      <c r="X102" s="64"/>
      <c r="Y102" s="64"/>
      <c r="Z102" s="64"/>
    </row>
    <row r="103" spans="1:26" x14ac:dyDescent="0.25">
      <c r="A103" s="64"/>
      <c r="B103" s="64"/>
      <c r="C103" s="64"/>
      <c r="D103" s="64"/>
      <c r="E103" s="64"/>
      <c r="F103" s="64"/>
      <c r="G103" s="64"/>
      <c r="H103" s="64"/>
      <c r="I103" s="64"/>
      <c r="J103" s="64"/>
      <c r="K103" s="64"/>
      <c r="L103" s="64"/>
      <c r="M103" s="64"/>
      <c r="N103" s="65"/>
      <c r="O103" s="65"/>
      <c r="P103" s="64"/>
      <c r="Q103" s="64"/>
      <c r="R103" s="64"/>
      <c r="S103" s="64"/>
      <c r="T103" s="64"/>
      <c r="U103" s="64"/>
      <c r="V103" s="64"/>
      <c r="W103" s="64"/>
      <c r="X103" s="64"/>
      <c r="Y103" s="64"/>
      <c r="Z103" s="64"/>
    </row>
    <row r="104" spans="1:26" x14ac:dyDescent="0.25">
      <c r="A104" s="64"/>
      <c r="B104" s="64"/>
      <c r="C104" s="64"/>
      <c r="D104" s="64"/>
      <c r="E104" s="64"/>
      <c r="F104" s="64"/>
      <c r="G104" s="64"/>
      <c r="H104" s="64"/>
      <c r="I104" s="64"/>
      <c r="J104" s="64"/>
      <c r="K104" s="64"/>
      <c r="L104" s="64"/>
      <c r="M104" s="64"/>
      <c r="N104" s="65"/>
      <c r="O104" s="65"/>
      <c r="P104" s="64"/>
      <c r="Q104" s="64"/>
      <c r="R104" s="64"/>
      <c r="S104" s="64"/>
      <c r="T104" s="64"/>
      <c r="U104" s="64"/>
      <c r="V104" s="64"/>
      <c r="W104" s="64"/>
      <c r="X104" s="64"/>
      <c r="Y104" s="64"/>
      <c r="Z104" s="64"/>
    </row>
    <row r="105" spans="1:26" x14ac:dyDescent="0.25">
      <c r="A105" s="64"/>
      <c r="B105" s="64"/>
      <c r="C105" s="64"/>
      <c r="D105" s="64"/>
      <c r="E105" s="64"/>
      <c r="F105" s="64"/>
      <c r="G105" s="64"/>
      <c r="H105" s="64"/>
      <c r="I105" s="64"/>
      <c r="J105" s="64"/>
      <c r="K105" s="64"/>
      <c r="L105" s="64"/>
      <c r="M105" s="64"/>
      <c r="N105" s="65"/>
      <c r="O105" s="65"/>
      <c r="P105" s="64"/>
      <c r="Q105" s="64"/>
      <c r="R105" s="64"/>
      <c r="S105" s="64"/>
      <c r="T105" s="64"/>
      <c r="U105" s="64"/>
      <c r="V105" s="64"/>
      <c r="W105" s="64"/>
      <c r="X105" s="64"/>
      <c r="Y105" s="64"/>
      <c r="Z105" s="64"/>
    </row>
    <row r="106" spans="1:26" x14ac:dyDescent="0.25">
      <c r="A106" s="64"/>
      <c r="B106" s="64"/>
      <c r="C106" s="64"/>
      <c r="D106" s="64"/>
      <c r="E106" s="64"/>
      <c r="F106" s="64"/>
      <c r="G106" s="64"/>
      <c r="H106" s="64"/>
      <c r="I106" s="64"/>
      <c r="J106" s="64"/>
      <c r="K106" s="64"/>
      <c r="L106" s="64"/>
      <c r="M106" s="64"/>
      <c r="N106" s="65"/>
      <c r="O106" s="65"/>
      <c r="P106" s="64"/>
      <c r="Q106" s="64"/>
      <c r="R106" s="64"/>
      <c r="S106" s="64"/>
      <c r="T106" s="64"/>
      <c r="U106" s="64"/>
      <c r="V106" s="64"/>
      <c r="W106" s="64"/>
      <c r="X106" s="64"/>
      <c r="Y106" s="64"/>
      <c r="Z106" s="64"/>
    </row>
    <row r="107" spans="1:26" x14ac:dyDescent="0.25">
      <c r="A107" s="64"/>
      <c r="B107" s="64"/>
      <c r="C107" s="64"/>
      <c r="D107" s="64"/>
      <c r="E107" s="64"/>
      <c r="F107" s="64"/>
      <c r="G107" s="64"/>
      <c r="H107" s="64"/>
      <c r="I107" s="64"/>
      <c r="J107" s="64"/>
      <c r="K107" s="64"/>
      <c r="L107" s="64"/>
      <c r="M107" s="64"/>
      <c r="N107" s="65"/>
      <c r="O107" s="65"/>
      <c r="P107" s="64"/>
      <c r="Q107" s="64"/>
      <c r="R107" s="64"/>
      <c r="S107" s="64"/>
      <c r="T107" s="64"/>
      <c r="U107" s="64"/>
      <c r="V107" s="64"/>
      <c r="W107" s="64"/>
      <c r="X107" s="64"/>
      <c r="Y107" s="64"/>
      <c r="Z107" s="64"/>
    </row>
    <row r="108" spans="1:26" x14ac:dyDescent="0.25">
      <c r="A108" s="64"/>
      <c r="B108" s="64"/>
      <c r="C108" s="64"/>
      <c r="D108" s="64"/>
      <c r="E108" s="64"/>
      <c r="F108" s="64"/>
      <c r="G108" s="64"/>
      <c r="H108" s="64"/>
      <c r="I108" s="64"/>
      <c r="J108" s="64"/>
      <c r="K108" s="64"/>
      <c r="L108" s="64"/>
      <c r="M108" s="64"/>
      <c r="N108" s="65"/>
      <c r="O108" s="65"/>
      <c r="P108" s="64"/>
      <c r="Q108" s="64"/>
      <c r="R108" s="64"/>
      <c r="S108" s="64"/>
      <c r="T108" s="64"/>
      <c r="U108" s="64"/>
      <c r="V108" s="64"/>
      <c r="W108" s="64"/>
      <c r="X108" s="64"/>
      <c r="Y108" s="64"/>
      <c r="Z108" s="64"/>
    </row>
    <row r="109" spans="1:26" x14ac:dyDescent="0.25">
      <c r="A109" s="64"/>
      <c r="B109" s="64"/>
      <c r="C109" s="64"/>
      <c r="D109" s="64"/>
      <c r="E109" s="64"/>
      <c r="F109" s="64"/>
      <c r="G109" s="64"/>
      <c r="H109" s="64"/>
      <c r="I109" s="64"/>
      <c r="J109" s="64"/>
      <c r="K109" s="64"/>
      <c r="L109" s="64"/>
      <c r="M109" s="64"/>
      <c r="N109" s="65"/>
      <c r="O109" s="65"/>
      <c r="P109" s="64"/>
      <c r="Q109" s="64"/>
      <c r="R109" s="64"/>
      <c r="S109" s="64"/>
      <c r="T109" s="64"/>
      <c r="U109" s="64"/>
      <c r="V109" s="64"/>
      <c r="W109" s="64"/>
      <c r="X109" s="64"/>
      <c r="Y109" s="64"/>
      <c r="Z109" s="64"/>
    </row>
    <row r="110" spans="1:26" x14ac:dyDescent="0.25">
      <c r="A110" s="64"/>
      <c r="B110" s="64"/>
      <c r="C110" s="64"/>
      <c r="D110" s="64"/>
      <c r="E110" s="64"/>
      <c r="F110" s="64"/>
      <c r="G110" s="64"/>
      <c r="H110" s="64"/>
      <c r="I110" s="64"/>
      <c r="J110" s="64"/>
      <c r="K110" s="64"/>
      <c r="L110" s="64"/>
      <c r="M110" s="64"/>
      <c r="N110" s="65"/>
      <c r="O110" s="65"/>
      <c r="P110" s="64"/>
      <c r="Q110" s="64"/>
      <c r="R110" s="64"/>
      <c r="S110" s="64"/>
      <c r="T110" s="64"/>
      <c r="U110" s="64"/>
      <c r="V110" s="64"/>
      <c r="W110" s="64"/>
      <c r="X110" s="64"/>
      <c r="Y110" s="64"/>
      <c r="Z110" s="64"/>
    </row>
    <row r="111" spans="1:26" x14ac:dyDescent="0.25">
      <c r="A111" s="64"/>
      <c r="B111" s="64"/>
      <c r="C111" s="64"/>
      <c r="D111" s="64"/>
      <c r="E111" s="64"/>
      <c r="F111" s="64"/>
      <c r="G111" s="64"/>
      <c r="H111" s="64"/>
      <c r="I111" s="64"/>
      <c r="J111" s="64"/>
      <c r="K111" s="64"/>
      <c r="L111" s="64"/>
      <c r="M111" s="64"/>
      <c r="N111" s="65"/>
      <c r="O111" s="65"/>
      <c r="P111" s="64"/>
      <c r="Q111" s="64"/>
      <c r="R111" s="64"/>
      <c r="S111" s="64"/>
      <c r="T111" s="64"/>
      <c r="U111" s="64"/>
      <c r="V111" s="64"/>
      <c r="W111" s="64"/>
      <c r="X111" s="64"/>
      <c r="Y111" s="64"/>
      <c r="Z111" s="64"/>
    </row>
    <row r="112" spans="1:26" x14ac:dyDescent="0.25">
      <c r="A112" s="64"/>
      <c r="B112" s="64"/>
      <c r="C112" s="64"/>
      <c r="D112" s="64"/>
      <c r="E112" s="64"/>
      <c r="F112" s="64"/>
      <c r="G112" s="64"/>
      <c r="H112" s="64"/>
      <c r="I112" s="64"/>
      <c r="J112" s="64"/>
      <c r="K112" s="64"/>
      <c r="L112" s="64"/>
      <c r="M112" s="64"/>
      <c r="N112" s="65"/>
      <c r="O112" s="65"/>
      <c r="P112" s="64"/>
      <c r="Q112" s="64"/>
      <c r="R112" s="64"/>
      <c r="S112" s="64"/>
      <c r="T112" s="64"/>
      <c r="U112" s="64"/>
      <c r="V112" s="64"/>
      <c r="W112" s="64"/>
      <c r="X112" s="64"/>
      <c r="Y112" s="64"/>
      <c r="Z112" s="64"/>
    </row>
    <row r="113" spans="1:26" x14ac:dyDescent="0.25">
      <c r="A113" s="64"/>
      <c r="B113" s="64"/>
      <c r="C113" s="64"/>
      <c r="D113" s="64"/>
      <c r="E113" s="64"/>
      <c r="F113" s="64"/>
      <c r="G113" s="64"/>
      <c r="H113" s="64"/>
      <c r="I113" s="64"/>
      <c r="J113" s="64"/>
      <c r="K113" s="64"/>
      <c r="L113" s="64"/>
      <c r="M113" s="64"/>
      <c r="N113" s="65"/>
      <c r="O113" s="65"/>
      <c r="P113" s="64"/>
      <c r="Q113" s="64"/>
      <c r="R113" s="64"/>
      <c r="S113" s="64"/>
      <c r="T113" s="64"/>
      <c r="U113" s="64"/>
      <c r="V113" s="64"/>
      <c r="W113" s="64"/>
      <c r="X113" s="64"/>
      <c r="Y113" s="64"/>
      <c r="Z113" s="64"/>
    </row>
    <row r="114" spans="1:26" x14ac:dyDescent="0.25">
      <c r="A114" s="64"/>
      <c r="B114" s="64"/>
      <c r="C114" s="64"/>
      <c r="D114" s="64"/>
      <c r="E114" s="64"/>
      <c r="F114" s="64"/>
      <c r="G114" s="64"/>
      <c r="H114" s="64"/>
      <c r="I114" s="64"/>
      <c r="J114" s="64"/>
      <c r="K114" s="64"/>
      <c r="L114" s="64"/>
      <c r="M114" s="64"/>
      <c r="N114" s="65"/>
      <c r="O114" s="65"/>
      <c r="P114" s="64"/>
      <c r="Q114" s="64"/>
      <c r="R114" s="64"/>
      <c r="S114" s="64"/>
      <c r="T114" s="64"/>
      <c r="U114" s="64"/>
      <c r="V114" s="64"/>
      <c r="W114" s="64"/>
      <c r="X114" s="64"/>
      <c r="Y114" s="64"/>
      <c r="Z114" s="64"/>
    </row>
    <row r="115" spans="1:26" x14ac:dyDescent="0.25">
      <c r="A115" s="64"/>
      <c r="B115" s="64"/>
      <c r="C115" s="64"/>
      <c r="D115" s="64"/>
      <c r="E115" s="64"/>
      <c r="F115" s="64"/>
      <c r="G115" s="64"/>
      <c r="H115" s="64"/>
      <c r="I115" s="64"/>
      <c r="J115" s="64"/>
      <c r="K115" s="64"/>
      <c r="L115" s="64"/>
      <c r="M115" s="64"/>
      <c r="N115" s="65"/>
      <c r="O115" s="65"/>
      <c r="P115" s="64"/>
      <c r="Q115" s="64"/>
      <c r="R115" s="64"/>
      <c r="S115" s="64"/>
      <c r="T115" s="64"/>
      <c r="U115" s="64"/>
      <c r="V115" s="64"/>
      <c r="W115" s="64"/>
      <c r="X115" s="64"/>
      <c r="Y115" s="64"/>
      <c r="Z115" s="64"/>
    </row>
    <row r="116" spans="1:26" x14ac:dyDescent="0.25">
      <c r="A116" s="64"/>
      <c r="B116" s="64"/>
      <c r="C116" s="64"/>
      <c r="D116" s="64"/>
      <c r="E116" s="64"/>
      <c r="F116" s="64"/>
      <c r="G116" s="64"/>
      <c r="H116" s="64"/>
      <c r="I116" s="64"/>
      <c r="J116" s="64"/>
      <c r="K116" s="64"/>
      <c r="L116" s="64"/>
      <c r="M116" s="64"/>
      <c r="N116" s="65"/>
      <c r="O116" s="65"/>
      <c r="P116" s="64"/>
      <c r="Q116" s="64"/>
      <c r="R116" s="64"/>
      <c r="S116" s="64"/>
      <c r="T116" s="64"/>
      <c r="U116" s="64"/>
      <c r="V116" s="64"/>
      <c r="W116" s="64"/>
      <c r="X116" s="64"/>
      <c r="Y116" s="64"/>
      <c r="Z116" s="64"/>
    </row>
    <row r="117" spans="1:26" x14ac:dyDescent="0.25">
      <c r="A117" s="64"/>
      <c r="B117" s="64"/>
      <c r="C117" s="64"/>
      <c r="D117" s="64"/>
      <c r="E117" s="64"/>
      <c r="F117" s="64"/>
      <c r="G117" s="64"/>
      <c r="H117" s="64"/>
      <c r="I117" s="64"/>
      <c r="J117" s="64"/>
      <c r="K117" s="64"/>
      <c r="L117" s="64"/>
      <c r="M117" s="64"/>
      <c r="N117" s="65"/>
      <c r="O117" s="65"/>
      <c r="P117" s="64"/>
      <c r="Q117" s="64"/>
      <c r="R117" s="64"/>
      <c r="S117" s="64"/>
      <c r="T117" s="64"/>
      <c r="U117" s="64"/>
      <c r="V117" s="64"/>
      <c r="W117" s="64"/>
      <c r="X117" s="64"/>
      <c r="Y117" s="64"/>
      <c r="Z117" s="64"/>
    </row>
    <row r="118" spans="1:26" x14ac:dyDescent="0.25">
      <c r="A118" s="64"/>
      <c r="B118" s="64"/>
      <c r="C118" s="64"/>
      <c r="D118" s="64"/>
      <c r="E118" s="64"/>
      <c r="F118" s="64"/>
      <c r="G118" s="64"/>
      <c r="H118" s="64"/>
      <c r="I118" s="64"/>
      <c r="J118" s="64"/>
      <c r="K118" s="64"/>
      <c r="L118" s="64"/>
      <c r="M118" s="64"/>
      <c r="N118" s="65"/>
      <c r="O118" s="65"/>
      <c r="P118" s="64"/>
      <c r="Q118" s="64"/>
      <c r="R118" s="64"/>
      <c r="S118" s="64"/>
      <c r="T118" s="64"/>
      <c r="U118" s="64"/>
      <c r="V118" s="64"/>
      <c r="W118" s="64"/>
      <c r="X118" s="64"/>
      <c r="Y118" s="64"/>
      <c r="Z118" s="64"/>
    </row>
    <row r="119" spans="1:26" x14ac:dyDescent="0.25">
      <c r="A119" s="64"/>
      <c r="B119" s="64"/>
      <c r="C119" s="64"/>
      <c r="D119" s="64"/>
      <c r="E119" s="64"/>
      <c r="F119" s="64"/>
      <c r="G119" s="64"/>
      <c r="H119" s="64"/>
      <c r="I119" s="64"/>
      <c r="J119" s="64"/>
      <c r="K119" s="64"/>
      <c r="L119" s="64"/>
      <c r="M119" s="64"/>
      <c r="N119" s="65"/>
      <c r="O119" s="65"/>
      <c r="P119" s="64"/>
      <c r="Q119" s="64"/>
      <c r="R119" s="64"/>
      <c r="S119" s="64"/>
      <c r="T119" s="64"/>
      <c r="U119" s="64"/>
      <c r="V119" s="64"/>
      <c r="W119" s="64"/>
      <c r="X119" s="64"/>
      <c r="Y119" s="64"/>
      <c r="Z119" s="64"/>
    </row>
    <row r="120" spans="1:26" x14ac:dyDescent="0.25">
      <c r="A120" s="64"/>
      <c r="B120" s="64"/>
      <c r="C120" s="64"/>
      <c r="D120" s="64"/>
      <c r="E120" s="64"/>
      <c r="F120" s="64"/>
      <c r="G120" s="64"/>
      <c r="H120" s="64"/>
      <c r="I120" s="64"/>
      <c r="J120" s="64"/>
      <c r="K120" s="64"/>
      <c r="L120" s="64"/>
      <c r="M120" s="64"/>
      <c r="N120" s="65"/>
      <c r="O120" s="65"/>
      <c r="P120" s="64"/>
      <c r="Q120" s="64"/>
      <c r="R120" s="64"/>
      <c r="S120" s="64"/>
      <c r="T120" s="64"/>
      <c r="U120" s="64"/>
      <c r="V120" s="64"/>
      <c r="W120" s="64"/>
      <c r="X120" s="64"/>
      <c r="Y120" s="64"/>
      <c r="Z120" s="64"/>
    </row>
    <row r="121" spans="1:26" x14ac:dyDescent="0.25">
      <c r="A121" s="64"/>
      <c r="B121" s="64"/>
      <c r="C121" s="64"/>
      <c r="D121" s="64"/>
      <c r="E121" s="64"/>
      <c r="F121" s="64"/>
      <c r="G121" s="64"/>
      <c r="H121" s="64"/>
      <c r="I121" s="64"/>
      <c r="J121" s="64"/>
      <c r="K121" s="64"/>
      <c r="L121" s="64"/>
      <c r="M121" s="64"/>
      <c r="N121" s="65"/>
      <c r="O121" s="65"/>
      <c r="P121" s="64"/>
      <c r="Q121" s="64"/>
      <c r="R121" s="64"/>
      <c r="S121" s="64"/>
      <c r="T121" s="64"/>
      <c r="U121" s="64"/>
      <c r="V121" s="64"/>
      <c r="W121" s="64"/>
      <c r="X121" s="64"/>
      <c r="Y121" s="64"/>
      <c r="Z121" s="64"/>
    </row>
    <row r="122" spans="1:26" x14ac:dyDescent="0.25">
      <c r="A122" s="64"/>
      <c r="B122" s="64"/>
      <c r="C122" s="64"/>
      <c r="D122" s="64"/>
      <c r="E122" s="64"/>
      <c r="F122" s="64"/>
      <c r="G122" s="64"/>
      <c r="H122" s="64"/>
      <c r="I122" s="64"/>
      <c r="J122" s="64"/>
      <c r="K122" s="64"/>
      <c r="L122" s="64"/>
      <c r="M122" s="64"/>
      <c r="N122" s="65"/>
      <c r="O122" s="65"/>
      <c r="P122" s="64"/>
      <c r="Q122" s="64"/>
      <c r="R122" s="64"/>
      <c r="S122" s="64"/>
      <c r="T122" s="64"/>
      <c r="U122" s="64"/>
      <c r="V122" s="64"/>
      <c r="W122" s="64"/>
      <c r="X122" s="64"/>
      <c r="Y122" s="64"/>
      <c r="Z122" s="64"/>
    </row>
    <row r="123" spans="1:26" x14ac:dyDescent="0.25">
      <c r="A123" s="64"/>
      <c r="B123" s="64"/>
      <c r="C123" s="64"/>
      <c r="D123" s="64"/>
      <c r="E123" s="64"/>
      <c r="F123" s="64"/>
      <c r="G123" s="64"/>
      <c r="H123" s="64"/>
      <c r="I123" s="64"/>
      <c r="J123" s="64"/>
      <c r="K123" s="64"/>
      <c r="L123" s="64"/>
      <c r="M123" s="64"/>
      <c r="N123" s="65"/>
      <c r="O123" s="65"/>
      <c r="P123" s="64"/>
      <c r="Q123" s="64"/>
      <c r="R123" s="64"/>
      <c r="S123" s="64"/>
      <c r="T123" s="64"/>
      <c r="U123" s="64"/>
      <c r="V123" s="64"/>
      <c r="W123" s="64"/>
      <c r="X123" s="64"/>
      <c r="Y123" s="64"/>
      <c r="Z123" s="64"/>
    </row>
    <row r="124" spans="1:26" x14ac:dyDescent="0.25">
      <c r="A124" s="64"/>
      <c r="B124" s="64"/>
      <c r="C124" s="64"/>
      <c r="D124" s="64"/>
      <c r="E124" s="64"/>
      <c r="F124" s="64"/>
      <c r="G124" s="64"/>
      <c r="H124" s="64"/>
      <c r="I124" s="64"/>
      <c r="J124" s="64"/>
      <c r="K124" s="64"/>
      <c r="L124" s="64"/>
      <c r="M124" s="64"/>
      <c r="N124" s="65"/>
      <c r="O124" s="65"/>
      <c r="P124" s="64"/>
      <c r="Q124" s="64"/>
      <c r="R124" s="64"/>
      <c r="S124" s="64"/>
      <c r="T124" s="64"/>
      <c r="U124" s="64"/>
      <c r="V124" s="64"/>
      <c r="W124" s="64"/>
      <c r="X124" s="64"/>
      <c r="Y124" s="64"/>
      <c r="Z124" s="64"/>
    </row>
    <row r="125" spans="1:26" x14ac:dyDescent="0.25">
      <c r="A125" s="64"/>
      <c r="B125" s="64"/>
      <c r="C125" s="64"/>
      <c r="D125" s="64"/>
      <c r="E125" s="64"/>
      <c r="F125" s="64"/>
      <c r="G125" s="64"/>
      <c r="H125" s="64"/>
      <c r="I125" s="64"/>
      <c r="J125" s="64"/>
      <c r="K125" s="64"/>
      <c r="L125" s="64"/>
      <c r="M125" s="64"/>
      <c r="N125" s="65"/>
      <c r="O125" s="65"/>
      <c r="P125" s="64"/>
      <c r="Q125" s="64"/>
      <c r="R125" s="64"/>
      <c r="S125" s="64"/>
      <c r="T125" s="64"/>
      <c r="U125" s="64"/>
      <c r="V125" s="64"/>
      <c r="W125" s="64"/>
      <c r="X125" s="64"/>
      <c r="Y125" s="64"/>
      <c r="Z125" s="64"/>
    </row>
    <row r="126" spans="1:26" x14ac:dyDescent="0.25">
      <c r="A126" s="64"/>
      <c r="B126" s="64"/>
      <c r="C126" s="64"/>
      <c r="D126" s="64"/>
      <c r="E126" s="64"/>
      <c r="F126" s="64"/>
      <c r="G126" s="64"/>
      <c r="H126" s="64"/>
      <c r="I126" s="64"/>
      <c r="J126" s="64"/>
      <c r="K126" s="64"/>
      <c r="L126" s="64"/>
      <c r="M126" s="64"/>
      <c r="N126" s="65"/>
      <c r="O126" s="65"/>
      <c r="P126" s="64"/>
      <c r="Q126" s="64"/>
      <c r="R126" s="64"/>
      <c r="S126" s="64"/>
      <c r="T126" s="64"/>
      <c r="U126" s="64"/>
      <c r="V126" s="64"/>
      <c r="W126" s="64"/>
      <c r="X126" s="64"/>
      <c r="Y126" s="64"/>
      <c r="Z126" s="64"/>
    </row>
    <row r="127" spans="1:26" x14ac:dyDescent="0.25">
      <c r="A127" s="64"/>
      <c r="B127" s="64"/>
      <c r="C127" s="64"/>
      <c r="D127" s="64"/>
      <c r="E127" s="64"/>
      <c r="F127" s="64"/>
      <c r="G127" s="64"/>
      <c r="H127" s="64"/>
      <c r="I127" s="64"/>
      <c r="J127" s="64"/>
      <c r="K127" s="64"/>
      <c r="L127" s="64"/>
      <c r="M127" s="64"/>
      <c r="N127" s="65"/>
      <c r="O127" s="65"/>
      <c r="P127" s="64"/>
      <c r="Q127" s="64"/>
      <c r="R127" s="64"/>
      <c r="S127" s="64"/>
      <c r="T127" s="64"/>
      <c r="U127" s="64"/>
      <c r="V127" s="64"/>
      <c r="W127" s="64"/>
      <c r="X127" s="64"/>
      <c r="Y127" s="64"/>
      <c r="Z127" s="64"/>
    </row>
    <row r="128" spans="1:26" x14ac:dyDescent="0.25">
      <c r="A128" s="64"/>
      <c r="B128" s="64"/>
      <c r="C128" s="64"/>
      <c r="D128" s="64"/>
      <c r="E128" s="64"/>
      <c r="F128" s="64"/>
      <c r="G128" s="64"/>
      <c r="H128" s="64"/>
      <c r="I128" s="64"/>
      <c r="J128" s="64"/>
      <c r="K128" s="64"/>
      <c r="L128" s="64"/>
      <c r="M128" s="64"/>
      <c r="N128" s="65"/>
      <c r="O128" s="65"/>
      <c r="P128" s="64"/>
      <c r="Q128" s="64"/>
      <c r="R128" s="64"/>
      <c r="S128" s="64"/>
      <c r="T128" s="64"/>
      <c r="U128" s="64"/>
      <c r="V128" s="64"/>
      <c r="W128" s="64"/>
      <c r="X128" s="64"/>
      <c r="Y128" s="64"/>
      <c r="Z128" s="64"/>
    </row>
    <row r="129" spans="1:26" x14ac:dyDescent="0.25">
      <c r="A129" s="64"/>
      <c r="B129" s="64"/>
      <c r="C129" s="64"/>
      <c r="D129" s="64"/>
      <c r="E129" s="64"/>
      <c r="F129" s="64"/>
      <c r="G129" s="64"/>
      <c r="H129" s="64"/>
      <c r="I129" s="64"/>
      <c r="J129" s="64"/>
      <c r="K129" s="64"/>
      <c r="L129" s="64"/>
      <c r="M129" s="64"/>
      <c r="N129" s="65"/>
      <c r="O129" s="65"/>
      <c r="P129" s="64"/>
      <c r="Q129" s="64"/>
      <c r="R129" s="64"/>
      <c r="S129" s="64"/>
      <c r="T129" s="64"/>
      <c r="U129" s="64"/>
      <c r="V129" s="64"/>
      <c r="W129" s="64"/>
      <c r="X129" s="64"/>
      <c r="Y129" s="64"/>
      <c r="Z129" s="64"/>
    </row>
    <row r="130" spans="1:26" x14ac:dyDescent="0.25">
      <c r="A130" s="64"/>
      <c r="B130" s="64"/>
      <c r="C130" s="64"/>
      <c r="D130" s="64"/>
      <c r="E130" s="64"/>
      <c r="F130" s="64"/>
      <c r="G130" s="64"/>
      <c r="H130" s="64"/>
      <c r="I130" s="64"/>
      <c r="J130" s="64"/>
      <c r="K130" s="64"/>
      <c r="L130" s="64"/>
      <c r="M130" s="64"/>
      <c r="N130" s="65"/>
      <c r="O130" s="65"/>
      <c r="P130" s="64"/>
      <c r="Q130" s="64"/>
      <c r="R130" s="64"/>
      <c r="S130" s="64"/>
      <c r="T130" s="64"/>
      <c r="U130" s="64"/>
      <c r="V130" s="64"/>
      <c r="W130" s="64"/>
      <c r="X130" s="64"/>
      <c r="Y130" s="64"/>
      <c r="Z130" s="64"/>
    </row>
    <row r="131" spans="1:26" x14ac:dyDescent="0.25">
      <c r="A131" s="64"/>
      <c r="B131" s="64"/>
      <c r="C131" s="64"/>
      <c r="D131" s="64"/>
      <c r="E131" s="64"/>
      <c r="F131" s="64"/>
      <c r="G131" s="64"/>
      <c r="H131" s="64"/>
      <c r="I131" s="64"/>
      <c r="J131" s="64"/>
      <c r="K131" s="64"/>
      <c r="L131" s="64"/>
      <c r="M131" s="64"/>
      <c r="N131" s="65"/>
      <c r="O131" s="65"/>
      <c r="P131" s="64"/>
      <c r="Q131" s="64"/>
      <c r="R131" s="64"/>
      <c r="S131" s="64"/>
      <c r="T131" s="64"/>
      <c r="U131" s="64"/>
      <c r="V131" s="64"/>
      <c r="W131" s="64"/>
      <c r="X131" s="64"/>
      <c r="Y131" s="64"/>
      <c r="Z131" s="64"/>
    </row>
    <row r="132" spans="1:26" x14ac:dyDescent="0.25">
      <c r="A132" s="64"/>
      <c r="B132" s="64"/>
      <c r="C132" s="64"/>
      <c r="D132" s="64"/>
      <c r="E132" s="64"/>
      <c r="F132" s="64"/>
      <c r="G132" s="64"/>
      <c r="H132" s="64"/>
      <c r="I132" s="64"/>
      <c r="J132" s="64"/>
      <c r="K132" s="64"/>
      <c r="L132" s="64"/>
      <c r="M132" s="64"/>
      <c r="N132" s="65"/>
      <c r="O132" s="65"/>
      <c r="P132" s="64"/>
      <c r="Q132" s="64"/>
      <c r="R132" s="64"/>
      <c r="S132" s="64"/>
      <c r="T132" s="64"/>
      <c r="U132" s="64"/>
      <c r="V132" s="64"/>
      <c r="W132" s="64"/>
      <c r="X132" s="64"/>
      <c r="Y132" s="64"/>
      <c r="Z132" s="64"/>
    </row>
    <row r="133" spans="1:26" x14ac:dyDescent="0.25">
      <c r="A133" s="64"/>
      <c r="B133" s="64"/>
      <c r="C133" s="64"/>
      <c r="D133" s="64"/>
      <c r="E133" s="64"/>
      <c r="F133" s="64"/>
      <c r="G133" s="64"/>
      <c r="H133" s="64"/>
      <c r="I133" s="64"/>
      <c r="J133" s="64"/>
      <c r="K133" s="64"/>
      <c r="L133" s="64"/>
      <c r="M133" s="64"/>
      <c r="N133" s="65"/>
      <c r="O133" s="65"/>
      <c r="P133" s="64"/>
      <c r="Q133" s="64"/>
      <c r="R133" s="64"/>
      <c r="S133" s="64"/>
      <c r="T133" s="64"/>
      <c r="U133" s="64"/>
      <c r="V133" s="64"/>
      <c r="W133" s="64"/>
      <c r="X133" s="64"/>
      <c r="Y133" s="64"/>
      <c r="Z133" s="64"/>
    </row>
    <row r="134" spans="1:26" x14ac:dyDescent="0.25">
      <c r="A134" s="64"/>
      <c r="B134" s="64"/>
      <c r="C134" s="64"/>
      <c r="D134" s="64"/>
      <c r="E134" s="64"/>
      <c r="F134" s="64"/>
      <c r="G134" s="64"/>
      <c r="H134" s="64"/>
      <c r="I134" s="64"/>
      <c r="J134" s="64"/>
      <c r="K134" s="64"/>
      <c r="L134" s="64"/>
      <c r="M134" s="64"/>
      <c r="N134" s="65"/>
      <c r="O134" s="65"/>
      <c r="P134" s="64"/>
      <c r="Q134" s="64"/>
      <c r="R134" s="64"/>
      <c r="S134" s="64"/>
      <c r="T134" s="64"/>
      <c r="U134" s="64"/>
      <c r="V134" s="64"/>
      <c r="W134" s="64"/>
      <c r="X134" s="64"/>
      <c r="Y134" s="64"/>
      <c r="Z134" s="64"/>
    </row>
    <row r="135" spans="1:26" x14ac:dyDescent="0.25">
      <c r="A135" s="64"/>
      <c r="B135" s="64"/>
      <c r="C135" s="64"/>
      <c r="D135" s="64"/>
      <c r="E135" s="64"/>
      <c r="F135" s="64"/>
      <c r="G135" s="64"/>
      <c r="H135" s="64"/>
      <c r="I135" s="64"/>
      <c r="J135" s="64"/>
      <c r="K135" s="64"/>
      <c r="L135" s="64"/>
      <c r="M135" s="64"/>
      <c r="N135" s="65"/>
      <c r="O135" s="65"/>
      <c r="P135" s="64"/>
      <c r="Q135" s="64"/>
      <c r="R135" s="64"/>
      <c r="S135" s="64"/>
      <c r="T135" s="64"/>
      <c r="U135" s="64"/>
      <c r="V135" s="64"/>
      <c r="W135" s="64"/>
      <c r="X135" s="64"/>
      <c r="Y135" s="64"/>
      <c r="Z135" s="64"/>
    </row>
    <row r="136" spans="1:26" x14ac:dyDescent="0.25">
      <c r="A136" s="64"/>
      <c r="B136" s="64"/>
      <c r="C136" s="64"/>
      <c r="D136" s="64"/>
      <c r="E136" s="64"/>
      <c r="F136" s="64"/>
      <c r="G136" s="64"/>
      <c r="H136" s="64"/>
      <c r="I136" s="64"/>
      <c r="J136" s="64"/>
      <c r="K136" s="64"/>
      <c r="L136" s="64"/>
      <c r="M136" s="64"/>
      <c r="N136" s="65"/>
      <c r="O136" s="65"/>
      <c r="P136" s="64"/>
      <c r="Q136" s="64"/>
      <c r="R136" s="64"/>
      <c r="S136" s="64"/>
      <c r="T136" s="64"/>
      <c r="U136" s="64"/>
      <c r="V136" s="64"/>
      <c r="W136" s="64"/>
      <c r="X136" s="64"/>
      <c r="Y136" s="64"/>
      <c r="Z136" s="64"/>
    </row>
    <row r="137" spans="1:26" x14ac:dyDescent="0.25">
      <c r="A137" s="64"/>
      <c r="B137" s="64"/>
      <c r="C137" s="64"/>
      <c r="D137" s="64"/>
      <c r="E137" s="64"/>
      <c r="F137" s="64"/>
      <c r="G137" s="64"/>
      <c r="H137" s="64"/>
      <c r="I137" s="64"/>
      <c r="J137" s="64"/>
      <c r="K137" s="64"/>
      <c r="L137" s="64"/>
      <c r="M137" s="64"/>
      <c r="N137" s="65"/>
      <c r="O137" s="65"/>
      <c r="P137" s="64"/>
      <c r="Q137" s="64"/>
      <c r="R137" s="64"/>
      <c r="S137" s="64"/>
      <c r="T137" s="64"/>
      <c r="U137" s="64"/>
      <c r="V137" s="64"/>
      <c r="W137" s="64"/>
      <c r="X137" s="64"/>
      <c r="Y137" s="64"/>
      <c r="Z137" s="64"/>
    </row>
    <row r="138" spans="1:26" x14ac:dyDescent="0.25">
      <c r="A138" s="64"/>
      <c r="B138" s="64"/>
      <c r="C138" s="64"/>
      <c r="D138" s="64"/>
      <c r="E138" s="64"/>
      <c r="F138" s="64"/>
      <c r="G138" s="64"/>
      <c r="H138" s="64"/>
      <c r="I138" s="64"/>
      <c r="J138" s="64"/>
      <c r="K138" s="64"/>
      <c r="L138" s="64"/>
      <c r="M138" s="64"/>
      <c r="N138" s="65"/>
      <c r="O138" s="65"/>
      <c r="P138" s="64"/>
      <c r="Q138" s="64"/>
      <c r="R138" s="64"/>
      <c r="S138" s="64"/>
      <c r="T138" s="64"/>
      <c r="U138" s="64"/>
      <c r="V138" s="64"/>
      <c r="W138" s="64"/>
      <c r="X138" s="64"/>
      <c r="Y138" s="64"/>
      <c r="Z138" s="64"/>
    </row>
    <row r="139" spans="1:26" x14ac:dyDescent="0.25">
      <c r="A139" s="64"/>
      <c r="B139" s="64"/>
      <c r="C139" s="64"/>
      <c r="D139" s="64"/>
      <c r="E139" s="64"/>
      <c r="F139" s="64"/>
      <c r="G139" s="64"/>
      <c r="H139" s="64"/>
      <c r="I139" s="64"/>
      <c r="J139" s="64"/>
      <c r="K139" s="64"/>
      <c r="L139" s="64"/>
      <c r="M139" s="64"/>
      <c r="N139" s="65"/>
      <c r="O139" s="65"/>
      <c r="P139" s="64"/>
      <c r="Q139" s="64"/>
      <c r="R139" s="64"/>
      <c r="S139" s="64"/>
      <c r="T139" s="64"/>
      <c r="U139" s="64"/>
      <c r="V139" s="64"/>
      <c r="W139" s="64"/>
      <c r="X139" s="64"/>
      <c r="Y139" s="64"/>
      <c r="Z139" s="64"/>
    </row>
    <row r="140" spans="1:26" x14ac:dyDescent="0.25">
      <c r="A140" s="64"/>
      <c r="B140" s="64"/>
      <c r="C140" s="64"/>
      <c r="D140" s="64"/>
      <c r="E140" s="64"/>
      <c r="F140" s="64"/>
      <c r="G140" s="64"/>
      <c r="H140" s="64"/>
      <c r="I140" s="64"/>
      <c r="J140" s="64"/>
      <c r="K140" s="64"/>
      <c r="L140" s="64"/>
      <c r="M140" s="64"/>
      <c r="N140" s="65"/>
      <c r="O140" s="65"/>
      <c r="P140" s="64"/>
      <c r="Q140" s="64"/>
      <c r="R140" s="64"/>
      <c r="S140" s="64"/>
      <c r="T140" s="64"/>
      <c r="U140" s="64"/>
      <c r="V140" s="64"/>
      <c r="W140" s="64"/>
      <c r="X140" s="64"/>
      <c r="Y140" s="64"/>
      <c r="Z140" s="64"/>
    </row>
    <row r="141" spans="1:26" x14ac:dyDescent="0.25">
      <c r="A141" s="64"/>
      <c r="B141" s="64"/>
      <c r="C141" s="64"/>
      <c r="D141" s="64"/>
      <c r="E141" s="64"/>
      <c r="F141" s="64"/>
      <c r="G141" s="64"/>
      <c r="H141" s="64"/>
      <c r="I141" s="64"/>
      <c r="J141" s="64"/>
      <c r="K141" s="64"/>
      <c r="L141" s="64"/>
      <c r="M141" s="64"/>
      <c r="N141" s="65"/>
      <c r="O141" s="65"/>
      <c r="P141" s="64"/>
      <c r="Q141" s="64"/>
      <c r="R141" s="64"/>
      <c r="S141" s="64"/>
      <c r="T141" s="64"/>
      <c r="U141" s="64"/>
      <c r="V141" s="64"/>
      <c r="W141" s="64"/>
      <c r="X141" s="64"/>
      <c r="Y141" s="64"/>
      <c r="Z141" s="64"/>
    </row>
    <row r="142" spans="1:26" x14ac:dyDescent="0.25">
      <c r="A142" s="64"/>
      <c r="B142" s="64"/>
      <c r="C142" s="64"/>
      <c r="D142" s="64"/>
      <c r="E142" s="64"/>
      <c r="F142" s="64"/>
      <c r="G142" s="64"/>
      <c r="H142" s="64"/>
      <c r="I142" s="64"/>
      <c r="J142" s="64"/>
      <c r="K142" s="64"/>
      <c r="L142" s="64"/>
      <c r="M142" s="64"/>
      <c r="N142" s="65"/>
      <c r="O142" s="65"/>
      <c r="P142" s="64"/>
      <c r="Q142" s="64"/>
      <c r="R142" s="64"/>
      <c r="S142" s="64"/>
      <c r="T142" s="64"/>
      <c r="U142" s="64"/>
      <c r="V142" s="64"/>
      <c r="W142" s="64"/>
      <c r="X142" s="64"/>
      <c r="Y142" s="64"/>
      <c r="Z142" s="64"/>
    </row>
    <row r="143" spans="1:26" x14ac:dyDescent="0.25">
      <c r="A143" s="64"/>
      <c r="B143" s="64"/>
      <c r="C143" s="64"/>
      <c r="D143" s="64"/>
      <c r="E143" s="64"/>
      <c r="F143" s="64"/>
      <c r="G143" s="64"/>
      <c r="H143" s="64"/>
      <c r="I143" s="64"/>
      <c r="J143" s="64"/>
      <c r="K143" s="64"/>
      <c r="L143" s="64"/>
      <c r="M143" s="64"/>
      <c r="N143" s="65"/>
      <c r="O143" s="65"/>
      <c r="P143" s="64"/>
      <c r="Q143" s="64"/>
      <c r="R143" s="64"/>
      <c r="S143" s="64"/>
      <c r="T143" s="64"/>
      <c r="U143" s="64"/>
      <c r="V143" s="64"/>
      <c r="W143" s="64"/>
      <c r="X143" s="64"/>
      <c r="Y143" s="64"/>
      <c r="Z143" s="64"/>
    </row>
    <row r="144" spans="1:26" x14ac:dyDescent="0.25">
      <c r="A144" s="64"/>
      <c r="B144" s="64"/>
      <c r="C144" s="64"/>
      <c r="D144" s="64"/>
      <c r="E144" s="64"/>
      <c r="F144" s="64"/>
      <c r="G144" s="64"/>
      <c r="H144" s="64"/>
      <c r="I144" s="64"/>
      <c r="J144" s="64"/>
      <c r="K144" s="64"/>
      <c r="L144" s="64"/>
      <c r="M144" s="64"/>
      <c r="N144" s="65"/>
      <c r="O144" s="65"/>
      <c r="P144" s="64"/>
      <c r="Q144" s="64"/>
      <c r="R144" s="64"/>
      <c r="S144" s="64"/>
      <c r="T144" s="64"/>
      <c r="U144" s="64"/>
      <c r="V144" s="64"/>
      <c r="W144" s="64"/>
      <c r="X144" s="64"/>
      <c r="Y144" s="64"/>
      <c r="Z144" s="64"/>
    </row>
    <row r="145" spans="1:26" x14ac:dyDescent="0.25">
      <c r="A145" s="64"/>
      <c r="B145" s="64"/>
      <c r="C145" s="64"/>
      <c r="D145" s="64"/>
      <c r="E145" s="64"/>
      <c r="F145" s="64"/>
      <c r="G145" s="64"/>
      <c r="H145" s="64"/>
      <c r="I145" s="64"/>
      <c r="J145" s="64"/>
      <c r="K145" s="64"/>
      <c r="L145" s="64"/>
      <c r="M145" s="64"/>
      <c r="N145" s="65"/>
      <c r="O145" s="65"/>
      <c r="P145" s="64"/>
      <c r="Q145" s="64"/>
      <c r="R145" s="64"/>
      <c r="S145" s="64"/>
      <c r="T145" s="64"/>
      <c r="U145" s="64"/>
      <c r="V145" s="64"/>
      <c r="W145" s="64"/>
      <c r="X145" s="64"/>
      <c r="Y145" s="64"/>
      <c r="Z145" s="64"/>
    </row>
    <row r="146" spans="1:26" x14ac:dyDescent="0.25">
      <c r="A146" s="64"/>
      <c r="B146" s="64"/>
      <c r="C146" s="64"/>
      <c r="D146" s="64"/>
      <c r="E146" s="64"/>
      <c r="F146" s="64"/>
      <c r="G146" s="64"/>
      <c r="H146" s="64"/>
      <c r="I146" s="64"/>
      <c r="J146" s="64"/>
      <c r="K146" s="64"/>
      <c r="L146" s="64"/>
      <c r="M146" s="64"/>
      <c r="N146" s="65"/>
      <c r="O146" s="65"/>
      <c r="P146" s="64"/>
      <c r="Q146" s="64"/>
      <c r="R146" s="64"/>
      <c r="S146" s="64"/>
      <c r="T146" s="64"/>
      <c r="U146" s="64"/>
      <c r="V146" s="64"/>
      <c r="W146" s="64"/>
      <c r="X146" s="64"/>
      <c r="Y146" s="64"/>
      <c r="Z146" s="64"/>
    </row>
    <row r="147" spans="1:26" x14ac:dyDescent="0.25">
      <c r="A147" s="64"/>
      <c r="B147" s="64"/>
      <c r="C147" s="64"/>
      <c r="D147" s="64"/>
      <c r="E147" s="64"/>
      <c r="F147" s="64"/>
      <c r="G147" s="64"/>
      <c r="H147" s="64"/>
      <c r="I147" s="64"/>
      <c r="J147" s="64"/>
      <c r="K147" s="64"/>
      <c r="L147" s="64"/>
      <c r="M147" s="64"/>
      <c r="N147" s="65"/>
      <c r="O147" s="65"/>
      <c r="P147" s="64"/>
      <c r="Q147" s="64"/>
      <c r="R147" s="64"/>
      <c r="S147" s="64"/>
      <c r="T147" s="64"/>
      <c r="U147" s="64"/>
      <c r="V147" s="64"/>
      <c r="W147" s="64"/>
      <c r="X147" s="64"/>
      <c r="Y147" s="64"/>
      <c r="Z147" s="64"/>
    </row>
    <row r="148" spans="1:26" x14ac:dyDescent="0.25">
      <c r="A148" s="64"/>
      <c r="B148" s="64"/>
      <c r="C148" s="64"/>
      <c r="D148" s="64"/>
      <c r="E148" s="64"/>
      <c r="F148" s="64"/>
      <c r="G148" s="64"/>
      <c r="H148" s="64"/>
      <c r="I148" s="64"/>
      <c r="J148" s="64"/>
      <c r="K148" s="64"/>
      <c r="L148" s="64"/>
      <c r="M148" s="64"/>
      <c r="N148" s="65"/>
      <c r="O148" s="65"/>
      <c r="P148" s="64"/>
      <c r="Q148" s="64"/>
      <c r="R148" s="64"/>
      <c r="S148" s="64"/>
      <c r="T148" s="64"/>
      <c r="U148" s="64"/>
      <c r="V148" s="64"/>
      <c r="W148" s="64"/>
      <c r="X148" s="64"/>
      <c r="Y148" s="64"/>
      <c r="Z148" s="64"/>
    </row>
    <row r="149" spans="1:26" x14ac:dyDescent="0.25">
      <c r="A149" s="64"/>
      <c r="B149" s="64"/>
      <c r="C149" s="64"/>
      <c r="D149" s="64"/>
      <c r="E149" s="64"/>
      <c r="F149" s="64"/>
      <c r="G149" s="64"/>
      <c r="H149" s="64"/>
      <c r="I149" s="64"/>
      <c r="J149" s="64"/>
      <c r="K149" s="64"/>
      <c r="L149" s="64"/>
      <c r="M149" s="64"/>
      <c r="N149" s="65"/>
      <c r="O149" s="65"/>
      <c r="P149" s="64"/>
      <c r="Q149" s="64"/>
      <c r="R149" s="64"/>
      <c r="S149" s="64"/>
      <c r="T149" s="64"/>
      <c r="U149" s="64"/>
      <c r="V149" s="64"/>
      <c r="W149" s="64"/>
      <c r="X149" s="64"/>
      <c r="Y149" s="64"/>
      <c r="Z149" s="64"/>
    </row>
    <row r="150" spans="1:26" x14ac:dyDescent="0.25">
      <c r="A150" s="64"/>
      <c r="B150" s="64"/>
      <c r="C150" s="64"/>
      <c r="D150" s="64"/>
      <c r="E150" s="64"/>
      <c r="F150" s="64"/>
      <c r="G150" s="64"/>
      <c r="H150" s="64"/>
      <c r="I150" s="64"/>
      <c r="J150" s="64"/>
      <c r="K150" s="64"/>
      <c r="L150" s="64"/>
      <c r="M150" s="64"/>
      <c r="N150" s="65"/>
      <c r="O150" s="65"/>
      <c r="P150" s="64"/>
      <c r="Q150" s="64"/>
      <c r="R150" s="64"/>
      <c r="S150" s="64"/>
      <c r="T150" s="64"/>
      <c r="U150" s="64"/>
      <c r="V150" s="64"/>
      <c r="W150" s="64"/>
      <c r="X150" s="64"/>
      <c r="Y150" s="64"/>
      <c r="Z150" s="64"/>
    </row>
    <row r="151" spans="1:26" x14ac:dyDescent="0.25">
      <c r="A151" s="64"/>
      <c r="B151" s="64"/>
      <c r="C151" s="64"/>
      <c r="D151" s="64"/>
      <c r="E151" s="64"/>
      <c r="F151" s="64"/>
      <c r="G151" s="64"/>
      <c r="H151" s="64"/>
      <c r="I151" s="64"/>
      <c r="J151" s="64"/>
      <c r="K151" s="64"/>
      <c r="L151" s="64"/>
      <c r="M151" s="64"/>
      <c r="N151" s="65"/>
      <c r="O151" s="65"/>
      <c r="P151" s="64"/>
      <c r="Q151" s="64"/>
      <c r="R151" s="64"/>
      <c r="S151" s="64"/>
      <c r="T151" s="64"/>
      <c r="U151" s="64"/>
      <c r="V151" s="64"/>
      <c r="W151" s="64"/>
      <c r="X151" s="64"/>
      <c r="Y151" s="64"/>
      <c r="Z151" s="64"/>
    </row>
    <row r="152" spans="1:26" x14ac:dyDescent="0.25">
      <c r="A152" s="64"/>
      <c r="B152" s="64"/>
      <c r="C152" s="64"/>
      <c r="D152" s="64"/>
      <c r="E152" s="64"/>
      <c r="F152" s="64"/>
      <c r="G152" s="64"/>
      <c r="H152" s="64"/>
      <c r="I152" s="64"/>
      <c r="J152" s="64"/>
      <c r="K152" s="64"/>
      <c r="L152" s="64"/>
      <c r="M152" s="64"/>
      <c r="N152" s="65"/>
      <c r="O152" s="65"/>
      <c r="P152" s="64"/>
      <c r="Q152" s="64"/>
      <c r="R152" s="64"/>
      <c r="S152" s="64"/>
      <c r="T152" s="64"/>
      <c r="U152" s="64"/>
      <c r="V152" s="64"/>
      <c r="W152" s="64"/>
      <c r="X152" s="64"/>
      <c r="Y152" s="64"/>
      <c r="Z152" s="64"/>
    </row>
    <row r="153" spans="1:26" x14ac:dyDescent="0.25">
      <c r="A153" s="64"/>
      <c r="B153" s="64"/>
      <c r="C153" s="64"/>
      <c r="D153" s="64"/>
      <c r="E153" s="64"/>
      <c r="F153" s="64"/>
      <c r="G153" s="64"/>
      <c r="H153" s="64"/>
      <c r="I153" s="64"/>
      <c r="J153" s="64"/>
      <c r="K153" s="64"/>
      <c r="L153" s="64"/>
      <c r="M153" s="64"/>
      <c r="N153" s="65"/>
      <c r="O153" s="65"/>
      <c r="P153" s="64"/>
      <c r="Q153" s="64"/>
      <c r="R153" s="64"/>
      <c r="S153" s="64"/>
      <c r="T153" s="64"/>
      <c r="U153" s="64"/>
      <c r="V153" s="64"/>
      <c r="W153" s="64"/>
      <c r="X153" s="64"/>
      <c r="Y153" s="64"/>
      <c r="Z153" s="64"/>
    </row>
    <row r="154" spans="1:26" x14ac:dyDescent="0.25">
      <c r="A154" s="64"/>
      <c r="B154" s="64"/>
      <c r="C154" s="64"/>
      <c r="D154" s="64"/>
      <c r="E154" s="64"/>
      <c r="F154" s="64"/>
      <c r="G154" s="64"/>
      <c r="H154" s="64"/>
      <c r="I154" s="64"/>
      <c r="J154" s="64"/>
      <c r="K154" s="64"/>
      <c r="L154" s="64"/>
      <c r="M154" s="64"/>
      <c r="N154" s="65"/>
      <c r="O154" s="65"/>
      <c r="P154" s="64"/>
      <c r="Q154" s="64"/>
      <c r="R154" s="64"/>
      <c r="S154" s="64"/>
      <c r="T154" s="64"/>
      <c r="U154" s="64"/>
      <c r="V154" s="64"/>
      <c r="W154" s="64"/>
      <c r="X154" s="64"/>
      <c r="Y154" s="64"/>
      <c r="Z154" s="64"/>
    </row>
    <row r="155" spans="1:26" x14ac:dyDescent="0.25">
      <c r="A155" s="64"/>
      <c r="B155" s="64"/>
      <c r="C155" s="64"/>
      <c r="D155" s="64"/>
      <c r="E155" s="64"/>
      <c r="F155" s="64"/>
      <c r="G155" s="64"/>
      <c r="H155" s="64"/>
      <c r="I155" s="64"/>
      <c r="J155" s="64"/>
      <c r="K155" s="64"/>
      <c r="L155" s="64"/>
      <c r="M155" s="64"/>
      <c r="N155" s="65"/>
      <c r="O155" s="65"/>
      <c r="P155" s="64"/>
      <c r="Q155" s="64"/>
      <c r="R155" s="64"/>
      <c r="S155" s="64"/>
      <c r="T155" s="64"/>
      <c r="U155" s="64"/>
      <c r="V155" s="64"/>
      <c r="W155" s="64"/>
      <c r="X155" s="64"/>
      <c r="Y155" s="64"/>
      <c r="Z155" s="64"/>
    </row>
    <row r="156" spans="1:26" x14ac:dyDescent="0.25">
      <c r="A156" s="64"/>
      <c r="B156" s="64"/>
      <c r="C156" s="64"/>
      <c r="D156" s="64"/>
      <c r="E156" s="64"/>
      <c r="F156" s="64"/>
      <c r="G156" s="64"/>
      <c r="H156" s="64"/>
      <c r="I156" s="64"/>
      <c r="J156" s="64"/>
      <c r="K156" s="64"/>
      <c r="L156" s="64"/>
      <c r="M156" s="64"/>
      <c r="N156" s="65"/>
      <c r="O156" s="65"/>
      <c r="P156" s="64"/>
      <c r="Q156" s="64"/>
      <c r="R156" s="64"/>
      <c r="S156" s="64"/>
      <c r="T156" s="64"/>
      <c r="U156" s="64"/>
      <c r="V156" s="64"/>
      <c r="W156" s="64"/>
      <c r="X156" s="64"/>
      <c r="Y156" s="64"/>
      <c r="Z156" s="64"/>
    </row>
    <row r="157" spans="1:26" x14ac:dyDescent="0.25">
      <c r="A157" s="64"/>
      <c r="B157" s="64"/>
      <c r="C157" s="64"/>
      <c r="D157" s="64"/>
      <c r="E157" s="64"/>
      <c r="F157" s="64"/>
      <c r="G157" s="64"/>
      <c r="H157" s="64"/>
      <c r="I157" s="64"/>
      <c r="J157" s="64"/>
      <c r="K157" s="64"/>
      <c r="L157" s="64"/>
      <c r="M157" s="64"/>
      <c r="N157" s="65"/>
      <c r="O157" s="65"/>
      <c r="P157" s="64"/>
      <c r="Q157" s="64"/>
      <c r="R157" s="64"/>
      <c r="S157" s="64"/>
      <c r="T157" s="64"/>
      <c r="U157" s="64"/>
      <c r="V157" s="64"/>
      <c r="W157" s="64"/>
      <c r="X157" s="64"/>
      <c r="Y157" s="64"/>
      <c r="Z157" s="64"/>
    </row>
    <row r="158" spans="1:26" x14ac:dyDescent="0.25">
      <c r="A158" s="64"/>
      <c r="B158" s="64"/>
      <c r="C158" s="64"/>
      <c r="D158" s="64"/>
      <c r="E158" s="64"/>
      <c r="F158" s="64"/>
      <c r="G158" s="64"/>
      <c r="H158" s="64"/>
      <c r="I158" s="64"/>
      <c r="J158" s="64"/>
      <c r="K158" s="64"/>
      <c r="L158" s="64"/>
      <c r="M158" s="64"/>
      <c r="N158" s="65"/>
      <c r="O158" s="65"/>
      <c r="P158" s="64"/>
      <c r="Q158" s="64"/>
      <c r="R158" s="64"/>
      <c r="S158" s="64"/>
      <c r="T158" s="64"/>
      <c r="U158" s="64"/>
      <c r="V158" s="64"/>
      <c r="W158" s="64"/>
      <c r="X158" s="64"/>
      <c r="Y158" s="64"/>
      <c r="Z158" s="64"/>
    </row>
    <row r="159" spans="1:26" x14ac:dyDescent="0.25">
      <c r="A159" s="64"/>
      <c r="B159" s="64"/>
      <c r="C159" s="64"/>
      <c r="D159" s="64"/>
      <c r="E159" s="64"/>
      <c r="F159" s="64"/>
      <c r="G159" s="64"/>
      <c r="H159" s="64"/>
      <c r="I159" s="64"/>
      <c r="J159" s="64"/>
      <c r="K159" s="64"/>
      <c r="L159" s="64"/>
      <c r="M159" s="64"/>
      <c r="N159" s="65"/>
      <c r="O159" s="65"/>
      <c r="P159" s="64"/>
      <c r="Q159" s="64"/>
      <c r="R159" s="64"/>
      <c r="S159" s="64"/>
      <c r="T159" s="64"/>
      <c r="U159" s="64"/>
      <c r="V159" s="64"/>
      <c r="W159" s="64"/>
      <c r="X159" s="64"/>
      <c r="Y159" s="64"/>
      <c r="Z159" s="64"/>
    </row>
    <row r="160" spans="1:26" x14ac:dyDescent="0.25">
      <c r="A160" s="64"/>
      <c r="B160" s="64"/>
      <c r="C160" s="64"/>
      <c r="D160" s="64"/>
      <c r="E160" s="64"/>
      <c r="F160" s="64"/>
      <c r="G160" s="64"/>
      <c r="H160" s="64"/>
      <c r="I160" s="64"/>
      <c r="J160" s="64"/>
      <c r="K160" s="64"/>
      <c r="L160" s="64"/>
      <c r="M160" s="64"/>
      <c r="N160" s="65"/>
      <c r="O160" s="65"/>
      <c r="P160" s="64"/>
      <c r="Q160" s="64"/>
      <c r="R160" s="64"/>
      <c r="S160" s="64"/>
      <c r="T160" s="64"/>
      <c r="U160" s="64"/>
      <c r="V160" s="64"/>
      <c r="W160" s="64"/>
      <c r="X160" s="64"/>
      <c r="Y160" s="64"/>
      <c r="Z160" s="64"/>
    </row>
    <row r="161" spans="1:26" x14ac:dyDescent="0.25">
      <c r="A161" s="64"/>
      <c r="B161" s="64"/>
      <c r="C161" s="64"/>
      <c r="D161" s="64"/>
      <c r="E161" s="64"/>
      <c r="F161" s="64"/>
      <c r="G161" s="64"/>
      <c r="H161" s="64"/>
      <c r="I161" s="64"/>
      <c r="J161" s="64"/>
      <c r="K161" s="64"/>
      <c r="L161" s="64"/>
      <c r="M161" s="64"/>
      <c r="N161" s="65"/>
      <c r="O161" s="65"/>
      <c r="P161" s="64"/>
      <c r="Q161" s="64"/>
      <c r="R161" s="64"/>
      <c r="S161" s="64"/>
      <c r="T161" s="64"/>
      <c r="U161" s="64"/>
      <c r="V161" s="64"/>
      <c r="W161" s="64"/>
      <c r="X161" s="64"/>
      <c r="Y161" s="64"/>
      <c r="Z161" s="64"/>
    </row>
    <row r="162" spans="1:26" x14ac:dyDescent="0.25">
      <c r="A162" s="64"/>
      <c r="B162" s="64"/>
      <c r="C162" s="64"/>
      <c r="D162" s="64"/>
      <c r="E162" s="64"/>
      <c r="F162" s="64"/>
      <c r="G162" s="64"/>
      <c r="H162" s="64"/>
      <c r="I162" s="64"/>
      <c r="J162" s="64"/>
      <c r="K162" s="64"/>
      <c r="L162" s="64"/>
      <c r="M162" s="64"/>
      <c r="N162" s="65"/>
      <c r="O162" s="65"/>
      <c r="P162" s="64"/>
      <c r="Q162" s="64"/>
      <c r="R162" s="64"/>
      <c r="S162" s="64"/>
      <c r="T162" s="64"/>
      <c r="U162" s="64"/>
      <c r="V162" s="64"/>
      <c r="W162" s="64"/>
      <c r="X162" s="64"/>
      <c r="Y162" s="64"/>
      <c r="Z162" s="64"/>
    </row>
    <row r="163" spans="1:26" x14ac:dyDescent="0.25">
      <c r="A163" s="64"/>
      <c r="B163" s="64"/>
      <c r="C163" s="64"/>
      <c r="D163" s="64"/>
      <c r="E163" s="64"/>
      <c r="F163" s="64"/>
      <c r="G163" s="64"/>
      <c r="H163" s="64"/>
      <c r="I163" s="64"/>
      <c r="J163" s="64"/>
      <c r="K163" s="64"/>
      <c r="L163" s="64"/>
      <c r="M163" s="64"/>
      <c r="N163" s="65"/>
      <c r="O163" s="65"/>
      <c r="P163" s="64"/>
      <c r="Q163" s="64"/>
      <c r="R163" s="64"/>
      <c r="S163" s="64"/>
      <c r="T163" s="64"/>
      <c r="U163" s="64"/>
      <c r="V163" s="64"/>
      <c r="W163" s="64"/>
      <c r="X163" s="64"/>
      <c r="Y163" s="64"/>
      <c r="Z163" s="64"/>
    </row>
    <row r="164" spans="1:26" x14ac:dyDescent="0.25">
      <c r="A164" s="64"/>
      <c r="B164" s="64"/>
      <c r="C164" s="64"/>
      <c r="D164" s="64"/>
      <c r="E164" s="64"/>
      <c r="F164" s="64"/>
      <c r="G164" s="64"/>
      <c r="H164" s="64"/>
      <c r="I164" s="64"/>
      <c r="J164" s="64"/>
      <c r="K164" s="64"/>
      <c r="L164" s="64"/>
      <c r="M164" s="64"/>
      <c r="N164" s="65"/>
      <c r="O164" s="65"/>
      <c r="P164" s="64"/>
      <c r="Q164" s="64"/>
      <c r="R164" s="64"/>
      <c r="S164" s="64"/>
      <c r="T164" s="64"/>
      <c r="U164" s="64"/>
      <c r="V164" s="64"/>
      <c r="W164" s="64"/>
      <c r="X164" s="64"/>
      <c r="Y164" s="64"/>
      <c r="Z164" s="64"/>
    </row>
    <row r="165" spans="1:26" x14ac:dyDescent="0.25">
      <c r="A165" s="64"/>
      <c r="B165" s="64"/>
      <c r="C165" s="64"/>
      <c r="D165" s="64"/>
      <c r="E165" s="64"/>
      <c r="F165" s="64"/>
      <c r="G165" s="64"/>
      <c r="H165" s="64"/>
      <c r="I165" s="64"/>
      <c r="J165" s="64"/>
      <c r="K165" s="64"/>
      <c r="L165" s="64"/>
      <c r="M165" s="64"/>
      <c r="N165" s="65"/>
      <c r="O165" s="65"/>
      <c r="P165" s="64"/>
      <c r="Q165" s="64"/>
      <c r="R165" s="64"/>
      <c r="S165" s="64"/>
      <c r="T165" s="64"/>
      <c r="U165" s="64"/>
      <c r="V165" s="64"/>
      <c r="W165" s="64"/>
      <c r="X165" s="64"/>
      <c r="Y165" s="64"/>
      <c r="Z165" s="64"/>
    </row>
    <row r="166" spans="1:26" x14ac:dyDescent="0.25">
      <c r="A166" s="64"/>
      <c r="B166" s="64"/>
      <c r="C166" s="64"/>
      <c r="D166" s="64"/>
      <c r="E166" s="64"/>
      <c r="F166" s="64"/>
      <c r="G166" s="64"/>
      <c r="H166" s="64"/>
      <c r="I166" s="64"/>
      <c r="J166" s="64"/>
      <c r="K166" s="64"/>
      <c r="L166" s="64"/>
      <c r="M166" s="64"/>
      <c r="N166" s="65"/>
      <c r="O166" s="65"/>
      <c r="P166" s="64"/>
      <c r="Q166" s="64"/>
      <c r="R166" s="64"/>
      <c r="S166" s="64"/>
      <c r="T166" s="64"/>
      <c r="U166" s="64"/>
      <c r="V166" s="64"/>
      <c r="W166" s="64"/>
      <c r="X166" s="64"/>
      <c r="Y166" s="64"/>
      <c r="Z166" s="64"/>
    </row>
    <row r="167" spans="1:26" x14ac:dyDescent="0.25">
      <c r="A167" s="64"/>
      <c r="B167" s="64"/>
      <c r="C167" s="64"/>
      <c r="D167" s="64"/>
      <c r="E167" s="64"/>
      <c r="F167" s="64"/>
      <c r="G167" s="64"/>
      <c r="H167" s="64"/>
      <c r="I167" s="64"/>
      <c r="J167" s="64"/>
      <c r="K167" s="64"/>
      <c r="L167" s="64"/>
      <c r="M167" s="64"/>
      <c r="N167" s="65"/>
      <c r="O167" s="65"/>
      <c r="P167" s="64"/>
      <c r="Q167" s="64"/>
      <c r="R167" s="64"/>
      <c r="S167" s="64"/>
      <c r="T167" s="64"/>
      <c r="U167" s="64"/>
      <c r="V167" s="64"/>
      <c r="W167" s="64"/>
      <c r="X167" s="64"/>
      <c r="Y167" s="64"/>
      <c r="Z167" s="64"/>
    </row>
    <row r="168" spans="1:26" x14ac:dyDescent="0.25">
      <c r="A168" s="64"/>
      <c r="B168" s="64"/>
      <c r="C168" s="64"/>
      <c r="D168" s="64"/>
      <c r="E168" s="64"/>
      <c r="F168" s="64"/>
      <c r="G168" s="64"/>
      <c r="H168" s="64"/>
      <c r="I168" s="64"/>
      <c r="J168" s="64"/>
      <c r="K168" s="64"/>
      <c r="L168" s="64"/>
      <c r="M168" s="64"/>
      <c r="N168" s="65"/>
      <c r="O168" s="65"/>
      <c r="P168" s="64"/>
      <c r="Q168" s="64"/>
      <c r="R168" s="64"/>
      <c r="S168" s="64"/>
      <c r="T168" s="64"/>
      <c r="U168" s="64"/>
      <c r="V168" s="64"/>
      <c r="W168" s="64"/>
      <c r="X168" s="64"/>
      <c r="Y168" s="64"/>
      <c r="Z168" s="64"/>
    </row>
    <row r="169" spans="1:26" x14ac:dyDescent="0.25">
      <c r="A169" s="64"/>
      <c r="B169" s="64"/>
      <c r="C169" s="64"/>
      <c r="D169" s="64"/>
      <c r="E169" s="64"/>
      <c r="F169" s="64"/>
      <c r="G169" s="64"/>
      <c r="H169" s="64"/>
      <c r="I169" s="64"/>
      <c r="J169" s="64"/>
      <c r="K169" s="64"/>
      <c r="L169" s="64"/>
      <c r="M169" s="64"/>
      <c r="N169" s="65"/>
      <c r="O169" s="65"/>
      <c r="P169" s="64"/>
      <c r="Q169" s="64"/>
      <c r="R169" s="64"/>
      <c r="S169" s="64"/>
      <c r="T169" s="64"/>
      <c r="U169" s="64"/>
      <c r="V169" s="64"/>
      <c r="W169" s="64"/>
      <c r="X169" s="64"/>
      <c r="Y169" s="64"/>
      <c r="Z169" s="64"/>
    </row>
    <row r="170" spans="1:26" x14ac:dyDescent="0.25">
      <c r="A170" s="64"/>
      <c r="B170" s="64"/>
      <c r="C170" s="64"/>
      <c r="D170" s="64"/>
      <c r="E170" s="64"/>
      <c r="F170" s="64"/>
      <c r="G170" s="64"/>
      <c r="H170" s="64"/>
      <c r="I170" s="64"/>
      <c r="J170" s="64"/>
      <c r="K170" s="64"/>
      <c r="L170" s="64"/>
      <c r="M170" s="64"/>
      <c r="N170" s="65"/>
      <c r="O170" s="65"/>
      <c r="P170" s="64"/>
      <c r="Q170" s="64"/>
      <c r="R170" s="64"/>
      <c r="S170" s="64"/>
      <c r="T170" s="64"/>
      <c r="U170" s="64"/>
      <c r="V170" s="64"/>
      <c r="W170" s="64"/>
      <c r="X170" s="64"/>
      <c r="Y170" s="64"/>
      <c r="Z170" s="64"/>
    </row>
    <row r="171" spans="1:26" x14ac:dyDescent="0.25">
      <c r="A171" s="64"/>
      <c r="B171" s="64"/>
      <c r="C171" s="64"/>
      <c r="D171" s="64"/>
      <c r="E171" s="64"/>
      <c r="F171" s="64"/>
      <c r="G171" s="64"/>
      <c r="H171" s="64"/>
      <c r="I171" s="64"/>
      <c r="J171" s="64"/>
      <c r="K171" s="64"/>
      <c r="L171" s="64"/>
      <c r="M171" s="64"/>
      <c r="N171" s="65"/>
      <c r="O171" s="65"/>
      <c r="P171" s="64"/>
      <c r="Q171" s="64"/>
      <c r="R171" s="64"/>
      <c r="S171" s="64"/>
      <c r="T171" s="64"/>
      <c r="U171" s="64"/>
      <c r="V171" s="64"/>
      <c r="W171" s="64"/>
      <c r="X171" s="64"/>
      <c r="Y171" s="64"/>
      <c r="Z171" s="64"/>
    </row>
    <row r="172" spans="1:26" x14ac:dyDescent="0.25">
      <c r="A172" s="64"/>
      <c r="B172" s="64"/>
      <c r="C172" s="64"/>
      <c r="D172" s="64"/>
      <c r="E172" s="64"/>
      <c r="F172" s="64"/>
      <c r="G172" s="64"/>
      <c r="H172" s="64"/>
      <c r="I172" s="64"/>
      <c r="J172" s="64"/>
      <c r="K172" s="64"/>
      <c r="L172" s="64"/>
      <c r="M172" s="64"/>
      <c r="N172" s="65"/>
      <c r="O172" s="65"/>
      <c r="P172" s="64"/>
      <c r="Q172" s="64"/>
      <c r="R172" s="64"/>
      <c r="S172" s="64"/>
      <c r="T172" s="64"/>
      <c r="U172" s="64"/>
      <c r="V172" s="64"/>
      <c r="W172" s="64"/>
      <c r="X172" s="64"/>
      <c r="Y172" s="64"/>
      <c r="Z172" s="64"/>
    </row>
    <row r="173" spans="1:26" x14ac:dyDescent="0.25">
      <c r="A173" s="64"/>
      <c r="B173" s="64"/>
      <c r="C173" s="64"/>
      <c r="D173" s="64"/>
      <c r="E173" s="64"/>
      <c r="F173" s="64"/>
      <c r="G173" s="64"/>
      <c r="H173" s="64"/>
      <c r="I173" s="64"/>
      <c r="J173" s="64"/>
      <c r="K173" s="64"/>
      <c r="L173" s="64"/>
      <c r="M173" s="64"/>
      <c r="N173" s="65"/>
      <c r="O173" s="65"/>
      <c r="P173" s="64"/>
      <c r="Q173" s="64"/>
      <c r="R173" s="64"/>
      <c r="S173" s="64"/>
      <c r="T173" s="64"/>
      <c r="U173" s="64"/>
      <c r="V173" s="64"/>
      <c r="W173" s="64"/>
      <c r="X173" s="64"/>
      <c r="Y173" s="64"/>
      <c r="Z173" s="64"/>
    </row>
    <row r="174" spans="1:26" x14ac:dyDescent="0.25">
      <c r="A174" s="64"/>
      <c r="B174" s="64"/>
      <c r="C174" s="64"/>
      <c r="D174" s="64"/>
      <c r="E174" s="64"/>
      <c r="F174" s="64"/>
      <c r="G174" s="64"/>
      <c r="H174" s="64"/>
      <c r="I174" s="64"/>
      <c r="J174" s="64"/>
      <c r="K174" s="64"/>
      <c r="L174" s="64"/>
      <c r="M174" s="64"/>
      <c r="N174" s="65"/>
      <c r="O174" s="65"/>
      <c r="P174" s="64"/>
      <c r="Q174" s="64"/>
      <c r="R174" s="64"/>
      <c r="S174" s="64"/>
      <c r="T174" s="64"/>
      <c r="U174" s="64"/>
      <c r="V174" s="64"/>
      <c r="W174" s="64"/>
      <c r="X174" s="64"/>
      <c r="Y174" s="64"/>
      <c r="Z174" s="64"/>
    </row>
    <row r="175" spans="1:26" x14ac:dyDescent="0.25">
      <c r="A175" s="64"/>
      <c r="B175" s="64"/>
      <c r="C175" s="64"/>
      <c r="D175" s="64"/>
      <c r="E175" s="64"/>
      <c r="F175" s="64"/>
      <c r="G175" s="64"/>
      <c r="H175" s="64"/>
      <c r="I175" s="64"/>
      <c r="J175" s="64"/>
      <c r="K175" s="64"/>
      <c r="L175" s="64"/>
      <c r="M175" s="64"/>
      <c r="N175" s="65"/>
      <c r="O175" s="65"/>
      <c r="P175" s="64"/>
      <c r="Q175" s="64"/>
      <c r="R175" s="64"/>
      <c r="S175" s="64"/>
      <c r="T175" s="64"/>
      <c r="U175" s="64"/>
      <c r="V175" s="64"/>
      <c r="W175" s="64"/>
      <c r="X175" s="64"/>
      <c r="Y175" s="64"/>
      <c r="Z175" s="64"/>
    </row>
    <row r="176" spans="1:26" x14ac:dyDescent="0.25">
      <c r="A176" s="64"/>
      <c r="B176" s="64"/>
      <c r="C176" s="64"/>
      <c r="D176" s="64"/>
      <c r="E176" s="64"/>
      <c r="F176" s="64"/>
      <c r="G176" s="64"/>
      <c r="H176" s="64"/>
      <c r="I176" s="64"/>
      <c r="J176" s="64"/>
      <c r="K176" s="64"/>
      <c r="L176" s="64"/>
      <c r="M176" s="64"/>
      <c r="N176" s="65"/>
      <c r="O176" s="65"/>
      <c r="P176" s="64"/>
      <c r="Q176" s="64"/>
      <c r="R176" s="64"/>
      <c r="S176" s="64"/>
      <c r="T176" s="64"/>
      <c r="U176" s="64"/>
      <c r="V176" s="64"/>
      <c r="W176" s="64"/>
      <c r="X176" s="64"/>
      <c r="Y176" s="64"/>
      <c r="Z176" s="64"/>
    </row>
    <row r="177" spans="1:26" x14ac:dyDescent="0.25">
      <c r="A177" s="64"/>
      <c r="B177" s="64"/>
      <c r="C177" s="64"/>
      <c r="D177" s="64"/>
      <c r="E177" s="64"/>
      <c r="F177" s="64"/>
      <c r="G177" s="64"/>
      <c r="H177" s="64"/>
      <c r="I177" s="64"/>
      <c r="J177" s="64"/>
      <c r="K177" s="64"/>
      <c r="L177" s="64"/>
      <c r="M177" s="64"/>
      <c r="N177" s="65"/>
      <c r="O177" s="65"/>
      <c r="P177" s="64"/>
      <c r="Q177" s="64"/>
      <c r="R177" s="64"/>
      <c r="S177" s="64"/>
      <c r="T177" s="64"/>
      <c r="U177" s="64"/>
      <c r="V177" s="64"/>
      <c r="W177" s="64"/>
      <c r="X177" s="64"/>
      <c r="Y177" s="64"/>
      <c r="Z177" s="64"/>
    </row>
    <row r="178" spans="1:26" x14ac:dyDescent="0.25">
      <c r="A178" s="64"/>
      <c r="B178" s="64"/>
      <c r="C178" s="64"/>
      <c r="D178" s="64"/>
      <c r="E178" s="64"/>
      <c r="F178" s="64"/>
      <c r="G178" s="64"/>
      <c r="H178" s="64"/>
      <c r="I178" s="64"/>
      <c r="J178" s="64"/>
      <c r="K178" s="64"/>
      <c r="L178" s="64"/>
      <c r="M178" s="64"/>
      <c r="N178" s="65"/>
      <c r="O178" s="65"/>
      <c r="P178" s="64"/>
      <c r="Q178" s="64"/>
      <c r="R178" s="64"/>
      <c r="S178" s="64"/>
      <c r="T178" s="64"/>
      <c r="U178" s="64"/>
      <c r="V178" s="64"/>
      <c r="W178" s="64"/>
      <c r="X178" s="64"/>
      <c r="Y178" s="64"/>
      <c r="Z178" s="64"/>
    </row>
    <row r="179" spans="1:26" x14ac:dyDescent="0.25">
      <c r="A179" s="64"/>
      <c r="B179" s="64"/>
      <c r="C179" s="64"/>
      <c r="D179" s="64"/>
      <c r="E179" s="64"/>
      <c r="F179" s="64"/>
      <c r="G179" s="64"/>
      <c r="H179" s="64"/>
      <c r="I179" s="64"/>
      <c r="J179" s="64"/>
      <c r="K179" s="64"/>
      <c r="L179" s="64"/>
      <c r="M179" s="64"/>
      <c r="N179" s="65"/>
      <c r="O179" s="65"/>
      <c r="P179" s="64"/>
      <c r="Q179" s="64"/>
      <c r="R179" s="64"/>
      <c r="S179" s="64"/>
      <c r="T179" s="64"/>
      <c r="U179" s="64"/>
      <c r="V179" s="64"/>
      <c r="W179" s="64"/>
      <c r="X179" s="64"/>
      <c r="Y179" s="64"/>
      <c r="Z179" s="64"/>
    </row>
    <row r="180" spans="1:26" x14ac:dyDescent="0.25">
      <c r="A180" s="64"/>
      <c r="B180" s="64"/>
      <c r="C180" s="64"/>
      <c r="D180" s="64"/>
      <c r="E180" s="64"/>
      <c r="F180" s="64"/>
      <c r="G180" s="64"/>
      <c r="H180" s="64"/>
      <c r="I180" s="64"/>
      <c r="J180" s="64"/>
      <c r="K180" s="64"/>
      <c r="L180" s="64"/>
      <c r="M180" s="64"/>
      <c r="N180" s="65"/>
      <c r="O180" s="65"/>
      <c r="P180" s="64"/>
      <c r="Q180" s="64"/>
      <c r="R180" s="64"/>
      <c r="S180" s="64"/>
      <c r="T180" s="64"/>
      <c r="U180" s="64"/>
      <c r="V180" s="64"/>
      <c r="W180" s="64"/>
      <c r="X180" s="64"/>
      <c r="Y180" s="64"/>
      <c r="Z180" s="64"/>
    </row>
    <row r="181" spans="1:26" x14ac:dyDescent="0.25">
      <c r="A181" s="64"/>
      <c r="B181" s="64"/>
      <c r="C181" s="64"/>
      <c r="D181" s="64"/>
      <c r="E181" s="64"/>
      <c r="F181" s="64"/>
      <c r="G181" s="64"/>
      <c r="H181" s="64"/>
      <c r="I181" s="64"/>
      <c r="J181" s="64"/>
      <c r="K181" s="64"/>
      <c r="L181" s="64"/>
      <c r="M181" s="64"/>
      <c r="N181" s="65"/>
      <c r="O181" s="65"/>
      <c r="P181" s="64"/>
      <c r="Q181" s="64"/>
      <c r="R181" s="64"/>
      <c r="S181" s="64"/>
      <c r="T181" s="64"/>
      <c r="U181" s="64"/>
      <c r="V181" s="64"/>
      <c r="W181" s="64"/>
      <c r="X181" s="64"/>
      <c r="Y181" s="64"/>
      <c r="Z181" s="64"/>
    </row>
    <row r="182" spans="1:26" x14ac:dyDescent="0.25">
      <c r="A182" s="64"/>
      <c r="B182" s="64"/>
      <c r="C182" s="64"/>
      <c r="D182" s="64"/>
      <c r="E182" s="64"/>
      <c r="F182" s="64"/>
      <c r="G182" s="64"/>
      <c r="H182" s="64"/>
      <c r="I182" s="64"/>
      <c r="J182" s="64"/>
      <c r="K182" s="64"/>
      <c r="L182" s="64"/>
      <c r="M182" s="64"/>
      <c r="N182" s="65"/>
      <c r="O182" s="65"/>
      <c r="P182" s="64"/>
      <c r="Q182" s="64"/>
      <c r="R182" s="64"/>
      <c r="S182" s="64"/>
      <c r="T182" s="64"/>
      <c r="U182" s="64"/>
      <c r="V182" s="64"/>
      <c r="W182" s="64"/>
      <c r="X182" s="64"/>
      <c r="Y182" s="64"/>
      <c r="Z182" s="64"/>
    </row>
    <row r="183" spans="1:26" x14ac:dyDescent="0.25">
      <c r="A183" s="64"/>
      <c r="B183" s="64"/>
      <c r="C183" s="64"/>
      <c r="D183" s="64"/>
      <c r="E183" s="64"/>
      <c r="F183" s="64"/>
      <c r="G183" s="64"/>
      <c r="H183" s="64"/>
      <c r="I183" s="64"/>
      <c r="J183" s="64"/>
      <c r="K183" s="64"/>
      <c r="L183" s="64"/>
      <c r="M183" s="64"/>
      <c r="N183" s="65"/>
      <c r="O183" s="65"/>
      <c r="P183" s="64"/>
      <c r="Q183" s="64"/>
      <c r="R183" s="64"/>
      <c r="S183" s="64"/>
      <c r="T183" s="64"/>
      <c r="U183" s="64"/>
      <c r="V183" s="64"/>
      <c r="W183" s="64"/>
      <c r="X183" s="64"/>
      <c r="Y183" s="64"/>
      <c r="Z183" s="64"/>
    </row>
    <row r="184" spans="1:26" x14ac:dyDescent="0.25">
      <c r="A184" s="64"/>
      <c r="B184" s="64"/>
      <c r="C184" s="64"/>
      <c r="D184" s="64"/>
      <c r="E184" s="64"/>
      <c r="F184" s="64"/>
      <c r="G184" s="64"/>
      <c r="H184" s="64"/>
      <c r="I184" s="64"/>
      <c r="J184" s="64"/>
      <c r="K184" s="64"/>
      <c r="L184" s="64"/>
      <c r="M184" s="64"/>
      <c r="N184" s="65"/>
      <c r="O184" s="65"/>
      <c r="P184" s="64"/>
      <c r="Q184" s="64"/>
      <c r="R184" s="64"/>
      <c r="S184" s="64"/>
      <c r="T184" s="64"/>
      <c r="U184" s="64"/>
      <c r="V184" s="64"/>
      <c r="W184" s="64"/>
      <c r="X184" s="64"/>
      <c r="Y184" s="64"/>
      <c r="Z184" s="64"/>
    </row>
    <row r="185" spans="1:26" x14ac:dyDescent="0.25">
      <c r="A185" s="64"/>
      <c r="B185" s="64"/>
      <c r="C185" s="64"/>
      <c r="D185" s="64"/>
      <c r="E185" s="64"/>
      <c r="F185" s="64"/>
      <c r="G185" s="64"/>
      <c r="H185" s="64"/>
      <c r="I185" s="64"/>
      <c r="J185" s="64"/>
      <c r="K185" s="64"/>
      <c r="L185" s="64"/>
      <c r="M185" s="64"/>
      <c r="N185" s="65"/>
      <c r="O185" s="65"/>
      <c r="P185" s="64"/>
      <c r="Q185" s="64"/>
      <c r="R185" s="64"/>
      <c r="S185" s="64"/>
      <c r="T185" s="64"/>
      <c r="U185" s="64"/>
      <c r="V185" s="64"/>
      <c r="W185" s="64"/>
      <c r="X185" s="64"/>
      <c r="Y185" s="64"/>
      <c r="Z185" s="64"/>
    </row>
    <row r="186" spans="1:26" x14ac:dyDescent="0.25">
      <c r="A186" s="64"/>
      <c r="B186" s="64"/>
      <c r="C186" s="64"/>
      <c r="D186" s="64"/>
      <c r="E186" s="64"/>
      <c r="F186" s="64"/>
      <c r="G186" s="64"/>
      <c r="H186" s="64"/>
      <c r="I186" s="64"/>
      <c r="J186" s="64"/>
      <c r="K186" s="64"/>
      <c r="L186" s="64"/>
      <c r="M186" s="64"/>
      <c r="N186" s="65"/>
      <c r="O186" s="65"/>
      <c r="P186" s="64"/>
      <c r="Q186" s="64"/>
      <c r="R186" s="64"/>
      <c r="S186" s="64"/>
      <c r="T186" s="64"/>
      <c r="U186" s="64"/>
      <c r="V186" s="64"/>
      <c r="W186" s="64"/>
      <c r="X186" s="64"/>
      <c r="Y186" s="64"/>
      <c r="Z186" s="64"/>
    </row>
    <row r="187" spans="1:26" x14ac:dyDescent="0.25">
      <c r="A187" s="64"/>
      <c r="B187" s="64"/>
      <c r="C187" s="64"/>
      <c r="D187" s="64"/>
      <c r="E187" s="64"/>
      <c r="F187" s="64"/>
      <c r="G187" s="64"/>
      <c r="H187" s="64"/>
      <c r="I187" s="64"/>
      <c r="J187" s="64"/>
      <c r="K187" s="64"/>
      <c r="L187" s="64"/>
      <c r="M187" s="64"/>
      <c r="N187" s="65"/>
      <c r="O187" s="65"/>
      <c r="P187" s="64"/>
      <c r="Q187" s="64"/>
      <c r="R187" s="64"/>
      <c r="S187" s="64"/>
      <c r="T187" s="64"/>
      <c r="U187" s="64"/>
      <c r="V187" s="64"/>
      <c r="W187" s="64"/>
      <c r="X187" s="64"/>
      <c r="Y187" s="64"/>
      <c r="Z187" s="64"/>
    </row>
    <row r="188" spans="1:26" x14ac:dyDescent="0.25">
      <c r="A188" s="64"/>
      <c r="B188" s="64"/>
      <c r="C188" s="64"/>
      <c r="D188" s="64"/>
      <c r="E188" s="64"/>
      <c r="F188" s="64"/>
      <c r="G188" s="64"/>
      <c r="H188" s="64"/>
      <c r="I188" s="64"/>
      <c r="J188" s="64"/>
      <c r="K188" s="64"/>
      <c r="L188" s="64"/>
      <c r="M188" s="64"/>
      <c r="N188" s="65"/>
      <c r="O188" s="65"/>
      <c r="P188" s="64"/>
      <c r="Q188" s="64"/>
      <c r="R188" s="64"/>
      <c r="S188" s="64"/>
      <c r="T188" s="64"/>
      <c r="U188" s="64"/>
      <c r="V188" s="64"/>
      <c r="W188" s="64"/>
      <c r="X188" s="64"/>
      <c r="Y188" s="64"/>
      <c r="Z188" s="64"/>
    </row>
    <row r="189" spans="1:26" x14ac:dyDescent="0.25">
      <c r="A189" s="64"/>
      <c r="B189" s="64"/>
      <c r="C189" s="64"/>
      <c r="D189" s="64"/>
      <c r="E189" s="64"/>
      <c r="F189" s="64"/>
      <c r="G189" s="64"/>
      <c r="H189" s="64"/>
      <c r="I189" s="64"/>
      <c r="J189" s="64"/>
      <c r="K189" s="64"/>
      <c r="L189" s="64"/>
      <c r="M189" s="64"/>
      <c r="N189" s="65"/>
      <c r="O189" s="65"/>
      <c r="P189" s="64"/>
      <c r="Q189" s="64"/>
      <c r="R189" s="64"/>
      <c r="S189" s="64"/>
      <c r="T189" s="64"/>
      <c r="U189" s="64"/>
      <c r="V189" s="64"/>
      <c r="W189" s="64"/>
      <c r="X189" s="64"/>
      <c r="Y189" s="64"/>
      <c r="Z189" s="64"/>
    </row>
    <row r="190" spans="1:26" x14ac:dyDescent="0.25">
      <c r="A190" s="64"/>
      <c r="B190" s="64"/>
      <c r="C190" s="64"/>
      <c r="D190" s="64"/>
      <c r="E190" s="64"/>
      <c r="F190" s="64"/>
      <c r="G190" s="64"/>
      <c r="H190" s="64"/>
      <c r="I190" s="64"/>
      <c r="J190" s="64"/>
      <c r="K190" s="64"/>
      <c r="L190" s="64"/>
      <c r="M190" s="64"/>
      <c r="N190" s="65"/>
      <c r="O190" s="65"/>
      <c r="P190" s="64"/>
      <c r="Q190" s="64"/>
      <c r="R190" s="64"/>
      <c r="S190" s="64"/>
      <c r="T190" s="64"/>
      <c r="U190" s="64"/>
      <c r="V190" s="64"/>
      <c r="W190" s="64"/>
      <c r="X190" s="64"/>
      <c r="Y190" s="64"/>
      <c r="Z190" s="64"/>
    </row>
    <row r="191" spans="1:26" x14ac:dyDescent="0.25">
      <c r="A191" s="64"/>
      <c r="B191" s="64"/>
      <c r="C191" s="64"/>
      <c r="D191" s="64"/>
      <c r="E191" s="64"/>
      <c r="F191" s="64"/>
      <c r="G191" s="64"/>
      <c r="H191" s="64"/>
      <c r="I191" s="64"/>
      <c r="J191" s="64"/>
      <c r="K191" s="64"/>
      <c r="L191" s="64"/>
      <c r="M191" s="64"/>
      <c r="N191" s="65"/>
      <c r="O191" s="65"/>
      <c r="P191" s="64"/>
      <c r="Q191" s="64"/>
      <c r="R191" s="64"/>
      <c r="S191" s="64"/>
      <c r="T191" s="64"/>
      <c r="U191" s="64"/>
      <c r="V191" s="64"/>
      <c r="W191" s="64"/>
      <c r="X191" s="64"/>
      <c r="Y191" s="64"/>
      <c r="Z191" s="64"/>
    </row>
    <row r="192" spans="1:26" x14ac:dyDescent="0.25">
      <c r="A192" s="64"/>
      <c r="B192" s="64"/>
      <c r="C192" s="64"/>
      <c r="D192" s="64"/>
      <c r="E192" s="64"/>
      <c r="F192" s="64"/>
      <c r="G192" s="64"/>
      <c r="H192" s="64"/>
      <c r="I192" s="64"/>
      <c r="J192" s="64"/>
      <c r="K192" s="64"/>
      <c r="L192" s="64"/>
      <c r="M192" s="64"/>
      <c r="N192" s="65"/>
      <c r="O192" s="65"/>
      <c r="P192" s="64"/>
      <c r="Q192" s="64"/>
      <c r="R192" s="64"/>
      <c r="S192" s="64"/>
      <c r="T192" s="64"/>
      <c r="U192" s="64"/>
      <c r="V192" s="64"/>
      <c r="W192" s="64"/>
      <c r="X192" s="64"/>
      <c r="Y192" s="64"/>
      <c r="Z192" s="64"/>
    </row>
    <row r="193" spans="1:26" x14ac:dyDescent="0.25">
      <c r="A193" s="64"/>
      <c r="B193" s="64"/>
      <c r="C193" s="64"/>
      <c r="D193" s="64"/>
      <c r="E193" s="64"/>
      <c r="F193" s="64"/>
      <c r="G193" s="64"/>
      <c r="H193" s="64"/>
      <c r="I193" s="64"/>
      <c r="J193" s="64"/>
      <c r="K193" s="64"/>
      <c r="L193" s="64"/>
      <c r="M193" s="64"/>
      <c r="N193" s="65"/>
      <c r="O193" s="65"/>
      <c r="P193" s="64"/>
      <c r="Q193" s="64"/>
      <c r="R193" s="64"/>
      <c r="S193" s="64"/>
      <c r="T193" s="64"/>
      <c r="U193" s="64"/>
      <c r="V193" s="64"/>
      <c r="W193" s="64"/>
      <c r="X193" s="64"/>
      <c r="Y193" s="64"/>
      <c r="Z193" s="64"/>
    </row>
    <row r="194" spans="1:26" x14ac:dyDescent="0.25">
      <c r="A194" s="64"/>
      <c r="B194" s="64"/>
      <c r="C194" s="64"/>
      <c r="D194" s="64"/>
      <c r="E194" s="64"/>
      <c r="F194" s="64"/>
      <c r="G194" s="64"/>
      <c r="H194" s="64"/>
      <c r="I194" s="64"/>
      <c r="J194" s="64"/>
      <c r="K194" s="64"/>
      <c r="L194" s="64"/>
      <c r="M194" s="64"/>
      <c r="N194" s="65"/>
      <c r="O194" s="65"/>
      <c r="P194" s="64"/>
      <c r="Q194" s="64"/>
      <c r="R194" s="64"/>
      <c r="S194" s="64"/>
      <c r="T194" s="64"/>
      <c r="U194" s="64"/>
      <c r="V194" s="64"/>
      <c r="W194" s="64"/>
      <c r="X194" s="64"/>
      <c r="Y194" s="64"/>
      <c r="Z194" s="64"/>
    </row>
    <row r="195" spans="1:26" x14ac:dyDescent="0.25">
      <c r="A195" s="64"/>
      <c r="B195" s="64"/>
      <c r="C195" s="64"/>
      <c r="D195" s="64"/>
      <c r="E195" s="64"/>
      <c r="F195" s="64"/>
      <c r="G195" s="64"/>
      <c r="H195" s="64"/>
      <c r="I195" s="64"/>
      <c r="J195" s="64"/>
      <c r="K195" s="64"/>
      <c r="L195" s="64"/>
      <c r="M195" s="64"/>
      <c r="N195" s="65"/>
      <c r="O195" s="65"/>
      <c r="P195" s="64"/>
      <c r="Q195" s="64"/>
      <c r="R195" s="64"/>
      <c r="S195" s="64"/>
      <c r="T195" s="64"/>
      <c r="U195" s="64"/>
      <c r="V195" s="64"/>
      <c r="W195" s="64"/>
      <c r="X195" s="64"/>
      <c r="Y195" s="64"/>
      <c r="Z195" s="64"/>
    </row>
    <row r="196" spans="1:26" x14ac:dyDescent="0.25">
      <c r="A196" s="64"/>
      <c r="B196" s="64"/>
      <c r="C196" s="64"/>
      <c r="D196" s="64"/>
      <c r="E196" s="64"/>
      <c r="F196" s="64"/>
      <c r="G196" s="64"/>
      <c r="H196" s="64"/>
      <c r="I196" s="64"/>
      <c r="J196" s="64"/>
      <c r="K196" s="64"/>
      <c r="L196" s="64"/>
      <c r="M196" s="64"/>
      <c r="N196" s="65"/>
      <c r="O196" s="65"/>
      <c r="P196" s="64"/>
      <c r="Q196" s="64"/>
      <c r="R196" s="64"/>
      <c r="S196" s="64"/>
      <c r="T196" s="64"/>
      <c r="U196" s="64"/>
      <c r="V196" s="64"/>
      <c r="W196" s="64"/>
      <c r="X196" s="64"/>
      <c r="Y196" s="64"/>
      <c r="Z196" s="64"/>
    </row>
    <row r="197" spans="1:26" x14ac:dyDescent="0.25">
      <c r="A197" s="64"/>
      <c r="B197" s="64"/>
      <c r="C197" s="64"/>
      <c r="D197" s="64"/>
      <c r="E197" s="64"/>
      <c r="F197" s="64"/>
      <c r="G197" s="64"/>
      <c r="H197" s="64"/>
      <c r="I197" s="64"/>
      <c r="J197" s="64"/>
      <c r="K197" s="64"/>
      <c r="L197" s="64"/>
      <c r="M197" s="64"/>
      <c r="N197" s="65"/>
      <c r="O197" s="65"/>
      <c r="P197" s="64"/>
      <c r="Q197" s="64"/>
      <c r="R197" s="64"/>
      <c r="S197" s="64"/>
      <c r="T197" s="64"/>
      <c r="U197" s="64"/>
      <c r="V197" s="64"/>
      <c r="W197" s="64"/>
      <c r="X197" s="64"/>
      <c r="Y197" s="64"/>
      <c r="Z197" s="64"/>
    </row>
    <row r="198" spans="1:26" x14ac:dyDescent="0.25">
      <c r="A198" s="64"/>
      <c r="B198" s="64"/>
      <c r="C198" s="64"/>
      <c r="D198" s="64"/>
      <c r="E198" s="64"/>
      <c r="F198" s="64"/>
      <c r="G198" s="64"/>
      <c r="H198" s="64"/>
      <c r="I198" s="64"/>
      <c r="J198" s="64"/>
      <c r="K198" s="64"/>
      <c r="L198" s="64"/>
      <c r="M198" s="64"/>
      <c r="N198" s="65"/>
      <c r="O198" s="65"/>
      <c r="P198" s="64"/>
      <c r="Q198" s="64"/>
      <c r="R198" s="64"/>
      <c r="S198" s="64"/>
      <c r="T198" s="64"/>
      <c r="U198" s="64"/>
      <c r="V198" s="64"/>
      <c r="W198" s="64"/>
      <c r="X198" s="64"/>
      <c r="Y198" s="64"/>
      <c r="Z198" s="64"/>
    </row>
    <row r="199" spans="1:26" x14ac:dyDescent="0.25">
      <c r="A199" s="64"/>
      <c r="B199" s="64"/>
      <c r="C199" s="64"/>
      <c r="D199" s="64"/>
      <c r="E199" s="64"/>
      <c r="F199" s="64"/>
      <c r="G199" s="64"/>
      <c r="H199" s="64"/>
      <c r="I199" s="64"/>
      <c r="J199" s="64"/>
      <c r="K199" s="64"/>
      <c r="L199" s="64"/>
      <c r="M199" s="64"/>
      <c r="N199" s="65"/>
      <c r="O199" s="65"/>
      <c r="P199" s="64"/>
      <c r="Q199" s="64"/>
      <c r="R199" s="64"/>
      <c r="S199" s="64"/>
      <c r="T199" s="64"/>
      <c r="U199" s="64"/>
      <c r="V199" s="64"/>
      <c r="W199" s="64"/>
      <c r="X199" s="64"/>
      <c r="Y199" s="64"/>
      <c r="Z199" s="64"/>
    </row>
    <row r="200" spans="1:26" x14ac:dyDescent="0.25">
      <c r="A200" s="64"/>
      <c r="B200" s="64"/>
      <c r="C200" s="64"/>
      <c r="D200" s="64"/>
      <c r="E200" s="64"/>
      <c r="F200" s="64"/>
      <c r="G200" s="64"/>
      <c r="H200" s="64"/>
      <c r="I200" s="64"/>
      <c r="J200" s="64"/>
      <c r="K200" s="64"/>
      <c r="L200" s="64"/>
      <c r="M200" s="64"/>
      <c r="N200" s="65"/>
      <c r="O200" s="65"/>
      <c r="P200" s="64"/>
      <c r="Q200" s="64"/>
      <c r="R200" s="64"/>
      <c r="S200" s="64"/>
      <c r="T200" s="64"/>
      <c r="U200" s="64"/>
      <c r="V200" s="64"/>
      <c r="W200" s="64"/>
      <c r="X200" s="64"/>
      <c r="Y200" s="64"/>
      <c r="Z200" s="64"/>
    </row>
    <row r="201" spans="1:26" x14ac:dyDescent="0.25">
      <c r="A201" s="64"/>
      <c r="B201" s="64"/>
      <c r="C201" s="64"/>
      <c r="D201" s="64"/>
      <c r="E201" s="64"/>
      <c r="F201" s="64"/>
      <c r="G201" s="64"/>
      <c r="H201" s="64"/>
      <c r="I201" s="64"/>
      <c r="J201" s="64"/>
      <c r="K201" s="64"/>
      <c r="L201" s="64"/>
      <c r="M201" s="64"/>
      <c r="N201" s="65"/>
      <c r="O201" s="65"/>
      <c r="P201" s="64"/>
      <c r="Q201" s="64"/>
      <c r="R201" s="64"/>
      <c r="S201" s="64"/>
      <c r="T201" s="64"/>
      <c r="U201" s="64"/>
      <c r="V201" s="64"/>
      <c r="W201" s="64"/>
      <c r="X201" s="64"/>
      <c r="Y201" s="64"/>
      <c r="Z201" s="64"/>
    </row>
    <row r="202" spans="1:26" x14ac:dyDescent="0.25">
      <c r="A202" s="64"/>
      <c r="B202" s="64"/>
      <c r="C202" s="64"/>
      <c r="D202" s="64"/>
      <c r="E202" s="64"/>
      <c r="F202" s="64"/>
      <c r="G202" s="64"/>
      <c r="H202" s="64"/>
      <c r="I202" s="64"/>
      <c r="J202" s="64"/>
      <c r="K202" s="64"/>
      <c r="L202" s="64"/>
      <c r="M202" s="64"/>
      <c r="N202" s="65"/>
      <c r="O202" s="65"/>
      <c r="P202" s="64"/>
      <c r="Q202" s="64"/>
      <c r="R202" s="64"/>
      <c r="S202" s="64"/>
      <c r="T202" s="64"/>
      <c r="U202" s="64"/>
      <c r="V202" s="64"/>
      <c r="W202" s="64"/>
      <c r="X202" s="64"/>
      <c r="Y202" s="64"/>
      <c r="Z202" s="64"/>
    </row>
    <row r="203" spans="1:26" x14ac:dyDescent="0.25">
      <c r="A203" s="64"/>
      <c r="B203" s="64"/>
      <c r="C203" s="64"/>
      <c r="D203" s="64"/>
      <c r="E203" s="64"/>
      <c r="F203" s="64"/>
      <c r="G203" s="64"/>
      <c r="H203" s="64"/>
      <c r="I203" s="64"/>
      <c r="J203" s="64"/>
      <c r="K203" s="64"/>
      <c r="L203" s="64"/>
      <c r="M203" s="64"/>
      <c r="N203" s="65"/>
      <c r="O203" s="65"/>
      <c r="P203" s="64"/>
      <c r="Q203" s="64"/>
      <c r="R203" s="64"/>
      <c r="S203" s="64"/>
      <c r="T203" s="64"/>
      <c r="U203" s="64"/>
      <c r="V203" s="64"/>
      <c r="W203" s="64"/>
      <c r="X203" s="64"/>
      <c r="Y203" s="64"/>
      <c r="Z203" s="64"/>
    </row>
    <row r="204" spans="1:26" x14ac:dyDescent="0.25">
      <c r="A204" s="64"/>
      <c r="B204" s="64"/>
      <c r="C204" s="64"/>
      <c r="D204" s="64"/>
      <c r="E204" s="64"/>
      <c r="F204" s="64"/>
      <c r="G204" s="64"/>
      <c r="H204" s="64"/>
      <c r="I204" s="64"/>
      <c r="J204" s="64"/>
      <c r="K204" s="64"/>
      <c r="L204" s="64"/>
      <c r="M204" s="64"/>
      <c r="N204" s="65"/>
      <c r="O204" s="65"/>
      <c r="P204" s="64"/>
      <c r="Q204" s="64"/>
      <c r="R204" s="64"/>
      <c r="S204" s="64"/>
      <c r="T204" s="64"/>
      <c r="U204" s="64"/>
      <c r="V204" s="64"/>
      <c r="W204" s="64"/>
      <c r="X204" s="64"/>
      <c r="Y204" s="64"/>
      <c r="Z204" s="64"/>
    </row>
    <row r="205" spans="1:26" x14ac:dyDescent="0.25">
      <c r="A205" s="64"/>
      <c r="B205" s="64"/>
      <c r="C205" s="64"/>
      <c r="D205" s="64"/>
      <c r="E205" s="64"/>
      <c r="F205" s="64"/>
      <c r="G205" s="64"/>
      <c r="H205" s="64"/>
      <c r="I205" s="64"/>
      <c r="J205" s="64"/>
      <c r="K205" s="64"/>
      <c r="L205" s="64"/>
      <c r="M205" s="64"/>
      <c r="N205" s="65"/>
      <c r="O205" s="65"/>
      <c r="P205" s="64"/>
      <c r="Q205" s="64"/>
      <c r="R205" s="64"/>
      <c r="S205" s="64"/>
      <c r="T205" s="64"/>
      <c r="U205" s="64"/>
      <c r="V205" s="64"/>
      <c r="W205" s="64"/>
      <c r="X205" s="64"/>
      <c r="Y205" s="64"/>
      <c r="Z205" s="64"/>
    </row>
    <row r="206" spans="1:26" x14ac:dyDescent="0.25">
      <c r="A206" s="64"/>
      <c r="B206" s="64"/>
      <c r="C206" s="64"/>
      <c r="D206" s="64"/>
      <c r="E206" s="64"/>
      <c r="F206" s="64"/>
      <c r="G206" s="64"/>
      <c r="H206" s="64"/>
      <c r="I206" s="64"/>
      <c r="J206" s="64"/>
      <c r="K206" s="64"/>
      <c r="L206" s="64"/>
      <c r="M206" s="64"/>
      <c r="N206" s="65"/>
      <c r="O206" s="65"/>
      <c r="P206" s="64"/>
      <c r="Q206" s="64"/>
      <c r="R206" s="64"/>
      <c r="S206" s="64"/>
      <c r="T206" s="64"/>
      <c r="U206" s="64"/>
      <c r="V206" s="64"/>
      <c r="W206" s="64"/>
      <c r="X206" s="64"/>
      <c r="Y206" s="64"/>
      <c r="Z206" s="64"/>
    </row>
    <row r="207" spans="1:26" x14ac:dyDescent="0.25">
      <c r="A207" s="64"/>
      <c r="B207" s="64"/>
      <c r="C207" s="64"/>
      <c r="D207" s="64"/>
      <c r="E207" s="64"/>
      <c r="F207" s="64"/>
      <c r="G207" s="64"/>
      <c r="H207" s="64"/>
      <c r="I207" s="64"/>
      <c r="J207" s="64"/>
      <c r="K207" s="64"/>
      <c r="L207" s="64"/>
      <c r="M207" s="64"/>
      <c r="N207" s="65"/>
      <c r="O207" s="65"/>
      <c r="P207" s="64"/>
      <c r="Q207" s="64"/>
      <c r="R207" s="64"/>
      <c r="S207" s="64"/>
      <c r="T207" s="64"/>
      <c r="U207" s="64"/>
      <c r="V207" s="64"/>
      <c r="W207" s="64"/>
      <c r="X207" s="64"/>
      <c r="Y207" s="64"/>
      <c r="Z207" s="64"/>
    </row>
    <row r="208" spans="1:26" x14ac:dyDescent="0.25">
      <c r="A208" s="64"/>
      <c r="B208" s="64"/>
      <c r="C208" s="64"/>
      <c r="D208" s="64"/>
      <c r="E208" s="64"/>
      <c r="F208" s="64"/>
      <c r="G208" s="64"/>
      <c r="H208" s="64"/>
      <c r="I208" s="64"/>
      <c r="J208" s="64"/>
      <c r="K208" s="64"/>
      <c r="L208" s="64"/>
      <c r="M208" s="64"/>
      <c r="N208" s="65"/>
      <c r="O208" s="65"/>
      <c r="P208" s="64"/>
      <c r="Q208" s="64"/>
      <c r="R208" s="64"/>
      <c r="S208" s="64"/>
      <c r="T208" s="64"/>
      <c r="U208" s="64"/>
      <c r="V208" s="64"/>
      <c r="W208" s="64"/>
      <c r="X208" s="64"/>
      <c r="Y208" s="64"/>
      <c r="Z208" s="64"/>
    </row>
    <row r="209" spans="1:26" x14ac:dyDescent="0.25">
      <c r="A209" s="64"/>
      <c r="B209" s="64"/>
      <c r="C209" s="64"/>
      <c r="D209" s="64"/>
      <c r="E209" s="64"/>
      <c r="F209" s="64"/>
      <c r="G209" s="64"/>
      <c r="H209" s="64"/>
      <c r="I209" s="64"/>
      <c r="J209" s="64"/>
      <c r="K209" s="64"/>
      <c r="L209" s="64"/>
      <c r="M209" s="64"/>
      <c r="N209" s="65"/>
      <c r="O209" s="65"/>
      <c r="P209" s="64"/>
      <c r="Q209" s="64"/>
      <c r="R209" s="64"/>
      <c r="S209" s="64"/>
      <c r="T209" s="64"/>
      <c r="U209" s="64"/>
      <c r="V209" s="64"/>
      <c r="W209" s="64"/>
      <c r="X209" s="64"/>
      <c r="Y209" s="64"/>
      <c r="Z209" s="64"/>
    </row>
    <row r="210" spans="1:26" x14ac:dyDescent="0.25">
      <c r="A210" s="64"/>
      <c r="B210" s="64"/>
      <c r="C210" s="64"/>
      <c r="D210" s="64"/>
      <c r="E210" s="64"/>
      <c r="F210" s="64"/>
      <c r="G210" s="64"/>
      <c r="H210" s="64"/>
      <c r="I210" s="64"/>
      <c r="J210" s="64"/>
      <c r="K210" s="64"/>
      <c r="L210" s="64"/>
      <c r="M210" s="64"/>
      <c r="N210" s="65"/>
      <c r="O210" s="65"/>
      <c r="P210" s="64"/>
      <c r="Q210" s="64"/>
      <c r="R210" s="64"/>
      <c r="S210" s="64"/>
      <c r="T210" s="64"/>
      <c r="U210" s="64"/>
      <c r="V210" s="64"/>
      <c r="W210" s="64"/>
      <c r="X210" s="64"/>
      <c r="Y210" s="64"/>
      <c r="Z210" s="64"/>
    </row>
    <row r="211" spans="1:26" x14ac:dyDescent="0.25">
      <c r="A211" s="64"/>
      <c r="B211" s="64"/>
      <c r="C211" s="64"/>
      <c r="D211" s="64"/>
      <c r="E211" s="64"/>
      <c r="F211" s="64"/>
      <c r="G211" s="64"/>
      <c r="H211" s="64"/>
      <c r="I211" s="64"/>
      <c r="J211" s="64"/>
      <c r="K211" s="64"/>
      <c r="L211" s="64"/>
      <c r="M211" s="64"/>
      <c r="N211" s="65"/>
      <c r="O211" s="65"/>
      <c r="P211" s="64"/>
      <c r="Q211" s="64"/>
      <c r="R211" s="64"/>
      <c r="S211" s="64"/>
      <c r="T211" s="64"/>
      <c r="U211" s="64"/>
      <c r="V211" s="64"/>
      <c r="W211" s="64"/>
      <c r="X211" s="64"/>
      <c r="Y211" s="64"/>
      <c r="Z211" s="64"/>
    </row>
  </sheetData>
  <sheetProtection sheet="1" objects="1" scenarios="1"/>
  <mergeCells count="10">
    <mergeCell ref="A2:F2"/>
    <mergeCell ref="I10:K12"/>
    <mergeCell ref="M2:M3"/>
    <mergeCell ref="G4:M4"/>
    <mergeCell ref="G1:H1"/>
    <mergeCell ref="G2:H3"/>
    <mergeCell ref="I2:I3"/>
    <mergeCell ref="J2:J3"/>
    <mergeCell ref="K2:K3"/>
    <mergeCell ref="L2:L3"/>
  </mergeCells>
  <conditionalFormatting sqref="D15:D19">
    <cfRule type="cellIs" dxfId="28" priority="1" stopIfTrue="1" operator="equal">
      <formula>0</formula>
    </cfRule>
    <cfRule type="dataBar" priority="2">
      <dataBar>
        <cfvo type="num" val="0"/>
        <cfvo type="formula" val="$B29"/>
        <color rgb="FFA9C9A9"/>
      </dataBar>
      <extLst>
        <ext xmlns:x14="http://schemas.microsoft.com/office/spreadsheetml/2009/9/main" uri="{B025F937-C7B1-47D3-B67F-A62EFF666E3E}">
          <x14:id>{5F4A560A-96A3-40D6-9ADF-056F9FAF470B}</x14:id>
        </ext>
      </extLst>
    </cfRule>
    <cfRule type="cellIs" dxfId="27" priority="3" operator="lessThan">
      <formula>0</formula>
    </cfRule>
  </conditionalFormatting>
  <conditionalFormatting sqref="D24:D31">
    <cfRule type="cellIs" dxfId="26" priority="4" stopIfTrue="1" operator="equal">
      <formula>0</formula>
    </cfRule>
    <cfRule type="dataBar" priority="5">
      <dataBar>
        <cfvo type="num" val="0"/>
        <cfvo type="formula" val="$B47"/>
        <color rgb="FF9FC3D6"/>
      </dataBar>
      <extLst>
        <ext xmlns:x14="http://schemas.microsoft.com/office/spreadsheetml/2009/9/main" uri="{B025F937-C7B1-47D3-B67F-A62EFF666E3E}">
          <x14:id>{17BA11E8-2F0E-4DB9-B739-D527740D37EF}</x14:id>
        </ext>
      </extLst>
    </cfRule>
    <cfRule type="cellIs" dxfId="25" priority="6" operator="lessThan">
      <formula>0</formula>
    </cfRule>
  </conditionalFormatting>
  <conditionalFormatting sqref="D36:D43">
    <cfRule type="cellIs" dxfId="24" priority="7" stopIfTrue="1" operator="equal">
      <formula>0</formula>
    </cfRule>
    <cfRule type="dataBar" priority="8">
      <dataBar>
        <cfvo type="num" val="0"/>
        <cfvo type="formula" val="$B71"/>
        <color rgb="FFE8AFC0"/>
      </dataBar>
      <extLst>
        <ext xmlns:x14="http://schemas.microsoft.com/office/spreadsheetml/2009/9/main" uri="{B025F937-C7B1-47D3-B67F-A62EFF666E3E}">
          <x14:id>{8AAF9936-8597-4C94-BE17-C3E86A807142}</x14:id>
        </ext>
      </extLst>
    </cfRule>
    <cfRule type="cellIs" dxfId="23" priority="9" operator="lessThan">
      <formula>0</formula>
    </cfRule>
  </conditionalFormatting>
  <conditionalFormatting sqref="D48:D52">
    <cfRule type="cellIs" dxfId="22" priority="10" stopIfTrue="1" operator="equal">
      <formula>0</formula>
    </cfRule>
    <cfRule type="dataBar" priority="11">
      <dataBar>
        <cfvo type="num" val="0"/>
        <cfvo type="formula" val="$B95"/>
        <color rgb="FFEBD98F"/>
      </dataBar>
      <extLst>
        <ext xmlns:x14="http://schemas.microsoft.com/office/spreadsheetml/2009/9/main" uri="{B025F937-C7B1-47D3-B67F-A62EFF666E3E}">
          <x14:id>{6C4AECAD-7D9D-4276-A019-552E1CACE9AD}</x14:id>
        </ext>
      </extLst>
    </cfRule>
    <cfRule type="cellIs" dxfId="21" priority="12" operator="lessThan">
      <formula>0</formula>
    </cfRule>
  </conditionalFormatting>
  <conditionalFormatting sqref="D57:D60">
    <cfRule type="cellIs" dxfId="20" priority="13" stopIfTrue="1" operator="equal">
      <formula>0</formula>
    </cfRule>
    <cfRule type="dataBar" priority="14">
      <dataBar>
        <cfvo type="num" val="0"/>
        <cfvo type="formula" val="$B113"/>
        <color rgb="FFC7B8E8"/>
      </dataBar>
      <extLst>
        <ext xmlns:x14="http://schemas.microsoft.com/office/spreadsheetml/2009/9/main" uri="{B025F937-C7B1-47D3-B67F-A62EFF666E3E}">
          <x14:id>{A8114C88-F6F6-46CC-B977-BFC905D512EB}</x14:id>
        </ext>
      </extLst>
    </cfRule>
    <cfRule type="cellIs" dxfId="19" priority="15" operator="lessThan">
      <formula>0</formula>
    </cfRule>
  </conditionalFormatting>
  <dataValidations count="4">
    <dataValidation type="list" allowBlank="1" showInputMessage="1" showErrorMessage="1" sqref="B6" xr:uid="{ED94BAFC-9073-4408-ABA0-5F73B09B6AF1}">
      <formula1>PayFrequencyList</formula1>
    </dataValidation>
    <dataValidation type="list" allowBlank="1" showInputMessage="1" showErrorMessage="1" sqref="B8" xr:uid="{10B9C9BC-C7AC-4AA8-8E86-908F1C874323}">
      <formula1>CurrencyList</formula1>
    </dataValidation>
    <dataValidation type="list" allowBlank="1" showInputMessage="1" showErrorMessage="1" sqref="E15:E19 E24:E31 E36:E43 E48:E52 E57:E60" xr:uid="{1D6F15E7-D872-465A-B060-3E02AD4186E4}">
      <formula1>"✓,​"</formula1>
    </dataValidation>
    <dataValidation allowBlank="1" showInputMessage="1" showErrorMessage="1" errorTitle="That's not a valid date" error="Please type a real date using your Excel's normal date format (any date through 2030)." promptTitle="Type a date" prompt="Use your Excel's normal date format. Any date through 2030 works." sqref="B5 B7" xr:uid="{A39A0EB1-0E0E-4A5A-9C62-E57BB14844BB}"/>
  </dataValidations>
  <pageMargins left="0.7" right="0.7" top="0.75" bottom="0.75" header="0.3" footer="0.3"/>
  <pageSetup scale="45" orientation="landscape" r:id="rId1"/>
  <drawing r:id="rId2"/>
  <legacyDrawing r:id="rId3"/>
  <extLst>
    <ext xmlns:x14="http://schemas.microsoft.com/office/spreadsheetml/2009/9/main" uri="{78C0D931-6437-407d-A8EE-F0AAD7539E65}">
      <x14:conditionalFormattings>
        <x14:conditionalFormatting xmlns:xm="http://schemas.microsoft.com/office/excel/2006/main">
          <x14:cfRule type="dataBar" id="{5F4A560A-96A3-40D6-9ADF-056F9FAF470B}">
            <x14:dataBar minLength="0" maxLength="100" direction="leftToRight" axisPosition="none">
              <x14:cfvo type="num">
                <xm:f>0</xm:f>
              </x14:cfvo>
              <x14:cfvo type="formula">
                <xm:f>$B29</xm:f>
              </x14:cfvo>
              <x14:negativeFillColor rgb="FFF0A8A0"/>
            </x14:dataBar>
          </x14:cfRule>
          <xm:sqref>D15:D19</xm:sqref>
        </x14:conditionalFormatting>
        <x14:conditionalFormatting xmlns:xm="http://schemas.microsoft.com/office/excel/2006/main">
          <x14:cfRule type="dataBar" id="{17BA11E8-2F0E-4DB9-B739-D527740D37EF}">
            <x14:dataBar minLength="0" maxLength="100" direction="leftToRight" axisPosition="none">
              <x14:cfvo type="num">
                <xm:f>0</xm:f>
              </x14:cfvo>
              <x14:cfvo type="formula">
                <xm:f>$B47</xm:f>
              </x14:cfvo>
              <x14:negativeFillColor rgb="FFF0A8A0"/>
            </x14:dataBar>
          </x14:cfRule>
          <xm:sqref>D24:D31</xm:sqref>
        </x14:conditionalFormatting>
        <x14:conditionalFormatting xmlns:xm="http://schemas.microsoft.com/office/excel/2006/main">
          <x14:cfRule type="dataBar" id="{8AAF9936-8597-4C94-BE17-C3E86A807142}">
            <x14:dataBar minLength="0" maxLength="100" direction="leftToRight" axisPosition="none">
              <x14:cfvo type="num">
                <xm:f>0</xm:f>
              </x14:cfvo>
              <x14:cfvo type="formula">
                <xm:f>$B71</xm:f>
              </x14:cfvo>
              <x14:negativeFillColor rgb="FFF0A8A0"/>
            </x14:dataBar>
          </x14:cfRule>
          <xm:sqref>D36:D43</xm:sqref>
        </x14:conditionalFormatting>
        <x14:conditionalFormatting xmlns:xm="http://schemas.microsoft.com/office/excel/2006/main">
          <x14:cfRule type="dataBar" id="{6C4AECAD-7D9D-4276-A019-552E1CACE9AD}">
            <x14:dataBar minLength="0" maxLength="100" direction="leftToRight" axisPosition="none">
              <x14:cfvo type="num">
                <xm:f>0</xm:f>
              </x14:cfvo>
              <x14:cfvo type="formula">
                <xm:f>$B95</xm:f>
              </x14:cfvo>
              <x14:negativeFillColor rgb="FFF0A8A0"/>
            </x14:dataBar>
          </x14:cfRule>
          <xm:sqref>D48:D52</xm:sqref>
        </x14:conditionalFormatting>
        <x14:conditionalFormatting xmlns:xm="http://schemas.microsoft.com/office/excel/2006/main">
          <x14:cfRule type="dataBar" id="{A8114C88-F6F6-46CC-B977-BFC905D512EB}">
            <x14:dataBar minLength="0" maxLength="100" direction="leftToRight" axisPosition="none">
              <x14:cfvo type="num">
                <xm:f>0</xm:f>
              </x14:cfvo>
              <x14:cfvo type="formula">
                <xm:f>$B113</xm:f>
              </x14:cfvo>
              <x14:negativeFillColor rgb="FFF0A8A0"/>
            </x14:dataBar>
          </x14:cfRule>
          <xm:sqref>D57:D60</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47325-BBDE-4DCA-BBE1-BD5E41B22CB2}">
  <sheetPr>
    <tabColor rgb="FFD6E8D6"/>
    <pageSetUpPr fitToPage="1"/>
  </sheetPr>
  <dimension ref="A1:Z232"/>
  <sheetViews>
    <sheetView showGridLines="0" tabSelected="1" zoomScale="70" zoomScaleNormal="70" workbookViewId="0">
      <selection activeCell="C10" sqref="C10"/>
    </sheetView>
  </sheetViews>
  <sheetFormatPr defaultRowHeight="15" outlineLevelCol="3" x14ac:dyDescent="0.25"/>
  <cols>
    <col min="1" max="1" width="28.5703125" customWidth="1"/>
    <col min="2" max="3" width="16.140625" customWidth="1"/>
    <col min="4" max="4" width="25.7109375" customWidth="1"/>
    <col min="5" max="5" width="14.28515625" customWidth="1"/>
    <col min="6" max="6" width="3.42578125" customWidth="1"/>
    <col min="7" max="8" width="11" customWidth="1"/>
    <col min="9" max="13" width="15.28515625" customWidth="1"/>
    <col min="14" max="15" width="0" style="12" hidden="1" customWidth="1" outlineLevel="3"/>
    <col min="16" max="16" width="0" hidden="1" customWidth="1" outlineLevel="2"/>
    <col min="17" max="17" width="9.140625" collapsed="1"/>
  </cols>
  <sheetData>
    <row r="1" spans="1:26" ht="36" customHeight="1" x14ac:dyDescent="0.5">
      <c r="A1" s="120" t="s">
        <v>122</v>
      </c>
      <c r="B1" s="53"/>
      <c r="C1" s="53"/>
      <c r="D1" s="53"/>
      <c r="E1" s="53"/>
      <c r="F1" s="53"/>
      <c r="G1" s="208" t="s">
        <v>196</v>
      </c>
      <c r="H1" s="209"/>
      <c r="I1" s="174" t="s">
        <v>216</v>
      </c>
      <c r="J1" s="175" t="s">
        <v>217</v>
      </c>
      <c r="K1" s="176" t="s">
        <v>218</v>
      </c>
      <c r="L1" s="177" t="s">
        <v>219</v>
      </c>
      <c r="M1" s="178" t="s">
        <v>220</v>
      </c>
      <c r="N1" s="191"/>
      <c r="O1" s="191"/>
      <c r="P1" s="191"/>
      <c r="Q1" s="64"/>
      <c r="R1" s="64"/>
      <c r="S1" s="64"/>
      <c r="T1" s="64"/>
      <c r="U1" s="64"/>
      <c r="V1" s="64"/>
      <c r="W1" s="64"/>
      <c r="X1" s="64"/>
      <c r="Y1" s="64"/>
      <c r="Z1" s="64"/>
    </row>
    <row r="2" spans="1:26" ht="30" customHeight="1" x14ac:dyDescent="0.25">
      <c r="A2" s="223" t="s">
        <v>214</v>
      </c>
      <c r="B2" s="223"/>
      <c r="C2" s="223"/>
      <c r="D2" s="223"/>
      <c r="E2" s="223"/>
      <c r="F2" s="224"/>
      <c r="G2" s="210">
        <f>E10</f>
        <v>0</v>
      </c>
      <c r="H2" s="211"/>
      <c r="I2" s="214">
        <f>C20</f>
        <v>0</v>
      </c>
      <c r="J2" s="216">
        <f>C32</f>
        <v>0</v>
      </c>
      <c r="K2" s="218">
        <f>C44</f>
        <v>0</v>
      </c>
      <c r="L2" s="220">
        <f>C53</f>
        <v>0</v>
      </c>
      <c r="M2" s="204">
        <f>C61</f>
        <v>0</v>
      </c>
      <c r="N2" s="143"/>
      <c r="O2" s="143"/>
      <c r="P2" s="144"/>
      <c r="Q2" s="64"/>
      <c r="R2" s="64"/>
      <c r="S2" s="64"/>
      <c r="T2" s="64"/>
      <c r="U2" s="64"/>
      <c r="V2" s="64"/>
      <c r="W2" s="64"/>
      <c r="X2" s="64"/>
      <c r="Y2" s="64"/>
      <c r="Z2" s="64"/>
    </row>
    <row r="3" spans="1:26" ht="26.1" customHeight="1" thickBot="1" x14ac:dyDescent="0.3">
      <c r="A3" s="53"/>
      <c r="B3" s="53"/>
      <c r="C3" s="53"/>
      <c r="D3" s="53"/>
      <c r="E3" s="53"/>
      <c r="F3" s="53"/>
      <c r="G3" s="212"/>
      <c r="H3" s="213"/>
      <c r="I3" s="215"/>
      <c r="J3" s="217"/>
      <c r="K3" s="219"/>
      <c r="L3" s="221"/>
      <c r="M3" s="205"/>
      <c r="N3" s="145" t="s">
        <v>100</v>
      </c>
      <c r="O3" s="143"/>
      <c r="P3" s="144"/>
      <c r="Q3" s="64"/>
      <c r="R3" s="64"/>
      <c r="S3" s="64"/>
      <c r="T3" s="64"/>
      <c r="U3" s="64"/>
      <c r="V3" s="64"/>
      <c r="W3" s="64"/>
      <c r="X3" s="64"/>
      <c r="Y3" s="64"/>
      <c r="Z3" s="64"/>
    </row>
    <row r="4" spans="1:26" ht="16.5" x14ac:dyDescent="0.25">
      <c r="A4" s="14" t="s">
        <v>78</v>
      </c>
      <c r="B4" s="15"/>
      <c r="C4" s="55"/>
      <c r="D4" s="14" t="s">
        <v>81</v>
      </c>
      <c r="E4" s="13"/>
      <c r="F4" s="15"/>
      <c r="G4" s="222" t="str">
        <f ca="1">"Days left: "&amp;IF(ISNUMBER(B7),MAX(B7-TODAY(),0),0)</f>
        <v>Days left: 16</v>
      </c>
      <c r="H4" s="207"/>
      <c r="I4" s="207"/>
      <c r="J4" s="207"/>
      <c r="K4" s="207"/>
      <c r="L4" s="207"/>
      <c r="M4" s="207"/>
      <c r="N4" s="143" t="s">
        <v>101</v>
      </c>
      <c r="O4" s="146">
        <f>MAX(E10,0)</f>
        <v>0</v>
      </c>
      <c r="P4" s="144"/>
      <c r="Q4" s="64"/>
      <c r="R4" s="64"/>
      <c r="S4" s="64"/>
      <c r="T4" s="64"/>
      <c r="U4" s="64"/>
      <c r="V4" s="64"/>
      <c r="W4" s="64"/>
      <c r="X4" s="64"/>
      <c r="Y4" s="64"/>
      <c r="Z4" s="64"/>
    </row>
    <row r="5" spans="1:26" x14ac:dyDescent="0.25">
      <c r="A5" s="56" t="s">
        <v>79</v>
      </c>
      <c r="B5" s="152">
        <v>46235</v>
      </c>
      <c r="C5" s="53"/>
      <c r="D5" s="56" t="s">
        <v>4</v>
      </c>
      <c r="E5" s="57">
        <f>C20</f>
        <v>0</v>
      </c>
      <c r="F5" s="58"/>
      <c r="G5" s="53"/>
      <c r="H5" s="53"/>
      <c r="I5" s="53"/>
      <c r="J5" s="53"/>
      <c r="K5" s="53"/>
      <c r="L5" s="53"/>
      <c r="M5" s="53"/>
      <c r="N5" s="143" t="s">
        <v>102</v>
      </c>
      <c r="O5" s="146">
        <f>C32+C44+C53+C61</f>
        <v>0</v>
      </c>
      <c r="P5" s="144"/>
      <c r="Q5" s="64"/>
      <c r="R5" s="64"/>
      <c r="S5" s="64"/>
      <c r="T5" s="64"/>
      <c r="U5" s="64"/>
      <c r="V5" s="64"/>
      <c r="W5" s="64"/>
      <c r="X5" s="64"/>
      <c r="Y5" s="64"/>
      <c r="Z5" s="64"/>
    </row>
    <row r="6" spans="1:26" x14ac:dyDescent="0.25">
      <c r="A6" s="56" t="s">
        <v>39</v>
      </c>
      <c r="B6" s="153" t="s">
        <v>43</v>
      </c>
      <c r="C6" s="53"/>
      <c r="D6" s="56" t="s">
        <v>82</v>
      </c>
      <c r="E6" s="57">
        <f>-C32</f>
        <v>0</v>
      </c>
      <c r="F6" s="58"/>
      <c r="G6" s="53"/>
      <c r="H6" s="53"/>
      <c r="I6" s="53"/>
      <c r="J6" s="53"/>
      <c r="K6" s="53"/>
      <c r="L6" s="53"/>
      <c r="M6" s="53"/>
      <c r="N6" s="143"/>
      <c r="O6" s="143"/>
      <c r="P6" s="144"/>
      <c r="Q6" s="64"/>
      <c r="R6" s="64"/>
      <c r="S6" s="64"/>
      <c r="T6" s="64"/>
      <c r="U6" s="64"/>
      <c r="V6" s="64"/>
      <c r="W6" s="64"/>
      <c r="X6" s="64"/>
      <c r="Y6" s="64"/>
      <c r="Z6" s="64"/>
    </row>
    <row r="7" spans="1:26" x14ac:dyDescent="0.25">
      <c r="A7" s="56" t="s">
        <v>80</v>
      </c>
      <c r="B7" s="151">
        <v>46265</v>
      </c>
      <c r="C7" s="59"/>
      <c r="D7" s="56" t="s">
        <v>83</v>
      </c>
      <c r="E7" s="57">
        <f>-C44</f>
        <v>0</v>
      </c>
      <c r="F7" s="58"/>
      <c r="G7" s="53"/>
      <c r="H7" s="53"/>
      <c r="I7" s="53"/>
      <c r="J7" s="53"/>
      <c r="K7" s="53"/>
      <c r="L7" s="53"/>
      <c r="M7" s="53"/>
      <c r="N7" s="143"/>
      <c r="O7" s="143"/>
      <c r="P7" s="144"/>
      <c r="Q7" s="64"/>
      <c r="R7" s="64"/>
      <c r="S7" s="64"/>
      <c r="T7" s="64"/>
      <c r="U7" s="64"/>
      <c r="V7" s="64"/>
      <c r="W7" s="64"/>
      <c r="X7" s="64"/>
      <c r="Y7" s="64"/>
      <c r="Z7" s="64"/>
    </row>
    <row r="8" spans="1:26" x14ac:dyDescent="0.25">
      <c r="A8" s="60" t="s">
        <v>44</v>
      </c>
      <c r="B8" s="154" t="s">
        <v>45</v>
      </c>
      <c r="C8" s="53"/>
      <c r="D8" s="56" t="s">
        <v>84</v>
      </c>
      <c r="E8" s="57">
        <f>-C53</f>
        <v>0</v>
      </c>
      <c r="F8" s="58"/>
      <c r="G8" s="53"/>
      <c r="H8" s="53"/>
      <c r="I8" s="53"/>
      <c r="J8" s="53"/>
      <c r="K8" s="53"/>
      <c r="L8" s="53"/>
      <c r="M8" s="53"/>
      <c r="N8" s="143" t="s">
        <v>82</v>
      </c>
      <c r="O8" s="146">
        <f>C32</f>
        <v>0</v>
      </c>
      <c r="P8" s="144"/>
      <c r="Q8" s="64"/>
      <c r="R8" s="64"/>
      <c r="S8" s="64"/>
      <c r="T8" s="64"/>
      <c r="U8" s="64"/>
      <c r="V8" s="64"/>
      <c r="W8" s="64"/>
      <c r="X8" s="64"/>
      <c r="Y8" s="64"/>
      <c r="Z8" s="64"/>
    </row>
    <row r="9" spans="1:26" x14ac:dyDescent="0.25">
      <c r="A9" s="53"/>
      <c r="B9" s="53"/>
      <c r="C9" s="53"/>
      <c r="D9" s="56" t="s">
        <v>34</v>
      </c>
      <c r="E9" s="57">
        <f>-C61</f>
        <v>0</v>
      </c>
      <c r="F9" s="58"/>
      <c r="G9" s="53"/>
      <c r="H9" s="53"/>
      <c r="I9" s="53"/>
      <c r="J9" s="53"/>
      <c r="K9" s="53"/>
      <c r="L9" s="53"/>
      <c r="M9" s="53"/>
      <c r="N9" s="143" t="s">
        <v>83</v>
      </c>
      <c r="O9" s="146">
        <f>C44</f>
        <v>0</v>
      </c>
      <c r="P9" s="144"/>
      <c r="Q9" s="64"/>
      <c r="R9" s="64"/>
      <c r="S9" s="64"/>
      <c r="T9" s="64"/>
      <c r="U9" s="64"/>
      <c r="V9" s="64"/>
      <c r="W9" s="64"/>
      <c r="X9" s="64"/>
      <c r="Y9" s="64"/>
      <c r="Z9" s="64"/>
    </row>
    <row r="10" spans="1:26" x14ac:dyDescent="0.25">
      <c r="A10" s="53"/>
      <c r="B10" s="53"/>
      <c r="C10" s="53"/>
      <c r="D10" s="62" t="s">
        <v>85</v>
      </c>
      <c r="E10" s="77">
        <f>E5+E6+E7+E8+E9</f>
        <v>0</v>
      </c>
      <c r="F10" s="61"/>
      <c r="G10" s="53"/>
      <c r="H10" s="53"/>
      <c r="I10" s="203">
        <f>E10</f>
        <v>0</v>
      </c>
      <c r="J10" s="203"/>
      <c r="K10" s="203"/>
      <c r="L10" s="53"/>
      <c r="M10" s="53"/>
      <c r="N10" s="143" t="s">
        <v>84</v>
      </c>
      <c r="O10" s="146">
        <f>C53</f>
        <v>0</v>
      </c>
      <c r="P10" s="144"/>
      <c r="Q10" s="64"/>
      <c r="R10" s="64"/>
      <c r="S10" s="64"/>
      <c r="T10" s="64"/>
      <c r="U10" s="64"/>
      <c r="V10" s="64"/>
      <c r="W10" s="64"/>
      <c r="X10" s="64"/>
      <c r="Y10" s="64"/>
      <c r="Z10" s="64"/>
    </row>
    <row r="11" spans="1:26" x14ac:dyDescent="0.25">
      <c r="A11" s="53"/>
      <c r="B11" s="53"/>
      <c r="C11" s="53"/>
      <c r="D11" s="53"/>
      <c r="E11" s="53"/>
      <c r="F11" s="53"/>
      <c r="G11" s="53"/>
      <c r="H11" s="53"/>
      <c r="I11" s="203"/>
      <c r="J11" s="203"/>
      <c r="K11" s="203"/>
      <c r="L11" s="53"/>
      <c r="M11" s="53"/>
      <c r="N11" s="143" t="s">
        <v>34</v>
      </c>
      <c r="O11" s="146">
        <f>C61</f>
        <v>0</v>
      </c>
      <c r="P11" s="144"/>
      <c r="Q11" s="64"/>
      <c r="R11" s="64"/>
      <c r="S11" s="64"/>
      <c r="T11" s="64"/>
      <c r="U11" s="64"/>
      <c r="V11" s="64"/>
      <c r="W11" s="64"/>
      <c r="X11" s="64"/>
      <c r="Y11" s="64"/>
      <c r="Z11" s="64"/>
    </row>
    <row r="12" spans="1:26" x14ac:dyDescent="0.25">
      <c r="A12" s="53"/>
      <c r="B12" s="53"/>
      <c r="C12" s="53"/>
      <c r="D12" s="53"/>
      <c r="E12" s="53"/>
      <c r="F12" s="53"/>
      <c r="G12" s="53"/>
      <c r="H12" s="53"/>
      <c r="I12" s="203"/>
      <c r="J12" s="203"/>
      <c r="K12" s="203"/>
      <c r="L12" s="53"/>
      <c r="M12" s="53"/>
      <c r="N12" s="143" t="s">
        <v>101</v>
      </c>
      <c r="O12" s="146">
        <f>MAX(E10,0)</f>
        <v>0</v>
      </c>
      <c r="P12" s="144"/>
      <c r="Q12" s="64"/>
      <c r="R12" s="64"/>
      <c r="S12" s="64"/>
      <c r="T12" s="64"/>
      <c r="U12" s="64"/>
      <c r="V12" s="64"/>
      <c r="W12" s="64"/>
      <c r="X12" s="64"/>
      <c r="Y12" s="64"/>
      <c r="Z12" s="64"/>
    </row>
    <row r="13" spans="1:26" x14ac:dyDescent="0.25">
      <c r="A13" s="53"/>
      <c r="B13" s="53"/>
      <c r="C13" s="53"/>
      <c r="D13" s="53"/>
      <c r="E13" s="53"/>
      <c r="F13" s="53"/>
      <c r="G13" s="53"/>
      <c r="H13" s="53"/>
      <c r="I13" s="53"/>
      <c r="J13" s="53"/>
      <c r="K13" s="53"/>
      <c r="L13" s="53"/>
      <c r="M13" s="53"/>
      <c r="N13" s="143"/>
      <c r="O13" s="143"/>
      <c r="P13" s="144"/>
      <c r="Q13" s="64"/>
      <c r="R13" s="64"/>
      <c r="S13" s="64"/>
      <c r="T13" s="64"/>
      <c r="U13" s="64"/>
      <c r="V13" s="64"/>
      <c r="W13" s="64"/>
      <c r="X13" s="64"/>
      <c r="Y13" s="64"/>
      <c r="Z13" s="64"/>
    </row>
    <row r="14" spans="1:26" ht="18" customHeight="1" x14ac:dyDescent="0.25">
      <c r="A14" s="83" t="s">
        <v>86</v>
      </c>
      <c r="B14" s="79" t="s">
        <v>87</v>
      </c>
      <c r="C14" s="79" t="s">
        <v>88</v>
      </c>
      <c r="D14" s="80" t="s">
        <v>89</v>
      </c>
      <c r="E14" s="86" t="s">
        <v>195</v>
      </c>
      <c r="F14" s="53"/>
      <c r="G14" s="53"/>
      <c r="H14" s="53"/>
      <c r="I14" s="53"/>
      <c r="J14" s="53"/>
      <c r="K14" s="53"/>
      <c r="L14" s="53"/>
      <c r="M14" s="53"/>
      <c r="N14" s="143"/>
      <c r="O14" s="143"/>
      <c r="P14" s="144"/>
      <c r="Q14" s="64"/>
      <c r="R14" s="64"/>
      <c r="S14" s="64"/>
      <c r="T14" s="64"/>
      <c r="U14" s="64"/>
      <c r="V14" s="64"/>
      <c r="W14" s="64"/>
      <c r="X14" s="64"/>
      <c r="Y14" s="64"/>
      <c r="Z14" s="64"/>
    </row>
    <row r="15" spans="1:26" ht="18" customHeight="1" x14ac:dyDescent="0.25">
      <c r="A15" s="84" t="str">
        <f>Settings!A3</f>
        <v>Paycheck</v>
      </c>
      <c r="B15" s="134">
        <v>0</v>
      </c>
      <c r="C15" s="134">
        <f>SUMIFS(TransactionsLog[Amount],TransactionsLog[Category],$A15,TransactionsLog[Date],"&gt;="&amp;PeriodStart,TransactionsLog[Date],"&lt;="&amp;PeriodEnd)</f>
        <v>0</v>
      </c>
      <c r="D15" s="76">
        <f t="shared" ref="D15:D20" si="0">C15-B15</f>
        <v>0</v>
      </c>
      <c r="E15" s="135"/>
      <c r="F15" s="53"/>
      <c r="G15" s="53"/>
      <c r="H15" s="53"/>
      <c r="I15" s="53"/>
      <c r="J15" s="53"/>
      <c r="K15" s="53"/>
      <c r="L15" s="53"/>
      <c r="M15" s="53"/>
      <c r="N15" s="143" t="s">
        <v>1</v>
      </c>
      <c r="O15" s="143" t="s">
        <v>88</v>
      </c>
      <c r="P15" s="144"/>
      <c r="Q15" s="64"/>
      <c r="R15" s="64"/>
      <c r="S15" s="64"/>
      <c r="T15" s="64"/>
      <c r="U15" s="64"/>
      <c r="V15" s="64"/>
      <c r="W15" s="64"/>
      <c r="X15" s="64"/>
      <c r="Y15" s="64"/>
      <c r="Z15" s="64"/>
    </row>
    <row r="16" spans="1:26" ht="18" customHeight="1" x14ac:dyDescent="0.25">
      <c r="A16" s="84" t="str">
        <f>Settings!A4</f>
        <v>Side Income</v>
      </c>
      <c r="B16" s="134">
        <v>0</v>
      </c>
      <c r="C16" s="134">
        <f>SUMIFS(TransactionsLog[Amount],TransactionsLog[Category],$A16,TransactionsLog[Date],"&gt;="&amp;PeriodStart,TransactionsLog[Date],"&lt;="&amp;PeriodEnd)</f>
        <v>0</v>
      </c>
      <c r="D16" s="76">
        <f t="shared" si="0"/>
        <v>0</v>
      </c>
      <c r="E16" s="135"/>
      <c r="F16" s="53"/>
      <c r="G16" s="53"/>
      <c r="H16" s="53"/>
      <c r="I16" s="53"/>
      <c r="J16" s="53"/>
      <c r="K16" s="53"/>
      <c r="L16" s="53"/>
      <c r="M16" s="53"/>
      <c r="N16" s="143" t="str">
        <f t="shared" ref="N16:N23" si="1">A36</f>
        <v>Groceries</v>
      </c>
      <c r="O16" s="146">
        <f t="shared" ref="O16:O23" si="2">C36</f>
        <v>0</v>
      </c>
      <c r="P16" s="144"/>
      <c r="Q16" s="64"/>
      <c r="R16" s="64"/>
      <c r="S16" s="64"/>
      <c r="T16" s="64"/>
      <c r="U16" s="64"/>
      <c r="V16" s="64"/>
      <c r="W16" s="64"/>
      <c r="X16" s="64"/>
      <c r="Y16" s="64"/>
      <c r="Z16" s="64"/>
    </row>
    <row r="17" spans="1:26" ht="18" customHeight="1" x14ac:dyDescent="0.25">
      <c r="A17" s="84" t="str">
        <f>Settings!A5</f>
        <v>Freelance Income</v>
      </c>
      <c r="B17" s="134">
        <v>0</v>
      </c>
      <c r="C17" s="134">
        <f>SUMIFS(TransactionsLog[Amount],TransactionsLog[Category],$A17,TransactionsLog[Date],"&gt;="&amp;PeriodStart,TransactionsLog[Date],"&lt;="&amp;PeriodEnd)</f>
        <v>0</v>
      </c>
      <c r="D17" s="76">
        <f t="shared" si="0"/>
        <v>0</v>
      </c>
      <c r="E17" s="135"/>
      <c r="F17" s="53"/>
      <c r="G17" s="53"/>
      <c r="H17" s="53"/>
      <c r="I17" s="53"/>
      <c r="J17" s="53"/>
      <c r="K17" s="53"/>
      <c r="L17" s="53"/>
      <c r="M17" s="53"/>
      <c r="N17" s="143" t="str">
        <f t="shared" si="1"/>
        <v>Dining Out</v>
      </c>
      <c r="O17" s="146">
        <f t="shared" si="2"/>
        <v>0</v>
      </c>
      <c r="P17" s="144"/>
      <c r="Q17" s="64"/>
      <c r="R17" s="64"/>
      <c r="S17" s="64"/>
      <c r="T17" s="64"/>
      <c r="U17" s="64"/>
      <c r="V17" s="64"/>
      <c r="W17" s="64"/>
      <c r="X17" s="64"/>
      <c r="Y17" s="64"/>
      <c r="Z17" s="64"/>
    </row>
    <row r="18" spans="1:26" ht="18" customHeight="1" x14ac:dyDescent="0.25">
      <c r="A18" s="84" t="str">
        <f>Settings!A6</f>
        <v>Bonus</v>
      </c>
      <c r="B18" s="134">
        <v>0</v>
      </c>
      <c r="C18" s="134">
        <f>SUMIFS(TransactionsLog[Amount],TransactionsLog[Category],$A18,TransactionsLog[Date],"&gt;="&amp;PeriodStart,TransactionsLog[Date],"&lt;="&amp;PeriodEnd)</f>
        <v>0</v>
      </c>
      <c r="D18" s="76">
        <f t="shared" si="0"/>
        <v>0</v>
      </c>
      <c r="E18" s="135"/>
      <c r="F18" s="53"/>
      <c r="G18" s="53"/>
      <c r="H18" s="53"/>
      <c r="I18" s="53"/>
      <c r="J18" s="53"/>
      <c r="K18" s="53"/>
      <c r="L18" s="53"/>
      <c r="M18" s="53"/>
      <c r="N18" s="143" t="str">
        <f t="shared" si="1"/>
        <v>Transportation</v>
      </c>
      <c r="O18" s="146">
        <f t="shared" si="2"/>
        <v>0</v>
      </c>
      <c r="P18" s="144"/>
      <c r="Q18" s="64"/>
      <c r="R18" s="64"/>
      <c r="S18" s="64"/>
      <c r="T18" s="64"/>
      <c r="U18" s="64"/>
      <c r="V18" s="64"/>
      <c r="W18" s="64"/>
      <c r="X18" s="64"/>
      <c r="Y18" s="64"/>
      <c r="Z18" s="64"/>
    </row>
    <row r="19" spans="1:26" ht="18" customHeight="1" x14ac:dyDescent="0.25">
      <c r="A19" s="84" t="str">
        <f>Settings!A7</f>
        <v>Other Income</v>
      </c>
      <c r="B19" s="134">
        <v>0</v>
      </c>
      <c r="C19" s="134">
        <f>SUMIFS(TransactionsLog[Amount],TransactionsLog[Category],$A19,TransactionsLog[Date],"&gt;="&amp;PeriodStart,TransactionsLog[Date],"&lt;="&amp;PeriodEnd)</f>
        <v>0</v>
      </c>
      <c r="D19" s="76">
        <f t="shared" si="0"/>
        <v>0</v>
      </c>
      <c r="E19" s="135"/>
      <c r="F19" s="53"/>
      <c r="G19" s="53"/>
      <c r="H19" s="53"/>
      <c r="I19" s="53"/>
      <c r="J19" s="53"/>
      <c r="K19" s="53"/>
      <c r="L19" s="53"/>
      <c r="M19" s="53"/>
      <c r="N19" s="143" t="str">
        <f t="shared" si="1"/>
        <v>Entertainment</v>
      </c>
      <c r="O19" s="146">
        <f t="shared" si="2"/>
        <v>0</v>
      </c>
      <c r="P19" s="144"/>
      <c r="Q19" s="64"/>
      <c r="R19" s="64"/>
      <c r="S19" s="64"/>
      <c r="T19" s="64"/>
      <c r="U19" s="64"/>
      <c r="V19" s="64"/>
      <c r="W19" s="64"/>
      <c r="X19" s="64"/>
      <c r="Y19" s="64"/>
      <c r="Z19" s="64"/>
    </row>
    <row r="20" spans="1:26" ht="18" customHeight="1" x14ac:dyDescent="0.25">
      <c r="A20" s="85" t="s">
        <v>90</v>
      </c>
      <c r="B20" s="81">
        <f>SUM(B15:B19)</f>
        <v>0</v>
      </c>
      <c r="C20" s="81">
        <f>SUM(C15:C19)</f>
        <v>0</v>
      </c>
      <c r="D20" s="82">
        <f t="shared" si="0"/>
        <v>0</v>
      </c>
      <c r="E20" s="87"/>
      <c r="F20" s="53"/>
      <c r="G20" s="53"/>
      <c r="H20" s="53"/>
      <c r="I20" s="53"/>
      <c r="J20" s="53"/>
      <c r="K20" s="53"/>
      <c r="L20" s="53"/>
      <c r="M20" s="53"/>
      <c r="N20" s="143" t="str">
        <f t="shared" si="1"/>
        <v>Shopping</v>
      </c>
      <c r="O20" s="146">
        <f t="shared" si="2"/>
        <v>0</v>
      </c>
      <c r="P20" s="144"/>
      <c r="Q20" s="64"/>
      <c r="R20" s="64"/>
      <c r="S20" s="64"/>
      <c r="T20" s="64"/>
      <c r="U20" s="64"/>
      <c r="V20" s="64"/>
      <c r="W20" s="64"/>
      <c r="X20" s="64"/>
      <c r="Y20" s="64"/>
      <c r="Z20" s="64"/>
    </row>
    <row r="21" spans="1:26" x14ac:dyDescent="0.25">
      <c r="A21" s="53"/>
      <c r="B21" s="53"/>
      <c r="C21" s="53"/>
      <c r="D21" s="53"/>
      <c r="E21" s="53"/>
      <c r="F21" s="53"/>
      <c r="G21" s="53"/>
      <c r="H21" s="53"/>
      <c r="I21" s="53"/>
      <c r="J21" s="53"/>
      <c r="K21" s="53"/>
      <c r="L21" s="53"/>
      <c r="M21" s="53"/>
      <c r="N21" s="143" t="str">
        <f t="shared" si="1"/>
        <v>Personal Care</v>
      </c>
      <c r="O21" s="146">
        <f t="shared" si="2"/>
        <v>0</v>
      </c>
      <c r="P21" s="144"/>
      <c r="Q21" s="64"/>
      <c r="R21" s="64"/>
      <c r="S21" s="64"/>
      <c r="T21" s="64"/>
      <c r="U21" s="64"/>
      <c r="V21" s="64"/>
      <c r="W21" s="64"/>
      <c r="X21" s="64"/>
      <c r="Y21" s="64"/>
      <c r="Z21" s="64"/>
    </row>
    <row r="22" spans="1:26" x14ac:dyDescent="0.25">
      <c r="A22" s="53"/>
      <c r="B22" s="53"/>
      <c r="C22" s="53"/>
      <c r="D22" s="53"/>
      <c r="E22" s="53"/>
      <c r="F22" s="53"/>
      <c r="G22" s="53"/>
      <c r="H22" s="53"/>
      <c r="I22" s="53"/>
      <c r="J22" s="53"/>
      <c r="K22" s="53"/>
      <c r="L22" s="53"/>
      <c r="M22" s="53"/>
      <c r="N22" s="143" t="str">
        <f t="shared" si="1"/>
        <v>Household Supplies</v>
      </c>
      <c r="O22" s="146">
        <f t="shared" si="2"/>
        <v>0</v>
      </c>
      <c r="P22" s="144"/>
      <c r="Q22" s="64"/>
      <c r="R22" s="64"/>
      <c r="S22" s="64"/>
      <c r="T22" s="64"/>
      <c r="U22" s="64"/>
      <c r="V22" s="64"/>
      <c r="W22" s="64"/>
      <c r="X22" s="64"/>
      <c r="Y22" s="64"/>
      <c r="Z22" s="64"/>
    </row>
    <row r="23" spans="1:26" ht="18" customHeight="1" x14ac:dyDescent="0.25">
      <c r="A23" s="92" t="s">
        <v>91</v>
      </c>
      <c r="B23" s="88" t="s">
        <v>87</v>
      </c>
      <c r="C23" s="88" t="s">
        <v>88</v>
      </c>
      <c r="D23" s="89" t="s">
        <v>92</v>
      </c>
      <c r="E23" s="95" t="s">
        <v>195</v>
      </c>
      <c r="F23" s="53"/>
      <c r="G23" s="53"/>
      <c r="H23" s="53"/>
      <c r="I23" s="53"/>
      <c r="J23" s="53"/>
      <c r="K23" s="53"/>
      <c r="L23" s="53"/>
      <c r="M23" s="53"/>
      <c r="N23" s="143" t="str">
        <f t="shared" si="1"/>
        <v>Miscellaneous</v>
      </c>
      <c r="O23" s="146">
        <f t="shared" si="2"/>
        <v>0</v>
      </c>
      <c r="P23" s="144"/>
      <c r="Q23" s="64"/>
      <c r="R23" s="64"/>
      <c r="S23" s="64"/>
      <c r="T23" s="64"/>
      <c r="U23" s="64"/>
      <c r="V23" s="64"/>
      <c r="W23" s="64"/>
      <c r="X23" s="64"/>
      <c r="Y23" s="64"/>
      <c r="Z23" s="64"/>
    </row>
    <row r="24" spans="1:26" ht="18" customHeight="1" x14ac:dyDescent="0.25">
      <c r="A24" s="93" t="str">
        <f>Settings!A8</f>
        <v>Rent or Mortgage</v>
      </c>
      <c r="B24" s="134">
        <v>0</v>
      </c>
      <c r="C24" s="134">
        <f>SUMIFS(TransactionsLog[Amount],TransactionsLog[Category],$A24,TransactionsLog[Date],"&gt;="&amp;PeriodStart,TransactionsLog[Date],"&lt;="&amp;PeriodEnd)</f>
        <v>0</v>
      </c>
      <c r="D24" s="76">
        <f t="shared" ref="D24:D32" si="3">B24-C24</f>
        <v>0</v>
      </c>
      <c r="E24" s="136" t="s">
        <v>195</v>
      </c>
      <c r="F24" s="53"/>
      <c r="G24" s="53"/>
      <c r="H24" s="53"/>
      <c r="I24" s="53"/>
      <c r="J24" s="53"/>
      <c r="K24" s="53"/>
      <c r="L24" s="53"/>
      <c r="M24" s="53"/>
      <c r="N24" s="143"/>
      <c r="O24" s="143"/>
      <c r="P24" s="144"/>
      <c r="Q24" s="64"/>
      <c r="R24" s="64"/>
      <c r="S24" s="64"/>
      <c r="T24" s="64"/>
      <c r="U24" s="64"/>
      <c r="V24" s="64"/>
      <c r="W24" s="64"/>
      <c r="X24" s="64"/>
      <c r="Y24" s="64"/>
      <c r="Z24" s="64"/>
    </row>
    <row r="25" spans="1:26" ht="18" customHeight="1" x14ac:dyDescent="0.25">
      <c r="A25" s="93" t="str">
        <f>Settings!A9</f>
        <v>Electricity</v>
      </c>
      <c r="B25" s="134">
        <v>0</v>
      </c>
      <c r="C25" s="134">
        <f>SUMIFS(TransactionsLog[Amount],TransactionsLog[Category],$A25,TransactionsLog[Date],"&gt;="&amp;PeriodStart,TransactionsLog[Date],"&lt;="&amp;PeriodEnd)</f>
        <v>0</v>
      </c>
      <c r="D25" s="76">
        <f t="shared" si="3"/>
        <v>0</v>
      </c>
      <c r="E25" s="136"/>
      <c r="F25" s="53"/>
      <c r="G25" s="53"/>
      <c r="H25" s="53"/>
      <c r="I25" s="53"/>
      <c r="J25" s="53"/>
      <c r="K25" s="53"/>
      <c r="L25" s="53"/>
      <c r="M25" s="53"/>
      <c r="N25" s="143"/>
      <c r="O25" s="143"/>
      <c r="P25" s="144"/>
      <c r="Q25" s="64"/>
      <c r="R25" s="64"/>
      <c r="S25" s="64"/>
      <c r="T25" s="64"/>
      <c r="U25" s="64"/>
      <c r="V25" s="64"/>
      <c r="W25" s="64"/>
      <c r="X25" s="64"/>
      <c r="Y25" s="64"/>
      <c r="Z25" s="64"/>
    </row>
    <row r="26" spans="1:26" ht="18" customHeight="1" x14ac:dyDescent="0.25">
      <c r="A26" s="93" t="str">
        <f>Settings!A10</f>
        <v>Water</v>
      </c>
      <c r="B26" s="134">
        <v>0</v>
      </c>
      <c r="C26" s="134">
        <f>SUMIFS(TransactionsLog[Amount],TransactionsLog[Category],$A26,TransactionsLog[Date],"&gt;="&amp;PeriodStart,TransactionsLog[Date],"&lt;="&amp;PeriodEnd)</f>
        <v>0</v>
      </c>
      <c r="D26" s="76">
        <f t="shared" si="3"/>
        <v>0</v>
      </c>
      <c r="E26" s="136"/>
      <c r="F26" s="53"/>
      <c r="G26" s="53"/>
      <c r="H26" s="53"/>
      <c r="I26" s="53"/>
      <c r="J26" s="53"/>
      <c r="K26" s="53"/>
      <c r="L26" s="53"/>
      <c r="M26" s="53"/>
      <c r="N26" s="147" t="s">
        <v>1</v>
      </c>
      <c r="O26" s="147" t="s">
        <v>87</v>
      </c>
      <c r="P26" s="147" t="s">
        <v>88</v>
      </c>
      <c r="Q26" s="64"/>
      <c r="R26" s="64"/>
      <c r="S26" s="64"/>
      <c r="T26" s="64"/>
      <c r="U26" s="64"/>
      <c r="V26" s="64"/>
      <c r="W26" s="64"/>
      <c r="X26" s="64"/>
      <c r="Y26" s="64"/>
      <c r="Z26" s="64"/>
    </row>
    <row r="27" spans="1:26" ht="18" customHeight="1" x14ac:dyDescent="0.25">
      <c r="A27" s="93" t="str">
        <f>Settings!A11</f>
        <v>Internet</v>
      </c>
      <c r="B27" s="134">
        <v>0</v>
      </c>
      <c r="C27" s="134">
        <f>SUMIFS(TransactionsLog[Amount],TransactionsLog[Category],$A27,TransactionsLog[Date],"&gt;="&amp;PeriodStart,TransactionsLog[Date],"&lt;="&amp;PeriodEnd)</f>
        <v>0</v>
      </c>
      <c r="D27" s="76">
        <f t="shared" si="3"/>
        <v>0</v>
      </c>
      <c r="E27" s="136"/>
      <c r="F27" s="53"/>
      <c r="G27" s="53"/>
      <c r="H27" s="53"/>
      <c r="I27" s="53"/>
      <c r="J27" s="53"/>
      <c r="K27" s="53"/>
      <c r="L27" s="53"/>
      <c r="M27" s="53"/>
      <c r="N27" s="147" t="s">
        <v>4</v>
      </c>
      <c r="O27" s="147">
        <f>B20</f>
        <v>0</v>
      </c>
      <c r="P27" s="147">
        <f>C20</f>
        <v>0</v>
      </c>
      <c r="Q27" s="64"/>
      <c r="R27" s="64"/>
      <c r="S27" s="64"/>
      <c r="T27" s="64"/>
      <c r="U27" s="64"/>
      <c r="V27" s="64"/>
      <c r="W27" s="64"/>
      <c r="X27" s="64"/>
      <c r="Y27" s="64"/>
      <c r="Z27" s="64"/>
    </row>
    <row r="28" spans="1:26" ht="18" customHeight="1" x14ac:dyDescent="0.25">
      <c r="A28" s="93" t="str">
        <f>Settings!A12</f>
        <v>Phone</v>
      </c>
      <c r="B28" s="134">
        <v>0</v>
      </c>
      <c r="C28" s="134">
        <f>SUMIFS(TransactionsLog[Amount],TransactionsLog[Category],$A28,TransactionsLog[Date],"&gt;="&amp;PeriodStart,TransactionsLog[Date],"&lt;="&amp;PeriodEnd)</f>
        <v>0</v>
      </c>
      <c r="D28" s="76">
        <f t="shared" si="3"/>
        <v>0</v>
      </c>
      <c r="E28" s="136"/>
      <c r="F28" s="53"/>
      <c r="G28" s="53"/>
      <c r="H28" s="53"/>
      <c r="I28" s="53"/>
      <c r="J28" s="53"/>
      <c r="K28" s="53"/>
      <c r="L28" s="53"/>
      <c r="M28" s="53"/>
      <c r="N28" s="147" t="s">
        <v>82</v>
      </c>
      <c r="O28" s="147">
        <f>B32</f>
        <v>0</v>
      </c>
      <c r="P28" s="147">
        <f>C32</f>
        <v>0</v>
      </c>
      <c r="Q28" s="64"/>
      <c r="R28" s="64"/>
      <c r="S28" s="64"/>
      <c r="T28" s="64"/>
      <c r="U28" s="64"/>
      <c r="V28" s="64"/>
      <c r="W28" s="64"/>
      <c r="X28" s="64"/>
      <c r="Y28" s="64"/>
      <c r="Z28" s="64"/>
    </row>
    <row r="29" spans="1:26" ht="18" customHeight="1" x14ac:dyDescent="0.25">
      <c r="A29" s="93" t="str">
        <f>Settings!A13</f>
        <v>Car Payment</v>
      </c>
      <c r="B29" s="134">
        <v>0</v>
      </c>
      <c r="C29" s="134">
        <f>SUMIFS(TransactionsLog[Amount],TransactionsLog[Category],$A29,TransactionsLog[Date],"&gt;="&amp;PeriodStart,TransactionsLog[Date],"&lt;="&amp;PeriodEnd)</f>
        <v>0</v>
      </c>
      <c r="D29" s="76">
        <f t="shared" si="3"/>
        <v>0</v>
      </c>
      <c r="E29" s="136"/>
      <c r="F29" s="53"/>
      <c r="G29" s="53"/>
      <c r="H29" s="53"/>
      <c r="I29" s="53"/>
      <c r="J29" s="53"/>
      <c r="K29" s="53"/>
      <c r="L29" s="53"/>
      <c r="M29" s="53"/>
      <c r="N29" s="147" t="s">
        <v>83</v>
      </c>
      <c r="O29" s="147">
        <f>B44</f>
        <v>0</v>
      </c>
      <c r="P29" s="147">
        <f>C44</f>
        <v>0</v>
      </c>
      <c r="Q29" s="64"/>
      <c r="R29" s="64"/>
      <c r="S29" s="64"/>
      <c r="T29" s="64"/>
      <c r="U29" s="64"/>
      <c r="V29" s="64"/>
      <c r="W29" s="64"/>
      <c r="X29" s="64"/>
      <c r="Y29" s="64"/>
      <c r="Z29" s="64"/>
    </row>
    <row r="30" spans="1:26" ht="18" customHeight="1" x14ac:dyDescent="0.25">
      <c r="A30" s="93" t="str">
        <f>Settings!A14</f>
        <v>Insurance</v>
      </c>
      <c r="B30" s="134">
        <v>0</v>
      </c>
      <c r="C30" s="134">
        <f>SUMIFS(TransactionsLog[Amount],TransactionsLog[Category],$A30,TransactionsLog[Date],"&gt;="&amp;PeriodStart,TransactionsLog[Date],"&lt;="&amp;PeriodEnd)</f>
        <v>0</v>
      </c>
      <c r="D30" s="76">
        <f t="shared" si="3"/>
        <v>0</v>
      </c>
      <c r="E30" s="136"/>
      <c r="F30" s="53"/>
      <c r="G30" s="53"/>
      <c r="H30" s="53"/>
      <c r="I30" s="53"/>
      <c r="J30" s="53"/>
      <c r="K30" s="53"/>
      <c r="L30" s="53"/>
      <c r="M30" s="53"/>
      <c r="N30" s="147" t="s">
        <v>84</v>
      </c>
      <c r="O30" s="147">
        <f>B53</f>
        <v>0</v>
      </c>
      <c r="P30" s="147">
        <f>C53</f>
        <v>0</v>
      </c>
      <c r="Q30" s="64"/>
      <c r="R30" s="64"/>
      <c r="S30" s="64"/>
      <c r="T30" s="64"/>
      <c r="U30" s="64"/>
      <c r="V30" s="64"/>
      <c r="W30" s="64"/>
      <c r="X30" s="64"/>
      <c r="Y30" s="64"/>
      <c r="Z30" s="64"/>
    </row>
    <row r="31" spans="1:26" ht="18" customHeight="1" x14ac:dyDescent="0.25">
      <c r="A31" s="93" t="str">
        <f>Settings!A15</f>
        <v>Subscriptions</v>
      </c>
      <c r="B31" s="134">
        <v>0</v>
      </c>
      <c r="C31" s="134">
        <f>'Subscription Tracker'!$C$4</f>
        <v>0</v>
      </c>
      <c r="D31" s="76">
        <f t="shared" si="3"/>
        <v>0</v>
      </c>
      <c r="E31" s="137"/>
      <c r="F31" s="53"/>
      <c r="G31" s="53"/>
      <c r="H31" s="53"/>
      <c r="I31" s="53"/>
      <c r="J31" s="53"/>
      <c r="K31" s="53"/>
      <c r="L31" s="53"/>
      <c r="M31" s="53"/>
      <c r="N31" s="147" t="s">
        <v>34</v>
      </c>
      <c r="O31" s="147">
        <f>B61</f>
        <v>0</v>
      </c>
      <c r="P31" s="147">
        <f>C61</f>
        <v>0</v>
      </c>
      <c r="Q31" s="64"/>
      <c r="R31" s="64"/>
      <c r="S31" s="64"/>
      <c r="T31" s="64"/>
      <c r="U31" s="64"/>
      <c r="V31" s="64"/>
      <c r="W31" s="64"/>
      <c r="X31" s="64"/>
      <c r="Y31" s="64"/>
      <c r="Z31" s="64"/>
    </row>
    <row r="32" spans="1:26" ht="18" customHeight="1" x14ac:dyDescent="0.25">
      <c r="A32" s="94" t="s">
        <v>93</v>
      </c>
      <c r="B32" s="90">
        <f>SUM(B24:B31)</f>
        <v>0</v>
      </c>
      <c r="C32" s="90">
        <f>SUM(C24:C31)</f>
        <v>0</v>
      </c>
      <c r="D32" s="91">
        <f t="shared" si="3"/>
        <v>0</v>
      </c>
      <c r="E32" s="96"/>
      <c r="F32" s="53"/>
      <c r="G32" s="53"/>
      <c r="H32" s="53"/>
      <c r="I32" s="53"/>
      <c r="J32" s="53"/>
      <c r="K32" s="53"/>
      <c r="L32" s="53"/>
      <c r="M32" s="53"/>
      <c r="N32" s="143"/>
      <c r="O32" s="143"/>
      <c r="P32" s="144"/>
      <c r="Q32" s="64"/>
      <c r="R32" s="64"/>
      <c r="S32" s="64"/>
      <c r="T32" s="64"/>
      <c r="U32" s="64"/>
      <c r="V32" s="64"/>
      <c r="W32" s="64"/>
      <c r="X32" s="64"/>
      <c r="Y32" s="64"/>
      <c r="Z32" s="64"/>
    </row>
    <row r="33" spans="1:26" x14ac:dyDescent="0.25">
      <c r="A33" s="53"/>
      <c r="B33" s="53"/>
      <c r="C33" s="53"/>
      <c r="D33" s="53"/>
      <c r="E33" s="53"/>
      <c r="F33" s="53"/>
      <c r="G33" s="53"/>
      <c r="H33" s="53"/>
      <c r="I33" s="53"/>
      <c r="J33" s="53"/>
      <c r="K33" s="53"/>
      <c r="L33" s="53"/>
      <c r="M33" s="53"/>
      <c r="N33" s="143"/>
      <c r="O33" s="143"/>
      <c r="P33" s="144"/>
      <c r="Q33" s="64"/>
      <c r="R33" s="64"/>
      <c r="S33" s="64"/>
      <c r="T33" s="64"/>
      <c r="U33" s="64"/>
      <c r="V33" s="64"/>
      <c r="W33" s="64"/>
      <c r="X33" s="64"/>
      <c r="Y33" s="64"/>
      <c r="Z33" s="64"/>
    </row>
    <row r="34" spans="1:26" x14ac:dyDescent="0.25">
      <c r="A34" s="53"/>
      <c r="B34" s="53"/>
      <c r="C34" s="53"/>
      <c r="D34" s="53"/>
      <c r="E34" s="53"/>
      <c r="F34" s="53"/>
      <c r="G34" s="53"/>
      <c r="H34" s="53"/>
      <c r="I34" s="53"/>
      <c r="J34" s="53"/>
      <c r="K34" s="53"/>
      <c r="L34" s="53"/>
      <c r="M34" s="53"/>
      <c r="N34" s="143"/>
      <c r="O34" s="143"/>
      <c r="P34" s="144"/>
      <c r="Q34" s="64"/>
      <c r="R34" s="64"/>
      <c r="S34" s="64"/>
      <c r="T34" s="64"/>
      <c r="U34" s="64"/>
      <c r="V34" s="64"/>
      <c r="W34" s="64"/>
      <c r="X34" s="64"/>
      <c r="Y34" s="64"/>
      <c r="Z34" s="64"/>
    </row>
    <row r="35" spans="1:26" ht="18" customHeight="1" x14ac:dyDescent="0.25">
      <c r="A35" s="101" t="s">
        <v>94</v>
      </c>
      <c r="B35" s="97" t="s">
        <v>87</v>
      </c>
      <c r="C35" s="97" t="s">
        <v>88</v>
      </c>
      <c r="D35" s="98" t="s">
        <v>92</v>
      </c>
      <c r="E35" s="104" t="s">
        <v>195</v>
      </c>
      <c r="F35" s="53"/>
      <c r="G35" s="53"/>
      <c r="H35" s="53"/>
      <c r="I35" s="53"/>
      <c r="J35" s="53"/>
      <c r="K35" s="53"/>
      <c r="L35" s="53"/>
      <c r="M35" s="53"/>
      <c r="N35" s="143"/>
      <c r="O35" s="143"/>
      <c r="P35" s="144"/>
      <c r="Q35" s="64"/>
      <c r="R35" s="64"/>
      <c r="S35" s="64"/>
      <c r="T35" s="64"/>
      <c r="U35" s="64"/>
      <c r="V35" s="64"/>
      <c r="W35" s="64"/>
      <c r="X35" s="64"/>
      <c r="Y35" s="64"/>
      <c r="Z35" s="64"/>
    </row>
    <row r="36" spans="1:26" ht="18" customHeight="1" x14ac:dyDescent="0.25">
      <c r="A36" s="102" t="str">
        <f>Settings!A16</f>
        <v>Groceries</v>
      </c>
      <c r="B36" s="134">
        <v>0</v>
      </c>
      <c r="C36" s="134"/>
      <c r="D36" s="76">
        <f>B36-C36</f>
        <v>0</v>
      </c>
      <c r="E36" s="138"/>
      <c r="F36" s="53"/>
      <c r="G36" s="53"/>
      <c r="H36" s="53"/>
      <c r="I36" s="53"/>
      <c r="J36" s="53"/>
      <c r="K36" s="53"/>
      <c r="L36" s="53"/>
      <c r="M36" s="53"/>
      <c r="N36" s="143"/>
      <c r="O36" s="143"/>
      <c r="P36" s="144"/>
      <c r="Q36" s="64"/>
      <c r="R36" s="64"/>
      <c r="S36" s="64"/>
      <c r="T36" s="64"/>
      <c r="U36" s="64"/>
      <c r="V36" s="64"/>
      <c r="W36" s="64"/>
      <c r="X36" s="64"/>
      <c r="Y36" s="64"/>
      <c r="Z36" s="64"/>
    </row>
    <row r="37" spans="1:26" ht="18" customHeight="1" x14ac:dyDescent="0.25">
      <c r="A37" s="102" t="str">
        <f>Settings!A17</f>
        <v>Dining Out</v>
      </c>
      <c r="B37" s="134">
        <v>0</v>
      </c>
      <c r="C37" s="134">
        <f>SUMIFS(TransactionsLog[Amount],TransactionsLog[Category],$A37,TransactionsLog[Date],"&gt;="&amp;PeriodStart,TransactionsLog[Date],"&lt;="&amp;PeriodEnd)</f>
        <v>0</v>
      </c>
      <c r="D37" s="76">
        <f t="shared" ref="D37:D43" si="4">B37-C37</f>
        <v>0</v>
      </c>
      <c r="E37" s="138"/>
      <c r="F37" s="53"/>
      <c r="G37" s="53"/>
      <c r="H37" s="53"/>
      <c r="I37" s="53"/>
      <c r="J37" s="53"/>
      <c r="K37" s="53"/>
      <c r="L37" s="53"/>
      <c r="M37" s="53"/>
      <c r="N37" s="143"/>
      <c r="O37" s="143"/>
      <c r="P37" s="144"/>
      <c r="Q37" s="64"/>
      <c r="R37" s="64"/>
      <c r="S37" s="64"/>
      <c r="T37" s="64"/>
      <c r="U37" s="64"/>
      <c r="V37" s="64"/>
      <c r="W37" s="64"/>
      <c r="X37" s="64"/>
      <c r="Y37" s="64"/>
      <c r="Z37" s="64"/>
    </row>
    <row r="38" spans="1:26" ht="18" customHeight="1" x14ac:dyDescent="0.25">
      <c r="A38" s="102" t="str">
        <f>Settings!A18</f>
        <v>Transportation</v>
      </c>
      <c r="B38" s="134">
        <v>0</v>
      </c>
      <c r="C38" s="134">
        <f>SUMIFS(TransactionsLog[Amount],TransactionsLog[Category],$A38,TransactionsLog[Date],"&gt;="&amp;PeriodStart,TransactionsLog[Date],"&lt;="&amp;PeriodEnd)</f>
        <v>0</v>
      </c>
      <c r="D38" s="76">
        <f t="shared" si="4"/>
        <v>0</v>
      </c>
      <c r="E38" s="138"/>
      <c r="F38" s="53"/>
      <c r="G38" s="53"/>
      <c r="H38" s="53"/>
      <c r="I38" s="53"/>
      <c r="J38" s="53"/>
      <c r="K38" s="53"/>
      <c r="L38" s="53"/>
      <c r="M38" s="53"/>
      <c r="N38" s="143"/>
      <c r="O38" s="143"/>
      <c r="P38" s="144"/>
      <c r="Q38" s="64"/>
      <c r="R38" s="64"/>
      <c r="S38" s="64"/>
      <c r="T38" s="64"/>
      <c r="U38" s="64"/>
      <c r="V38" s="64"/>
      <c r="W38" s="64"/>
      <c r="X38" s="64"/>
      <c r="Y38" s="64"/>
      <c r="Z38" s="64"/>
    </row>
    <row r="39" spans="1:26" ht="18" customHeight="1" x14ac:dyDescent="0.25">
      <c r="A39" s="102" t="str">
        <f>Settings!A19</f>
        <v>Entertainment</v>
      </c>
      <c r="B39" s="134">
        <v>0</v>
      </c>
      <c r="C39" s="134">
        <f>SUMIFS(TransactionsLog[Amount],TransactionsLog[Category],$A39,TransactionsLog[Date],"&gt;="&amp;PeriodStart,TransactionsLog[Date],"&lt;="&amp;PeriodEnd)</f>
        <v>0</v>
      </c>
      <c r="D39" s="76">
        <f t="shared" si="4"/>
        <v>0</v>
      </c>
      <c r="E39" s="138"/>
      <c r="F39" s="53"/>
      <c r="G39" s="53"/>
      <c r="H39" s="53"/>
      <c r="I39" s="53"/>
      <c r="J39" s="53"/>
      <c r="K39" s="53"/>
      <c r="L39" s="53"/>
      <c r="M39" s="53"/>
      <c r="N39" s="143"/>
      <c r="O39" s="143"/>
      <c r="P39" s="144"/>
      <c r="Q39" s="64"/>
      <c r="R39" s="64"/>
      <c r="S39" s="64"/>
      <c r="T39" s="64"/>
      <c r="U39" s="64"/>
      <c r="V39" s="64"/>
      <c r="W39" s="64"/>
      <c r="X39" s="64"/>
      <c r="Y39" s="64"/>
      <c r="Z39" s="64"/>
    </row>
    <row r="40" spans="1:26" ht="18" customHeight="1" x14ac:dyDescent="0.25">
      <c r="A40" s="102" t="str">
        <f>Settings!A20</f>
        <v>Shopping</v>
      </c>
      <c r="B40" s="134">
        <v>0</v>
      </c>
      <c r="C40" s="134">
        <f>SUMIFS(TransactionsLog[Amount],TransactionsLog[Category],$A40,TransactionsLog[Date],"&gt;="&amp;PeriodStart,TransactionsLog[Date],"&lt;="&amp;PeriodEnd)</f>
        <v>0</v>
      </c>
      <c r="D40" s="76">
        <f t="shared" si="4"/>
        <v>0</v>
      </c>
      <c r="E40" s="138"/>
      <c r="F40" s="53"/>
      <c r="G40" s="53"/>
      <c r="H40" s="53"/>
      <c r="I40" s="53"/>
      <c r="J40" s="53"/>
      <c r="K40" s="53"/>
      <c r="L40" s="53"/>
      <c r="M40" s="53"/>
      <c r="N40" s="143"/>
      <c r="O40" s="143"/>
      <c r="P40" s="144"/>
      <c r="Q40" s="64"/>
      <c r="R40" s="64"/>
      <c r="S40" s="64"/>
      <c r="T40" s="64"/>
      <c r="U40" s="64"/>
      <c r="V40" s="64"/>
      <c r="W40" s="64"/>
      <c r="X40" s="64"/>
      <c r="Y40" s="64"/>
      <c r="Z40" s="64"/>
    </row>
    <row r="41" spans="1:26" ht="18" customHeight="1" x14ac:dyDescent="0.25">
      <c r="A41" s="102" t="str">
        <f>Settings!A21</f>
        <v>Personal Care</v>
      </c>
      <c r="B41" s="134">
        <v>0</v>
      </c>
      <c r="C41" s="134">
        <f>SUMIFS(TransactionsLog[Amount],TransactionsLog[Category],$A41,TransactionsLog[Date],"&gt;="&amp;PeriodStart,TransactionsLog[Date],"&lt;="&amp;PeriodEnd)</f>
        <v>0</v>
      </c>
      <c r="D41" s="76">
        <f t="shared" si="4"/>
        <v>0</v>
      </c>
      <c r="E41" s="138"/>
      <c r="F41" s="53"/>
      <c r="G41" s="53"/>
      <c r="H41" s="53"/>
      <c r="I41" s="53"/>
      <c r="J41" s="53"/>
      <c r="K41" s="53"/>
      <c r="L41" s="53"/>
      <c r="M41" s="53"/>
      <c r="N41" s="54"/>
      <c r="O41" s="54"/>
      <c r="P41" s="53"/>
      <c r="Q41" s="64"/>
      <c r="R41" s="64"/>
      <c r="S41" s="64"/>
      <c r="T41" s="64"/>
      <c r="U41" s="64"/>
      <c r="V41" s="64"/>
      <c r="W41" s="64"/>
      <c r="X41" s="64"/>
      <c r="Y41" s="64"/>
      <c r="Z41" s="64"/>
    </row>
    <row r="42" spans="1:26" ht="18" customHeight="1" x14ac:dyDescent="0.25">
      <c r="A42" s="102" t="str">
        <f>Settings!A22</f>
        <v>Household Supplies</v>
      </c>
      <c r="B42" s="134">
        <v>0</v>
      </c>
      <c r="C42" s="134">
        <f>SUMIFS(TransactionsLog[Amount],TransactionsLog[Category],$A42,TransactionsLog[Date],"&gt;="&amp;PeriodStart,TransactionsLog[Date],"&lt;="&amp;PeriodEnd)</f>
        <v>0</v>
      </c>
      <c r="D42" s="76">
        <f t="shared" si="4"/>
        <v>0</v>
      </c>
      <c r="E42" s="138"/>
      <c r="F42" s="53"/>
      <c r="G42" s="53"/>
      <c r="H42" s="53"/>
      <c r="I42" s="53"/>
      <c r="J42" s="53"/>
      <c r="K42" s="53"/>
      <c r="L42" s="53"/>
      <c r="M42" s="53"/>
      <c r="N42" s="54"/>
      <c r="O42" s="54"/>
      <c r="P42" s="53"/>
      <c r="Q42" s="64"/>
      <c r="R42" s="64"/>
      <c r="S42" s="64"/>
      <c r="T42" s="64"/>
      <c r="U42" s="64"/>
      <c r="V42" s="64"/>
      <c r="W42" s="64"/>
      <c r="X42" s="64"/>
      <c r="Y42" s="64"/>
      <c r="Z42" s="64"/>
    </row>
    <row r="43" spans="1:26" ht="18" customHeight="1" x14ac:dyDescent="0.25">
      <c r="A43" s="102" t="str">
        <f>Settings!A23</f>
        <v>Miscellaneous</v>
      </c>
      <c r="B43" s="134">
        <v>0</v>
      </c>
      <c r="C43" s="134">
        <f>SUMIFS(TransactionsLog[Amount],TransactionsLog[Category],$A43,TransactionsLog[Date],"&gt;="&amp;PeriodStart,TransactionsLog[Date],"&lt;="&amp;PeriodEnd)</f>
        <v>0</v>
      </c>
      <c r="D43" s="76">
        <f t="shared" si="4"/>
        <v>0</v>
      </c>
      <c r="E43" s="138"/>
      <c r="F43" s="53"/>
      <c r="G43" s="53"/>
      <c r="H43" s="53"/>
      <c r="I43" s="53"/>
      <c r="J43" s="53"/>
      <c r="K43" s="53"/>
      <c r="L43" s="53"/>
      <c r="M43" s="53"/>
      <c r="N43" s="54"/>
      <c r="O43" s="54"/>
      <c r="P43" s="53"/>
      <c r="Q43" s="64"/>
      <c r="R43" s="64"/>
      <c r="S43" s="64"/>
      <c r="T43" s="64"/>
      <c r="U43" s="64"/>
      <c r="V43" s="64"/>
      <c r="W43" s="64"/>
      <c r="X43" s="64"/>
      <c r="Y43" s="64"/>
      <c r="Z43" s="64"/>
    </row>
    <row r="44" spans="1:26" ht="18" customHeight="1" x14ac:dyDescent="0.25">
      <c r="A44" s="103" t="s">
        <v>95</v>
      </c>
      <c r="B44" s="99">
        <f>SUM(B36:B43)</f>
        <v>0</v>
      </c>
      <c r="C44" s="99">
        <f>SUM(C36:C43)</f>
        <v>0</v>
      </c>
      <c r="D44" s="100">
        <f>B44-C44</f>
        <v>0</v>
      </c>
      <c r="E44" s="105"/>
      <c r="F44" s="53"/>
      <c r="G44" s="53"/>
      <c r="H44" s="53"/>
      <c r="I44" s="53"/>
      <c r="J44" s="53"/>
      <c r="K44" s="53"/>
      <c r="L44" s="53"/>
      <c r="M44" s="53"/>
      <c r="N44" s="54"/>
      <c r="O44" s="54"/>
      <c r="P44" s="53"/>
      <c r="Q44" s="64"/>
      <c r="R44" s="64"/>
      <c r="S44" s="64"/>
      <c r="T44" s="64"/>
      <c r="U44" s="64"/>
      <c r="V44" s="64"/>
      <c r="W44" s="64"/>
      <c r="X44" s="64"/>
      <c r="Y44" s="64"/>
      <c r="Z44" s="64"/>
    </row>
    <row r="45" spans="1:26" x14ac:dyDescent="0.25">
      <c r="A45" s="53"/>
      <c r="B45" s="53"/>
      <c r="C45" s="53"/>
      <c r="D45" s="53"/>
      <c r="E45" s="53"/>
      <c r="F45" s="53"/>
      <c r="G45" s="53"/>
      <c r="H45" s="53"/>
      <c r="I45" s="53"/>
      <c r="J45" s="53"/>
      <c r="K45" s="53"/>
      <c r="L45" s="53"/>
      <c r="M45" s="53"/>
      <c r="N45" s="54"/>
      <c r="O45" s="54"/>
      <c r="P45" s="53"/>
      <c r="Q45" s="64"/>
      <c r="R45" s="64"/>
      <c r="S45" s="64"/>
      <c r="T45" s="64"/>
      <c r="U45" s="64"/>
      <c r="V45" s="64"/>
      <c r="W45" s="64"/>
      <c r="X45" s="64"/>
      <c r="Y45" s="64"/>
      <c r="Z45" s="64"/>
    </row>
    <row r="46" spans="1:26" x14ac:dyDescent="0.25">
      <c r="A46" s="53"/>
      <c r="B46" s="53"/>
      <c r="C46" s="53"/>
      <c r="D46" s="53"/>
      <c r="E46" s="53"/>
      <c r="F46" s="53"/>
      <c r="G46" s="53"/>
      <c r="H46" s="53"/>
      <c r="I46" s="53"/>
      <c r="J46" s="53"/>
      <c r="K46" s="53"/>
      <c r="L46" s="53"/>
      <c r="M46" s="53"/>
      <c r="N46" s="54"/>
      <c r="O46" s="54"/>
      <c r="P46" s="53"/>
      <c r="Q46" s="64"/>
      <c r="R46" s="64"/>
      <c r="S46" s="64"/>
      <c r="T46" s="64"/>
      <c r="U46" s="64"/>
      <c r="V46" s="64"/>
      <c r="W46" s="64"/>
      <c r="X46" s="64"/>
      <c r="Y46" s="64"/>
      <c r="Z46" s="64"/>
    </row>
    <row r="47" spans="1:26" ht="18" customHeight="1" x14ac:dyDescent="0.25">
      <c r="A47" s="110" t="s">
        <v>96</v>
      </c>
      <c r="B47" s="106" t="s">
        <v>87</v>
      </c>
      <c r="C47" s="106" t="s">
        <v>88</v>
      </c>
      <c r="D47" s="107" t="s">
        <v>92</v>
      </c>
      <c r="E47" s="113" t="s">
        <v>195</v>
      </c>
      <c r="F47" s="53"/>
      <c r="G47" s="53"/>
      <c r="H47" s="53"/>
      <c r="I47" s="53"/>
      <c r="J47" s="53"/>
      <c r="K47" s="53"/>
      <c r="L47" s="53"/>
      <c r="M47" s="53"/>
      <c r="N47" s="54"/>
      <c r="O47" s="54"/>
      <c r="P47" s="53"/>
      <c r="Q47" s="64"/>
      <c r="R47" s="64"/>
      <c r="S47" s="64"/>
      <c r="T47" s="64"/>
      <c r="U47" s="64"/>
      <c r="V47" s="64"/>
      <c r="W47" s="64"/>
      <c r="X47" s="64"/>
      <c r="Y47" s="64"/>
      <c r="Z47" s="64"/>
    </row>
    <row r="48" spans="1:26" ht="18" customHeight="1" x14ac:dyDescent="0.25">
      <c r="A48" s="111" t="str">
        <f>Settings!A24</f>
        <v>Emergency Fund</v>
      </c>
      <c r="B48" s="134">
        <v>0</v>
      </c>
      <c r="C48" s="134">
        <f>SUMIFS(TransactionsLog[Amount],TransactionsLog[Category],$A48,TransactionsLog[Date],"&gt;="&amp;PeriodStart,TransactionsLog[Date],"&lt;="&amp;PeriodEnd)</f>
        <v>0</v>
      </c>
      <c r="D48" s="76">
        <f t="shared" ref="D48:D53" si="5">B48-C48</f>
        <v>0</v>
      </c>
      <c r="E48" s="139"/>
      <c r="F48" s="53"/>
      <c r="G48" s="53"/>
      <c r="H48" s="53"/>
      <c r="I48" s="53"/>
      <c r="J48" s="53"/>
      <c r="K48" s="53"/>
      <c r="L48" s="53"/>
      <c r="M48" s="53"/>
      <c r="N48" s="54"/>
      <c r="O48" s="54"/>
      <c r="P48" s="53"/>
      <c r="Q48" s="64"/>
      <c r="R48" s="64"/>
      <c r="S48" s="64"/>
      <c r="T48" s="64"/>
      <c r="U48" s="64"/>
      <c r="V48" s="64"/>
      <c r="W48" s="64"/>
      <c r="X48" s="64"/>
      <c r="Y48" s="64"/>
      <c r="Z48" s="64"/>
    </row>
    <row r="49" spans="1:26" ht="18" customHeight="1" x14ac:dyDescent="0.25">
      <c r="A49" s="111" t="str">
        <f>Settings!A25</f>
        <v>Vacation Fund</v>
      </c>
      <c r="B49" s="134">
        <v>0</v>
      </c>
      <c r="C49" s="134">
        <f>SUMIFS(TransactionsLog[Amount],TransactionsLog[Category],$A49,TransactionsLog[Date],"&gt;="&amp;PeriodStart,TransactionsLog[Date],"&lt;="&amp;PeriodEnd)</f>
        <v>0</v>
      </c>
      <c r="D49" s="76">
        <f t="shared" si="5"/>
        <v>0</v>
      </c>
      <c r="E49" s="139"/>
      <c r="F49" s="53"/>
      <c r="G49" s="53"/>
      <c r="H49" s="53"/>
      <c r="I49" s="53"/>
      <c r="J49" s="53"/>
      <c r="K49" s="53"/>
      <c r="L49" s="53"/>
      <c r="M49" s="53"/>
      <c r="N49" s="54"/>
      <c r="O49" s="54"/>
      <c r="P49" s="53"/>
      <c r="Q49" s="64"/>
      <c r="R49" s="64"/>
      <c r="S49" s="64"/>
      <c r="T49" s="64"/>
      <c r="U49" s="64"/>
      <c r="V49" s="64"/>
      <c r="W49" s="64"/>
      <c r="X49" s="64"/>
      <c r="Y49" s="64"/>
      <c r="Z49" s="64"/>
    </row>
    <row r="50" spans="1:26" ht="18" customHeight="1" x14ac:dyDescent="0.25">
      <c r="A50" s="111" t="str">
        <f>Settings!A26</f>
        <v>Holiday Fund</v>
      </c>
      <c r="B50" s="134">
        <v>0</v>
      </c>
      <c r="C50" s="134">
        <f>SUMIFS(TransactionsLog[Amount],TransactionsLog[Category],$A50,TransactionsLog[Date],"&gt;="&amp;PeriodStart,TransactionsLog[Date],"&lt;="&amp;PeriodEnd)</f>
        <v>0</v>
      </c>
      <c r="D50" s="76">
        <f t="shared" si="5"/>
        <v>0</v>
      </c>
      <c r="E50" s="139"/>
      <c r="F50" s="53"/>
      <c r="G50" s="53"/>
      <c r="H50" s="53"/>
      <c r="I50" s="53"/>
      <c r="J50" s="53"/>
      <c r="K50" s="53"/>
      <c r="L50" s="53"/>
      <c r="M50" s="53"/>
      <c r="N50" s="54"/>
      <c r="O50" s="54"/>
      <c r="P50" s="53"/>
      <c r="Q50" s="64"/>
      <c r="R50" s="64"/>
      <c r="S50" s="64"/>
      <c r="T50" s="64"/>
      <c r="U50" s="64"/>
      <c r="V50" s="64"/>
      <c r="W50" s="64"/>
      <c r="X50" s="64"/>
      <c r="Y50" s="64"/>
      <c r="Z50" s="64"/>
    </row>
    <row r="51" spans="1:26" ht="18" customHeight="1" x14ac:dyDescent="0.25">
      <c r="A51" s="111" t="str">
        <f>Settings!A27</f>
        <v>Retirement Savings</v>
      </c>
      <c r="B51" s="134">
        <v>0</v>
      </c>
      <c r="C51" s="134">
        <f>SUMIFS(TransactionsLog[Amount],TransactionsLog[Category],$A51,TransactionsLog[Date],"&gt;="&amp;PeriodStart,TransactionsLog[Date],"&lt;="&amp;PeriodEnd)</f>
        <v>0</v>
      </c>
      <c r="D51" s="76">
        <f t="shared" si="5"/>
        <v>0</v>
      </c>
      <c r="E51" s="139"/>
      <c r="F51" s="53"/>
      <c r="G51" s="53"/>
      <c r="H51" s="53"/>
      <c r="I51" s="53"/>
      <c r="J51" s="53"/>
      <c r="K51" s="53"/>
      <c r="L51" s="53"/>
      <c r="M51" s="53"/>
      <c r="N51" s="54"/>
      <c r="O51" s="54"/>
      <c r="P51" s="53"/>
      <c r="Q51" s="64"/>
      <c r="R51" s="64"/>
      <c r="S51" s="64"/>
      <c r="T51" s="64"/>
      <c r="U51" s="64"/>
      <c r="V51" s="64"/>
      <c r="W51" s="64"/>
      <c r="X51" s="64"/>
      <c r="Y51" s="64"/>
      <c r="Z51" s="64"/>
    </row>
    <row r="52" spans="1:26" ht="18" customHeight="1" x14ac:dyDescent="0.25">
      <c r="A52" s="111" t="str">
        <f>Settings!A28</f>
        <v>General Savings</v>
      </c>
      <c r="B52" s="134">
        <v>0</v>
      </c>
      <c r="C52" s="134">
        <f>SUMIFS(TransactionsLog[Amount],TransactionsLog[Category],$A52,TransactionsLog[Date],"&gt;="&amp;PeriodStart,TransactionsLog[Date],"&lt;="&amp;PeriodEnd)</f>
        <v>0</v>
      </c>
      <c r="D52" s="76">
        <f t="shared" si="5"/>
        <v>0</v>
      </c>
      <c r="E52" s="139"/>
      <c r="F52" s="53"/>
      <c r="G52" s="53"/>
      <c r="H52" s="53"/>
      <c r="I52" s="53"/>
      <c r="J52" s="53"/>
      <c r="K52" s="53"/>
      <c r="L52" s="53"/>
      <c r="M52" s="53"/>
      <c r="N52" s="54"/>
      <c r="O52" s="54"/>
      <c r="P52" s="53"/>
      <c r="Q52" s="64"/>
      <c r="R52" s="64"/>
      <c r="S52" s="64"/>
      <c r="T52" s="64"/>
      <c r="U52" s="64"/>
      <c r="V52" s="64"/>
      <c r="W52" s="64"/>
      <c r="X52" s="64"/>
      <c r="Y52" s="64"/>
      <c r="Z52" s="64"/>
    </row>
    <row r="53" spans="1:26" ht="18" customHeight="1" x14ac:dyDescent="0.25">
      <c r="A53" s="112" t="s">
        <v>97</v>
      </c>
      <c r="B53" s="108">
        <f>SUM(B48:B52)</f>
        <v>0</v>
      </c>
      <c r="C53" s="108">
        <f>SUM(C48:C52)</f>
        <v>0</v>
      </c>
      <c r="D53" s="109">
        <f t="shared" si="5"/>
        <v>0</v>
      </c>
      <c r="E53" s="114"/>
      <c r="F53" s="53"/>
      <c r="G53" s="53"/>
      <c r="H53" s="53"/>
      <c r="I53" s="53"/>
      <c r="J53" s="53"/>
      <c r="K53" s="53"/>
      <c r="L53" s="53"/>
      <c r="M53" s="53"/>
      <c r="N53" s="54"/>
      <c r="O53" s="54"/>
      <c r="P53" s="53"/>
      <c r="Q53" s="64"/>
      <c r="R53" s="64"/>
      <c r="S53" s="64"/>
      <c r="T53" s="64"/>
      <c r="U53" s="64"/>
      <c r="V53" s="64"/>
      <c r="W53" s="64"/>
      <c r="X53" s="64"/>
      <c r="Y53" s="64"/>
      <c r="Z53" s="64"/>
    </row>
    <row r="54" spans="1:26" x14ac:dyDescent="0.25">
      <c r="A54" s="53"/>
      <c r="B54" s="53"/>
      <c r="C54" s="53"/>
      <c r="D54" s="53"/>
      <c r="E54" s="53"/>
      <c r="F54" s="53"/>
      <c r="G54" s="53"/>
      <c r="H54" s="53"/>
      <c r="I54" s="53"/>
      <c r="J54" s="53"/>
      <c r="K54" s="53"/>
      <c r="L54" s="53"/>
      <c r="M54" s="53"/>
      <c r="N54" s="54"/>
      <c r="O54" s="54"/>
      <c r="P54" s="53"/>
      <c r="Q54" s="64"/>
      <c r="R54" s="64"/>
      <c r="S54" s="64"/>
      <c r="T54" s="64"/>
      <c r="U54" s="64"/>
      <c r="V54" s="64"/>
      <c r="W54" s="64"/>
      <c r="X54" s="64"/>
      <c r="Y54" s="64"/>
      <c r="Z54" s="64"/>
    </row>
    <row r="55" spans="1:26" x14ac:dyDescent="0.25">
      <c r="A55" s="53"/>
      <c r="B55" s="53"/>
      <c r="C55" s="53"/>
      <c r="D55" s="53"/>
      <c r="E55" s="53"/>
      <c r="F55" s="53"/>
      <c r="G55" s="53"/>
      <c r="H55" s="53"/>
      <c r="I55" s="53"/>
      <c r="J55" s="53"/>
      <c r="K55" s="53"/>
      <c r="L55" s="53"/>
      <c r="M55" s="53"/>
      <c r="N55" s="54"/>
      <c r="O55" s="54"/>
      <c r="P55" s="53"/>
      <c r="Q55" s="64"/>
      <c r="R55" s="64"/>
      <c r="S55" s="64"/>
      <c r="T55" s="64"/>
      <c r="U55" s="64"/>
      <c r="V55" s="64"/>
      <c r="W55" s="64"/>
      <c r="X55" s="64"/>
      <c r="Y55" s="64"/>
      <c r="Z55" s="64"/>
    </row>
    <row r="56" spans="1:26" ht="18" customHeight="1" x14ac:dyDescent="0.25">
      <c r="A56" s="122" t="s">
        <v>98</v>
      </c>
      <c r="B56" s="123" t="s">
        <v>87</v>
      </c>
      <c r="C56" s="123" t="s">
        <v>88</v>
      </c>
      <c r="D56" s="124" t="s">
        <v>92</v>
      </c>
      <c r="E56" s="125" t="s">
        <v>195</v>
      </c>
      <c r="F56" s="53"/>
      <c r="G56" s="53"/>
      <c r="H56" s="53"/>
      <c r="I56" s="53"/>
      <c r="J56" s="53"/>
      <c r="K56" s="53"/>
      <c r="L56" s="53"/>
      <c r="M56" s="53"/>
      <c r="N56" s="54"/>
      <c r="O56" s="54"/>
      <c r="P56" s="53"/>
      <c r="Q56" s="64"/>
      <c r="R56" s="64"/>
      <c r="S56" s="64"/>
      <c r="T56" s="64"/>
      <c r="U56" s="64"/>
      <c r="V56" s="64"/>
      <c r="W56" s="64"/>
      <c r="X56" s="64"/>
      <c r="Y56" s="64"/>
      <c r="Z56" s="64"/>
    </row>
    <row r="57" spans="1:26" ht="18" customHeight="1" x14ac:dyDescent="0.25">
      <c r="A57" s="117" t="str">
        <f>Settings!A29</f>
        <v>Credit Card</v>
      </c>
      <c r="B57" s="134">
        <v>0</v>
      </c>
      <c r="C57" s="134">
        <f>SUMIFS(TransactionsLog[Amount],TransactionsLog[Category],$A57,TransactionsLog[Date],"&gt;="&amp;PeriodStart,TransactionsLog[Date],"&lt;="&amp;PeriodEnd)</f>
        <v>0</v>
      </c>
      <c r="D57" s="76">
        <f>B57-C57</f>
        <v>0</v>
      </c>
      <c r="E57" s="140"/>
      <c r="F57" s="53"/>
      <c r="G57" s="53"/>
      <c r="H57" s="53"/>
      <c r="I57" s="53"/>
      <c r="J57" s="53"/>
      <c r="K57" s="53"/>
      <c r="L57" s="53"/>
      <c r="M57" s="53"/>
      <c r="N57" s="54"/>
      <c r="O57" s="54"/>
      <c r="P57" s="53"/>
      <c r="Q57" s="64"/>
      <c r="R57" s="64"/>
      <c r="S57" s="64"/>
      <c r="T57" s="64"/>
      <c r="U57" s="64"/>
      <c r="V57" s="64"/>
      <c r="W57" s="64"/>
      <c r="X57" s="64"/>
      <c r="Y57" s="64"/>
      <c r="Z57" s="64"/>
    </row>
    <row r="58" spans="1:26" ht="18" customHeight="1" x14ac:dyDescent="0.25">
      <c r="A58" s="117" t="str">
        <f>Settings!A30</f>
        <v>Student Loan</v>
      </c>
      <c r="B58" s="134">
        <v>0</v>
      </c>
      <c r="C58" s="134">
        <f>SUMIFS(TransactionsLog[Amount],TransactionsLog[Category],$A58,TransactionsLog[Date],"&gt;="&amp;PeriodStart,TransactionsLog[Date],"&lt;="&amp;PeriodEnd)</f>
        <v>0</v>
      </c>
      <c r="D58" s="76">
        <f>B58-C58</f>
        <v>0</v>
      </c>
      <c r="E58" s="140"/>
      <c r="F58" s="53"/>
      <c r="G58" s="53"/>
      <c r="H58" s="53"/>
      <c r="I58" s="53"/>
      <c r="J58" s="53"/>
      <c r="K58" s="53"/>
      <c r="L58" s="53"/>
      <c r="M58" s="53"/>
      <c r="N58" s="54"/>
      <c r="O58" s="54"/>
      <c r="P58" s="53"/>
      <c r="Q58" s="64"/>
      <c r="R58" s="64"/>
      <c r="S58" s="64"/>
      <c r="T58" s="64"/>
      <c r="U58" s="64"/>
      <c r="V58" s="64"/>
      <c r="W58" s="64"/>
      <c r="X58" s="64"/>
      <c r="Y58" s="64"/>
      <c r="Z58" s="64"/>
    </row>
    <row r="59" spans="1:26" ht="18" customHeight="1" x14ac:dyDescent="0.25">
      <c r="A59" s="117" t="str">
        <f>Settings!A31</f>
        <v>Personal Loan</v>
      </c>
      <c r="B59" s="134">
        <v>0</v>
      </c>
      <c r="C59" s="134">
        <f>SUMIFS(TransactionsLog[Amount],TransactionsLog[Category],$A59,TransactionsLog[Date],"&gt;="&amp;PeriodStart,TransactionsLog[Date],"&lt;="&amp;PeriodEnd)</f>
        <v>0</v>
      </c>
      <c r="D59" s="76">
        <f>B59-C59</f>
        <v>0</v>
      </c>
      <c r="E59" s="140"/>
      <c r="F59" s="53"/>
      <c r="G59" s="53"/>
      <c r="H59" s="53"/>
      <c r="I59" s="53"/>
      <c r="J59" s="53"/>
      <c r="K59" s="53"/>
      <c r="L59" s="53"/>
      <c r="M59" s="53"/>
      <c r="N59" s="54"/>
      <c r="O59" s="54"/>
      <c r="P59" s="53"/>
      <c r="Q59" s="64"/>
      <c r="R59" s="64"/>
      <c r="S59" s="64"/>
      <c r="T59" s="64"/>
      <c r="U59" s="64"/>
      <c r="V59" s="64"/>
      <c r="W59" s="64"/>
      <c r="X59" s="64"/>
      <c r="Y59" s="64"/>
      <c r="Z59" s="64"/>
    </row>
    <row r="60" spans="1:26" ht="18" customHeight="1" x14ac:dyDescent="0.25">
      <c r="A60" s="117" t="str">
        <f>Settings!A32</f>
        <v>Medical Debt</v>
      </c>
      <c r="B60" s="134">
        <v>0</v>
      </c>
      <c r="C60" s="134">
        <f>SUMIFS(TransactionsLog[Amount],TransactionsLog[Category],$A60,TransactionsLog[Date],"&gt;="&amp;PeriodStart,TransactionsLog[Date],"&lt;="&amp;PeriodEnd)</f>
        <v>0</v>
      </c>
      <c r="D60" s="76">
        <f>B60-C60</f>
        <v>0</v>
      </c>
      <c r="E60" s="140"/>
      <c r="F60" s="53"/>
      <c r="G60" s="53"/>
      <c r="H60" s="53"/>
      <c r="I60" s="53"/>
      <c r="J60" s="53"/>
      <c r="K60" s="53"/>
      <c r="L60" s="53"/>
      <c r="M60" s="53"/>
      <c r="N60" s="54"/>
      <c r="O60" s="54"/>
      <c r="P60" s="53"/>
      <c r="Q60" s="64"/>
      <c r="R60" s="64"/>
      <c r="S60" s="64"/>
      <c r="T60" s="64"/>
      <c r="U60" s="64"/>
      <c r="V60" s="64"/>
      <c r="W60" s="64"/>
      <c r="X60" s="64"/>
      <c r="Y60" s="64"/>
      <c r="Z60" s="64"/>
    </row>
    <row r="61" spans="1:26" ht="18" customHeight="1" x14ac:dyDescent="0.25">
      <c r="A61" s="118" t="s">
        <v>99</v>
      </c>
      <c r="B61" s="115">
        <f>SUM(B57:B60)</f>
        <v>0</v>
      </c>
      <c r="C61" s="115">
        <f>SUM(C57:C60)</f>
        <v>0</v>
      </c>
      <c r="D61" s="116">
        <f>B61-C61</f>
        <v>0</v>
      </c>
      <c r="E61" s="119"/>
      <c r="F61" s="53"/>
      <c r="G61" s="53"/>
      <c r="H61" s="53"/>
      <c r="I61" s="53"/>
      <c r="J61" s="53"/>
      <c r="K61" s="53"/>
      <c r="L61" s="53"/>
      <c r="M61" s="53"/>
      <c r="N61" s="54"/>
      <c r="O61" s="54"/>
      <c r="P61" s="53"/>
      <c r="Q61" s="64"/>
      <c r="R61" s="64"/>
      <c r="S61" s="64"/>
      <c r="T61" s="64"/>
      <c r="U61" s="64"/>
      <c r="V61" s="64"/>
      <c r="W61" s="64"/>
      <c r="X61" s="64"/>
      <c r="Y61" s="64"/>
      <c r="Z61" s="64"/>
    </row>
    <row r="62" spans="1:26" x14ac:dyDescent="0.25">
      <c r="A62" s="53"/>
      <c r="B62" s="53"/>
      <c r="C62" s="53"/>
      <c r="D62" s="53"/>
      <c r="E62" s="53"/>
      <c r="F62" s="53"/>
      <c r="G62" s="53"/>
      <c r="H62" s="53"/>
      <c r="I62" s="53"/>
      <c r="J62" s="53"/>
      <c r="K62" s="53"/>
      <c r="L62" s="53"/>
      <c r="M62" s="53"/>
      <c r="N62" s="54"/>
      <c r="O62" s="54"/>
      <c r="P62" s="53"/>
      <c r="Q62" s="64"/>
      <c r="R62" s="64"/>
      <c r="S62" s="64"/>
      <c r="T62" s="64"/>
      <c r="U62" s="64"/>
      <c r="V62" s="64"/>
      <c r="W62" s="64"/>
      <c r="X62" s="64"/>
      <c r="Y62" s="64"/>
      <c r="Z62" s="64"/>
    </row>
    <row r="63" spans="1:26" x14ac:dyDescent="0.25">
      <c r="A63" s="64"/>
      <c r="B63" s="64"/>
      <c r="C63" s="64"/>
      <c r="D63" s="64"/>
      <c r="E63" s="64"/>
      <c r="F63" s="64"/>
      <c r="G63" s="64"/>
      <c r="H63" s="64"/>
      <c r="I63" s="64"/>
      <c r="J63" s="64"/>
      <c r="K63" s="64"/>
      <c r="L63" s="64"/>
      <c r="M63" s="64"/>
      <c r="N63" s="65"/>
      <c r="O63" s="65"/>
      <c r="P63" s="64"/>
      <c r="Q63" s="64"/>
      <c r="R63" s="64"/>
      <c r="S63" s="64"/>
      <c r="T63" s="64"/>
      <c r="U63" s="64"/>
      <c r="V63" s="64"/>
      <c r="W63" s="64"/>
      <c r="X63" s="64"/>
      <c r="Y63" s="64"/>
      <c r="Z63" s="64"/>
    </row>
    <row r="64" spans="1:26" x14ac:dyDescent="0.25">
      <c r="A64" s="64"/>
      <c r="B64" s="64"/>
      <c r="C64" s="64"/>
      <c r="D64" s="64"/>
      <c r="E64" s="64"/>
      <c r="F64" s="64"/>
      <c r="G64" s="64"/>
      <c r="H64" s="64"/>
      <c r="I64" s="64"/>
      <c r="J64" s="64"/>
      <c r="K64" s="64"/>
      <c r="L64" s="64"/>
      <c r="M64" s="64"/>
      <c r="N64" s="65"/>
      <c r="O64" s="65"/>
      <c r="P64" s="64"/>
      <c r="Q64" s="64"/>
      <c r="R64" s="64"/>
      <c r="S64" s="64"/>
      <c r="T64" s="64"/>
      <c r="U64" s="64"/>
      <c r="V64" s="64"/>
      <c r="W64" s="64"/>
      <c r="X64" s="64"/>
      <c r="Y64" s="64"/>
      <c r="Z64" s="64"/>
    </row>
    <row r="65" spans="1:26" ht="16.5" x14ac:dyDescent="0.25">
      <c r="A65" s="14" t="s">
        <v>123</v>
      </c>
      <c r="B65" s="73"/>
      <c r="C65" s="73"/>
      <c r="D65" s="74"/>
      <c r="E65" s="75"/>
      <c r="F65" s="64"/>
      <c r="G65" s="64"/>
      <c r="H65" s="64"/>
      <c r="I65" s="64"/>
      <c r="J65" s="64"/>
      <c r="K65" s="64"/>
      <c r="L65" s="64"/>
      <c r="M65" s="64"/>
      <c r="N65" s="65"/>
      <c r="O65" s="65"/>
      <c r="P65" s="64"/>
      <c r="Q65" s="64"/>
      <c r="R65" s="64"/>
      <c r="S65" s="64"/>
      <c r="T65" s="64"/>
      <c r="U65" s="64"/>
      <c r="V65" s="64"/>
      <c r="W65" s="64"/>
      <c r="X65" s="64"/>
      <c r="Y65" s="64"/>
      <c r="Z65" s="64"/>
    </row>
    <row r="66" spans="1:26" x14ac:dyDescent="0.25">
      <c r="A66" s="56" t="s">
        <v>124</v>
      </c>
      <c r="B66" s="155">
        <v>46235</v>
      </c>
      <c r="C66" s="53"/>
      <c r="D66" s="58"/>
      <c r="E66" s="64"/>
      <c r="F66" s="64"/>
      <c r="G66" s="64"/>
      <c r="H66" s="64"/>
      <c r="I66" s="64"/>
      <c r="J66" s="64"/>
      <c r="K66" s="64"/>
      <c r="L66" s="64"/>
      <c r="M66" s="64"/>
      <c r="N66" s="65"/>
      <c r="O66" s="65"/>
      <c r="P66" s="64"/>
      <c r="Q66" s="64"/>
      <c r="R66" s="64"/>
      <c r="S66" s="64"/>
      <c r="T66" s="64"/>
      <c r="U66" s="64"/>
      <c r="V66" s="64"/>
      <c r="W66" s="64"/>
      <c r="X66" s="64"/>
      <c r="Y66" s="64"/>
      <c r="Z66" s="64"/>
    </row>
    <row r="67" spans="1:26" x14ac:dyDescent="0.25">
      <c r="A67" s="56" t="s">
        <v>125</v>
      </c>
      <c r="B67" s="57">
        <f>AVERAGE(B77:B82)</f>
        <v>0</v>
      </c>
      <c r="C67" s="53"/>
      <c r="D67" s="58"/>
      <c r="E67" s="64"/>
      <c r="F67" s="64"/>
      <c r="G67" s="64"/>
      <c r="H67" s="64"/>
      <c r="I67" s="64"/>
      <c r="J67" s="64"/>
      <c r="K67" s="64"/>
      <c r="L67" s="64"/>
      <c r="M67" s="64"/>
      <c r="N67" s="65"/>
      <c r="O67" s="65"/>
      <c r="P67" s="64"/>
      <c r="Q67" s="64"/>
      <c r="R67" s="64"/>
      <c r="S67" s="64"/>
      <c r="T67" s="64"/>
      <c r="U67" s="64"/>
      <c r="V67" s="64"/>
      <c r="W67" s="64"/>
      <c r="X67" s="64"/>
      <c r="Y67" s="64"/>
      <c r="Z67" s="64"/>
    </row>
    <row r="68" spans="1:26" x14ac:dyDescent="0.25">
      <c r="A68" s="60" t="s">
        <v>126</v>
      </c>
      <c r="B68" s="63">
        <f>MIN(B77:B82)</f>
        <v>0</v>
      </c>
      <c r="C68" s="66"/>
      <c r="D68" s="61"/>
      <c r="E68" s="64"/>
      <c r="F68" s="64"/>
      <c r="G68" s="64"/>
      <c r="H68" s="64"/>
      <c r="I68" s="64"/>
      <c r="J68" s="64"/>
      <c r="K68" s="64"/>
      <c r="L68" s="64"/>
      <c r="M68" s="64"/>
      <c r="N68" s="65"/>
      <c r="O68" s="65"/>
      <c r="P68" s="64"/>
      <c r="Q68" s="64"/>
      <c r="R68" s="64"/>
      <c r="S68" s="64"/>
      <c r="T68" s="64"/>
      <c r="U68" s="64"/>
      <c r="V68" s="64"/>
      <c r="W68" s="64"/>
      <c r="X68" s="64"/>
      <c r="Y68" s="64"/>
      <c r="Z68" s="64"/>
    </row>
    <row r="69" spans="1:26" x14ac:dyDescent="0.25">
      <c r="A69" s="59" t="s">
        <v>127</v>
      </c>
      <c r="B69" s="53"/>
      <c r="C69" s="53"/>
      <c r="D69" s="53"/>
      <c r="E69" s="64"/>
      <c r="F69" s="64"/>
      <c r="G69" s="64"/>
      <c r="H69" s="64"/>
      <c r="I69" s="64"/>
      <c r="J69" s="64"/>
      <c r="K69" s="64"/>
      <c r="L69" s="64"/>
      <c r="M69" s="64"/>
      <c r="N69" s="65"/>
      <c r="O69" s="65"/>
      <c r="P69" s="64"/>
      <c r="Q69" s="64"/>
      <c r="R69" s="64"/>
      <c r="S69" s="64"/>
      <c r="T69" s="64"/>
      <c r="U69" s="64"/>
      <c r="V69" s="64"/>
      <c r="W69" s="64"/>
      <c r="X69" s="64"/>
      <c r="Y69" s="64"/>
      <c r="Z69" s="64"/>
    </row>
    <row r="70" spans="1:26" x14ac:dyDescent="0.25">
      <c r="A70" s="67" t="s">
        <v>50</v>
      </c>
      <c r="B70" s="68" t="s">
        <v>4</v>
      </c>
      <c r="C70" s="69" t="s">
        <v>128</v>
      </c>
      <c r="D70" s="70" t="s">
        <v>129</v>
      </c>
      <c r="E70" s="64"/>
      <c r="F70" s="64"/>
      <c r="G70" s="64"/>
      <c r="H70" s="64"/>
      <c r="I70" s="64"/>
      <c r="J70" s="64"/>
      <c r="K70" s="64"/>
      <c r="L70" s="64"/>
      <c r="M70" s="64"/>
      <c r="N70" s="65"/>
      <c r="O70" s="65"/>
      <c r="P70" s="64"/>
      <c r="Q70" s="64"/>
      <c r="R70" s="64"/>
      <c r="S70" s="64"/>
      <c r="T70" s="64"/>
      <c r="U70" s="64"/>
      <c r="V70" s="64"/>
      <c r="W70" s="64"/>
      <c r="X70" s="64"/>
      <c r="Y70" s="64"/>
      <c r="Z70" s="64"/>
    </row>
    <row r="71" spans="1:26" x14ac:dyDescent="0.25">
      <c r="A71" s="56" t="str" cm="1">
        <f t="array" ref="A71">INDEX(MonthList,MONTH(EOMONTH($B$66,-D71)))&amp;" "&amp;YEAR(EOMONTH($B$66,-D71))</f>
        <v>September 2025</v>
      </c>
      <c r="B71" s="57">
        <f>SUMIFS(TransactionsLog[Amount],TransactionsLog[Type],"Income",TransactionsLog[Date],"&gt;="&amp;(EOMONTH($B$66,-D71-1)+1),TransactionsLog[Date],"&lt;="&amp;EOMONTH($B$66,-D71))</f>
        <v>0</v>
      </c>
      <c r="C71" s="58" t="str">
        <f>IF(B71&lt;$B$68,"Below Baseline","On Track")</f>
        <v>On Track</v>
      </c>
      <c r="D71" s="71">
        <v>11</v>
      </c>
      <c r="E71" s="64"/>
      <c r="F71" s="64"/>
      <c r="G71" s="64"/>
      <c r="H71" s="64"/>
      <c r="I71" s="64"/>
      <c r="J71" s="64"/>
      <c r="K71" s="64"/>
      <c r="L71" s="64"/>
      <c r="M71" s="64"/>
      <c r="N71" s="65"/>
      <c r="O71" s="65"/>
      <c r="P71" s="64"/>
      <c r="Q71" s="64"/>
      <c r="R71" s="64"/>
      <c r="S71" s="64"/>
      <c r="T71" s="64"/>
      <c r="U71" s="64"/>
      <c r="V71" s="64"/>
      <c r="W71" s="64"/>
      <c r="X71" s="64"/>
      <c r="Y71" s="64"/>
      <c r="Z71" s="64"/>
    </row>
    <row r="72" spans="1:26" x14ac:dyDescent="0.25">
      <c r="A72" s="56" t="str" cm="1">
        <f t="array" ref="A72">INDEX(MonthList,MONTH(EOMONTH($B$66,-D72)))&amp;" "&amp;YEAR(EOMONTH($B$66,-D72))</f>
        <v>October 2025</v>
      </c>
      <c r="B72" s="57">
        <f>SUMIFS(TransactionsLog[Amount],TransactionsLog[Type],"Income",TransactionsLog[Date],"&gt;="&amp;(EOMONTH($B$66,-D72-1)+1),TransactionsLog[Date],"&lt;="&amp;EOMONTH($B$66,-D72))</f>
        <v>0</v>
      </c>
      <c r="C72" s="58" t="str">
        <f t="shared" ref="C72:C82" si="6">IF(B72&lt;$B$68,"Below Baseline","On Track")</f>
        <v>On Track</v>
      </c>
      <c r="D72" s="71">
        <v>10</v>
      </c>
      <c r="E72" s="64"/>
      <c r="F72" s="64"/>
      <c r="G72" s="64"/>
      <c r="H72" s="64"/>
      <c r="I72" s="64"/>
      <c r="J72" s="64"/>
      <c r="K72" s="64"/>
      <c r="L72" s="64"/>
      <c r="M72" s="64"/>
      <c r="N72" s="65"/>
      <c r="O72" s="65"/>
      <c r="P72" s="64"/>
      <c r="Q72" s="64"/>
      <c r="R72" s="64"/>
      <c r="S72" s="64"/>
      <c r="T72" s="64"/>
      <c r="U72" s="64"/>
      <c r="V72" s="64"/>
      <c r="W72" s="64"/>
      <c r="X72" s="64"/>
      <c r="Y72" s="64"/>
      <c r="Z72" s="64"/>
    </row>
    <row r="73" spans="1:26" x14ac:dyDescent="0.25">
      <c r="A73" s="56" t="str" cm="1">
        <f t="array" ref="A73">INDEX(MonthList,MONTH(EOMONTH($B$66,-D73)))&amp;" "&amp;YEAR(EOMONTH($B$66,-D73))</f>
        <v>November 2025</v>
      </c>
      <c r="B73" s="57">
        <f>SUMIFS(TransactionsLog[Amount],TransactionsLog[Type],"Income",TransactionsLog[Date],"&gt;="&amp;(EOMONTH($B$66,-D73-1)+1),TransactionsLog[Date],"&lt;="&amp;EOMONTH($B$66,-D73))</f>
        <v>0</v>
      </c>
      <c r="C73" s="58" t="str">
        <f t="shared" si="6"/>
        <v>On Track</v>
      </c>
      <c r="D73" s="71">
        <v>9</v>
      </c>
      <c r="E73" s="64"/>
      <c r="F73" s="64"/>
      <c r="G73" s="64"/>
      <c r="H73" s="64"/>
      <c r="I73" s="64"/>
      <c r="J73" s="64"/>
      <c r="K73" s="64"/>
      <c r="L73" s="64"/>
      <c r="M73" s="64"/>
      <c r="N73" s="65"/>
      <c r="O73" s="65"/>
      <c r="P73" s="64"/>
      <c r="Q73" s="64"/>
      <c r="R73" s="64"/>
      <c r="S73" s="64"/>
      <c r="T73" s="64"/>
      <c r="U73" s="64"/>
      <c r="V73" s="64"/>
      <c r="W73" s="64"/>
      <c r="X73" s="64"/>
      <c r="Y73" s="64"/>
      <c r="Z73" s="64"/>
    </row>
    <row r="74" spans="1:26" x14ac:dyDescent="0.25">
      <c r="A74" s="56" t="str" cm="1">
        <f t="array" ref="A74">INDEX(MonthList,MONTH(EOMONTH($B$66,-D74)))&amp;" "&amp;YEAR(EOMONTH($B$66,-D74))</f>
        <v>December 2025</v>
      </c>
      <c r="B74" s="57">
        <f>SUMIFS(TransactionsLog[Amount],TransactionsLog[Type],"Income",TransactionsLog[Date],"&gt;="&amp;(EOMONTH($B$66,-D74-1)+1),TransactionsLog[Date],"&lt;="&amp;EOMONTH($B$66,-D74))</f>
        <v>0</v>
      </c>
      <c r="C74" s="58" t="str">
        <f t="shared" si="6"/>
        <v>On Track</v>
      </c>
      <c r="D74" s="71">
        <v>8</v>
      </c>
      <c r="E74" s="64"/>
      <c r="F74" s="64"/>
      <c r="G74" s="64"/>
      <c r="H74" s="64"/>
      <c r="I74" s="64"/>
      <c r="J74" s="64"/>
      <c r="K74" s="64"/>
      <c r="L74" s="64"/>
      <c r="M74" s="64"/>
      <c r="N74" s="65"/>
      <c r="O74" s="65"/>
      <c r="P74" s="64"/>
      <c r="Q74" s="64"/>
      <c r="R74" s="64"/>
      <c r="S74" s="64"/>
      <c r="T74" s="64"/>
      <c r="U74" s="64"/>
      <c r="V74" s="64"/>
      <c r="W74" s="64"/>
      <c r="X74" s="64"/>
      <c r="Y74" s="64"/>
      <c r="Z74" s="64"/>
    </row>
    <row r="75" spans="1:26" x14ac:dyDescent="0.25">
      <c r="A75" s="56" t="str" cm="1">
        <f t="array" ref="A75">INDEX(MonthList,MONTH(EOMONTH($B$66,-D75)))&amp;" "&amp;YEAR(EOMONTH($B$66,-D75))</f>
        <v>January 2026</v>
      </c>
      <c r="B75" s="57">
        <f>SUMIFS(TransactionsLog[Amount],TransactionsLog[Type],"Income",TransactionsLog[Date],"&gt;="&amp;(EOMONTH($B$66,-D75-1)+1),TransactionsLog[Date],"&lt;="&amp;EOMONTH($B$66,-D75))</f>
        <v>0</v>
      </c>
      <c r="C75" s="58" t="str">
        <f t="shared" si="6"/>
        <v>On Track</v>
      </c>
      <c r="D75" s="71">
        <v>7</v>
      </c>
      <c r="E75" s="64"/>
      <c r="F75" s="64"/>
      <c r="G75" s="64"/>
      <c r="H75" s="64"/>
      <c r="I75" s="64"/>
      <c r="J75" s="64"/>
      <c r="K75" s="64"/>
      <c r="L75" s="64"/>
      <c r="M75" s="64"/>
      <c r="N75" s="65"/>
      <c r="O75" s="65"/>
      <c r="P75" s="64"/>
      <c r="Q75" s="64"/>
      <c r="R75" s="64"/>
      <c r="S75" s="64"/>
      <c r="T75" s="64"/>
      <c r="U75" s="64"/>
      <c r="V75" s="64"/>
      <c r="W75" s="64"/>
      <c r="X75" s="64"/>
      <c r="Y75" s="64"/>
      <c r="Z75" s="64"/>
    </row>
    <row r="76" spans="1:26" x14ac:dyDescent="0.25">
      <c r="A76" s="56" t="str" cm="1">
        <f t="array" ref="A76">INDEX(MonthList,MONTH(EOMONTH($B$66,-D76)))&amp;" "&amp;YEAR(EOMONTH($B$66,-D76))</f>
        <v>February 2026</v>
      </c>
      <c r="B76" s="57">
        <f>SUMIFS(TransactionsLog[Amount],TransactionsLog[Type],"Income",TransactionsLog[Date],"&gt;="&amp;(EOMONTH($B$66,-D76-1)+1),TransactionsLog[Date],"&lt;="&amp;EOMONTH($B$66,-D76))</f>
        <v>0</v>
      </c>
      <c r="C76" s="58" t="str">
        <f t="shared" si="6"/>
        <v>On Track</v>
      </c>
      <c r="D76" s="71">
        <v>6</v>
      </c>
      <c r="E76" s="64"/>
      <c r="F76" s="64"/>
      <c r="G76" s="64"/>
      <c r="H76" s="64"/>
      <c r="I76" s="64"/>
      <c r="J76" s="64"/>
      <c r="K76" s="64"/>
      <c r="L76" s="64"/>
      <c r="M76" s="64"/>
      <c r="N76" s="65"/>
      <c r="O76" s="65"/>
      <c r="P76" s="64"/>
      <c r="Q76" s="64"/>
      <c r="R76" s="64"/>
      <c r="S76" s="64"/>
      <c r="T76" s="64"/>
      <c r="U76" s="64"/>
      <c r="V76" s="64"/>
      <c r="W76" s="64"/>
      <c r="X76" s="64"/>
      <c r="Y76" s="64"/>
      <c r="Z76" s="64"/>
    </row>
    <row r="77" spans="1:26" x14ac:dyDescent="0.25">
      <c r="A77" s="56" t="str" cm="1">
        <f t="array" ref="A77">INDEX(MonthList,MONTH(EOMONTH($B$66,-D77)))&amp;" "&amp;YEAR(EOMONTH($B$66,-D77))</f>
        <v>March 2026</v>
      </c>
      <c r="B77" s="57">
        <f>SUMIFS(TransactionsLog[Amount],TransactionsLog[Type],"Income",TransactionsLog[Date],"&gt;="&amp;(EOMONTH($B$66,-D77-1)+1),TransactionsLog[Date],"&lt;="&amp;EOMONTH($B$66,-D77))</f>
        <v>0</v>
      </c>
      <c r="C77" s="58" t="str">
        <f t="shared" si="6"/>
        <v>On Track</v>
      </c>
      <c r="D77" s="71">
        <v>5</v>
      </c>
      <c r="E77" s="64"/>
      <c r="F77" s="64"/>
      <c r="G77" s="64"/>
      <c r="H77" s="64"/>
      <c r="I77" s="64"/>
      <c r="J77" s="64"/>
      <c r="K77" s="64"/>
      <c r="L77" s="64"/>
      <c r="M77" s="64"/>
      <c r="N77" s="65"/>
      <c r="O77" s="65"/>
      <c r="P77" s="64"/>
      <c r="Q77" s="64"/>
      <c r="R77" s="64"/>
      <c r="S77" s="64"/>
      <c r="T77" s="64"/>
      <c r="U77" s="64"/>
      <c r="V77" s="64"/>
      <c r="W77" s="64"/>
      <c r="X77" s="64"/>
      <c r="Y77" s="64"/>
      <c r="Z77" s="64"/>
    </row>
    <row r="78" spans="1:26" x14ac:dyDescent="0.25">
      <c r="A78" s="56" t="str" cm="1">
        <f t="array" ref="A78">INDEX(MonthList,MONTH(EOMONTH($B$66,-D78)))&amp;" "&amp;YEAR(EOMONTH($B$66,-D78))</f>
        <v>April 2026</v>
      </c>
      <c r="B78" s="57">
        <f>SUMIFS(TransactionsLog[Amount],TransactionsLog[Type],"Income",TransactionsLog[Date],"&gt;="&amp;(EOMONTH($B$66,-D78-1)+1),TransactionsLog[Date],"&lt;="&amp;EOMONTH($B$66,-D78))</f>
        <v>0</v>
      </c>
      <c r="C78" s="58" t="str">
        <f t="shared" si="6"/>
        <v>On Track</v>
      </c>
      <c r="D78" s="71">
        <v>4</v>
      </c>
      <c r="E78" s="64"/>
      <c r="F78" s="64"/>
      <c r="G78" s="64"/>
      <c r="H78" s="64"/>
      <c r="I78" s="64"/>
      <c r="J78" s="64"/>
      <c r="K78" s="64"/>
      <c r="L78" s="64"/>
      <c r="M78" s="64"/>
      <c r="N78" s="65"/>
      <c r="O78" s="65"/>
      <c r="P78" s="64"/>
      <c r="Q78" s="64"/>
      <c r="R78" s="64"/>
      <c r="S78" s="64"/>
      <c r="T78" s="64"/>
      <c r="U78" s="64"/>
      <c r="V78" s="64"/>
      <c r="W78" s="64"/>
      <c r="X78" s="64"/>
      <c r="Y78" s="64"/>
      <c r="Z78" s="64"/>
    </row>
    <row r="79" spans="1:26" x14ac:dyDescent="0.25">
      <c r="A79" s="56" t="str" cm="1">
        <f t="array" ref="A79">INDEX(MonthList,MONTH(EOMONTH($B$66,-D79)))&amp;" "&amp;YEAR(EOMONTH($B$66,-D79))</f>
        <v>May 2026</v>
      </c>
      <c r="B79" s="57">
        <f>SUMIFS(TransactionsLog[Amount],TransactionsLog[Type],"Income",TransactionsLog[Date],"&gt;="&amp;(EOMONTH($B$66,-D79-1)+1),TransactionsLog[Date],"&lt;="&amp;EOMONTH($B$66,-D79))</f>
        <v>0</v>
      </c>
      <c r="C79" s="58" t="str">
        <f t="shared" si="6"/>
        <v>On Track</v>
      </c>
      <c r="D79" s="71">
        <v>3</v>
      </c>
      <c r="E79" s="64"/>
      <c r="F79" s="64"/>
      <c r="G79" s="64"/>
      <c r="H79" s="64"/>
      <c r="I79" s="64"/>
      <c r="J79" s="64"/>
      <c r="K79" s="64"/>
      <c r="L79" s="64"/>
      <c r="M79" s="64"/>
      <c r="N79" s="65"/>
      <c r="O79" s="65"/>
      <c r="P79" s="64"/>
      <c r="Q79" s="64"/>
      <c r="R79" s="64"/>
      <c r="S79" s="64"/>
      <c r="T79" s="64"/>
      <c r="U79" s="64"/>
      <c r="V79" s="64"/>
      <c r="W79" s="64"/>
      <c r="X79" s="64"/>
      <c r="Y79" s="64"/>
      <c r="Z79" s="64"/>
    </row>
    <row r="80" spans="1:26" x14ac:dyDescent="0.25">
      <c r="A80" s="56" t="str" cm="1">
        <f t="array" ref="A80">INDEX(MonthList,MONTH(EOMONTH($B$66,-D80)))&amp;" "&amp;YEAR(EOMONTH($B$66,-D80))</f>
        <v>June 2026</v>
      </c>
      <c r="B80" s="57">
        <f>SUMIFS(TransactionsLog[Amount],TransactionsLog[Type],"Income",TransactionsLog[Date],"&gt;="&amp;(EOMONTH($B$66,-D80-1)+1),TransactionsLog[Date],"&lt;="&amp;EOMONTH($B$66,-D80))</f>
        <v>0</v>
      </c>
      <c r="C80" s="58" t="str">
        <f t="shared" si="6"/>
        <v>On Track</v>
      </c>
      <c r="D80" s="71">
        <v>2</v>
      </c>
      <c r="E80" s="64"/>
      <c r="F80" s="64"/>
      <c r="G80" s="64"/>
      <c r="H80" s="64"/>
      <c r="I80" s="64"/>
      <c r="J80" s="64"/>
      <c r="K80" s="64"/>
      <c r="L80" s="64"/>
      <c r="M80" s="64"/>
      <c r="N80" s="65"/>
      <c r="O80" s="65"/>
      <c r="P80" s="64"/>
      <c r="Q80" s="64"/>
      <c r="R80" s="64"/>
      <c r="S80" s="64"/>
      <c r="T80" s="64"/>
      <c r="U80" s="64"/>
      <c r="V80" s="64"/>
      <c r="W80" s="64"/>
      <c r="X80" s="64"/>
      <c r="Y80" s="64"/>
      <c r="Z80" s="64"/>
    </row>
    <row r="81" spans="1:26" x14ac:dyDescent="0.25">
      <c r="A81" s="56" t="str" cm="1">
        <f t="array" ref="A81">INDEX(MonthList,MONTH(EOMONTH($B$66,-D81)))&amp;" "&amp;YEAR(EOMONTH($B$66,-D81))</f>
        <v>July 2026</v>
      </c>
      <c r="B81" s="57">
        <f>SUMIFS(TransactionsLog[Amount],TransactionsLog[Type],"Income",TransactionsLog[Date],"&gt;="&amp;(EOMONTH($B$66,-D81-1)+1),TransactionsLog[Date],"&lt;="&amp;EOMONTH($B$66,-D81))</f>
        <v>0</v>
      </c>
      <c r="C81" s="58" t="str">
        <f t="shared" si="6"/>
        <v>On Track</v>
      </c>
      <c r="D81" s="71">
        <v>1</v>
      </c>
      <c r="E81" s="64"/>
      <c r="F81" s="64"/>
      <c r="G81" s="64"/>
      <c r="H81" s="64"/>
      <c r="I81" s="64"/>
      <c r="J81" s="64"/>
      <c r="K81" s="64"/>
      <c r="L81" s="64"/>
      <c r="M81" s="64"/>
      <c r="N81" s="65"/>
      <c r="O81" s="65"/>
      <c r="P81" s="64"/>
      <c r="Q81" s="64"/>
      <c r="R81" s="64"/>
      <c r="S81" s="64"/>
      <c r="T81" s="64"/>
      <c r="U81" s="64"/>
      <c r="V81" s="64"/>
      <c r="W81" s="64"/>
      <c r="X81" s="64"/>
      <c r="Y81" s="64"/>
      <c r="Z81" s="64"/>
    </row>
    <row r="82" spans="1:26" x14ac:dyDescent="0.25">
      <c r="A82" s="60" t="str" cm="1">
        <f t="array" ref="A82">INDEX(MonthList,MONTH(EOMONTH($B$66,-D82)))&amp;" "&amp;YEAR(EOMONTH($B$66,-D82))</f>
        <v>August 2026</v>
      </c>
      <c r="B82" s="72">
        <f>SUMIFS(TransactionsLog[Amount],TransactionsLog[Type],"Income",TransactionsLog[Date],"&gt;="&amp;(EOMONTH($B$66,-D82-1)+1),TransactionsLog[Date],"&lt;="&amp;EOMONTH($B$66,-D82))</f>
        <v>0</v>
      </c>
      <c r="C82" s="61" t="str">
        <f t="shared" si="6"/>
        <v>On Track</v>
      </c>
      <c r="D82" s="71">
        <v>0</v>
      </c>
      <c r="E82" s="64"/>
      <c r="F82" s="64"/>
      <c r="G82" s="64"/>
      <c r="H82" s="64"/>
      <c r="I82" s="64"/>
      <c r="J82" s="64"/>
      <c r="K82" s="64"/>
      <c r="L82" s="64"/>
      <c r="M82" s="64"/>
      <c r="N82" s="65"/>
      <c r="O82" s="65"/>
      <c r="P82" s="64"/>
      <c r="Q82" s="64"/>
      <c r="R82" s="64"/>
      <c r="S82" s="64"/>
      <c r="T82" s="64"/>
      <c r="U82" s="64"/>
      <c r="V82" s="64"/>
      <c r="W82" s="64"/>
      <c r="X82" s="64"/>
      <c r="Y82" s="64"/>
      <c r="Z82" s="64"/>
    </row>
    <row r="83" spans="1:26" x14ac:dyDescent="0.25">
      <c r="A83" s="64"/>
      <c r="B83" s="64"/>
      <c r="C83" s="64"/>
      <c r="D83" s="64"/>
      <c r="E83" s="64"/>
      <c r="F83" s="64"/>
      <c r="G83" s="64"/>
      <c r="H83" s="64"/>
      <c r="I83" s="64"/>
      <c r="J83" s="64"/>
      <c r="K83" s="64"/>
      <c r="L83" s="64"/>
      <c r="M83" s="64"/>
      <c r="N83" s="65"/>
      <c r="O83" s="65"/>
      <c r="P83" s="64"/>
      <c r="Q83" s="64"/>
      <c r="R83" s="64"/>
      <c r="S83" s="64"/>
      <c r="T83" s="64"/>
      <c r="U83" s="64"/>
      <c r="V83" s="64"/>
      <c r="W83" s="64"/>
      <c r="X83" s="64"/>
      <c r="Y83" s="64"/>
      <c r="Z83" s="64"/>
    </row>
    <row r="84" spans="1:26" x14ac:dyDescent="0.25">
      <c r="A84" s="64"/>
      <c r="B84" s="64"/>
      <c r="C84" s="64"/>
      <c r="D84" s="64"/>
      <c r="E84" s="64"/>
      <c r="F84" s="64"/>
      <c r="G84" s="64"/>
      <c r="H84" s="64"/>
      <c r="I84" s="64"/>
      <c r="J84" s="64"/>
      <c r="K84" s="64"/>
      <c r="L84" s="64"/>
      <c r="M84" s="64"/>
      <c r="N84" s="65"/>
      <c r="O84" s="65"/>
      <c r="P84" s="64"/>
      <c r="Q84" s="64"/>
      <c r="R84" s="64"/>
      <c r="S84" s="64"/>
      <c r="T84" s="64"/>
      <c r="U84" s="64"/>
      <c r="V84" s="64"/>
      <c r="W84" s="64"/>
      <c r="X84" s="64"/>
      <c r="Y84" s="64"/>
      <c r="Z84" s="64"/>
    </row>
    <row r="85" spans="1:26" x14ac:dyDescent="0.25">
      <c r="A85" s="64"/>
      <c r="B85" s="64"/>
      <c r="C85" s="64"/>
      <c r="D85" s="64"/>
      <c r="E85" s="64"/>
      <c r="F85" s="64"/>
      <c r="G85" s="64"/>
      <c r="H85" s="64"/>
      <c r="I85" s="64"/>
      <c r="J85" s="64"/>
      <c r="K85" s="64"/>
      <c r="L85" s="64"/>
      <c r="M85" s="64"/>
      <c r="N85" s="65"/>
      <c r="O85" s="65"/>
      <c r="P85" s="64"/>
      <c r="Q85" s="64"/>
      <c r="R85" s="64"/>
      <c r="S85" s="64"/>
      <c r="T85" s="64"/>
      <c r="U85" s="64"/>
      <c r="V85" s="64"/>
      <c r="W85" s="64"/>
      <c r="X85" s="64"/>
      <c r="Y85" s="64"/>
      <c r="Z85" s="64"/>
    </row>
    <row r="86" spans="1:26" x14ac:dyDescent="0.25">
      <c r="A86" s="64"/>
      <c r="B86" s="64"/>
      <c r="C86" s="64"/>
      <c r="D86" s="64"/>
      <c r="E86" s="64"/>
      <c r="F86" s="64"/>
      <c r="G86" s="64"/>
      <c r="H86" s="64"/>
      <c r="I86" s="64"/>
      <c r="J86" s="64"/>
      <c r="K86" s="64"/>
      <c r="L86" s="64"/>
      <c r="M86" s="64"/>
      <c r="N86" s="65"/>
      <c r="O86" s="65"/>
      <c r="P86" s="64"/>
      <c r="Q86" s="64"/>
      <c r="R86" s="64"/>
      <c r="S86" s="64"/>
      <c r="T86" s="64"/>
      <c r="U86" s="64"/>
      <c r="V86" s="64"/>
      <c r="W86" s="64"/>
      <c r="X86" s="64"/>
      <c r="Y86" s="64"/>
      <c r="Z86" s="64"/>
    </row>
    <row r="87" spans="1:26" x14ac:dyDescent="0.25">
      <c r="A87" s="64"/>
      <c r="B87" s="64"/>
      <c r="C87" s="64"/>
      <c r="D87" s="64"/>
      <c r="E87" s="64"/>
      <c r="F87" s="64"/>
      <c r="G87" s="64"/>
      <c r="H87" s="64"/>
      <c r="I87" s="64"/>
      <c r="J87" s="64"/>
      <c r="K87" s="64"/>
      <c r="L87" s="64"/>
      <c r="M87" s="64"/>
      <c r="N87" s="65"/>
      <c r="O87" s="65"/>
      <c r="P87" s="64"/>
      <c r="Q87" s="64"/>
      <c r="R87" s="64"/>
      <c r="S87" s="64"/>
      <c r="T87" s="64"/>
      <c r="U87" s="64"/>
      <c r="V87" s="64"/>
      <c r="W87" s="64"/>
      <c r="X87" s="64"/>
      <c r="Y87" s="64"/>
      <c r="Z87" s="64"/>
    </row>
    <row r="88" spans="1:26" x14ac:dyDescent="0.25">
      <c r="A88" s="64"/>
      <c r="B88" s="64"/>
      <c r="C88" s="64"/>
      <c r="D88" s="64"/>
      <c r="E88" s="64"/>
      <c r="F88" s="64"/>
      <c r="G88" s="64"/>
      <c r="H88" s="64"/>
      <c r="I88" s="64"/>
      <c r="J88" s="64"/>
      <c r="K88" s="64"/>
      <c r="L88" s="64"/>
      <c r="M88" s="64"/>
      <c r="N88" s="65"/>
      <c r="O88" s="65"/>
      <c r="P88" s="64"/>
      <c r="Q88" s="64"/>
      <c r="R88" s="64"/>
      <c r="S88" s="64"/>
      <c r="T88" s="64"/>
      <c r="U88" s="64"/>
      <c r="V88" s="64"/>
      <c r="W88" s="64"/>
      <c r="X88" s="64"/>
      <c r="Y88" s="64"/>
      <c r="Z88" s="64"/>
    </row>
    <row r="89" spans="1:26" x14ac:dyDescent="0.25">
      <c r="A89" s="64"/>
      <c r="B89" s="64"/>
      <c r="C89" s="64"/>
      <c r="D89" s="64"/>
      <c r="E89" s="64"/>
      <c r="F89" s="64"/>
      <c r="G89" s="64"/>
      <c r="H89" s="64"/>
      <c r="I89" s="64"/>
      <c r="J89" s="64"/>
      <c r="K89" s="64"/>
      <c r="L89" s="64"/>
      <c r="M89" s="64"/>
      <c r="N89" s="65"/>
      <c r="O89" s="65"/>
      <c r="P89" s="64"/>
      <c r="Q89" s="64"/>
      <c r="R89" s="64"/>
      <c r="S89" s="64"/>
      <c r="T89" s="64"/>
      <c r="U89" s="64"/>
      <c r="V89" s="64"/>
      <c r="W89" s="64"/>
      <c r="X89" s="64"/>
      <c r="Y89" s="64"/>
      <c r="Z89" s="64"/>
    </row>
    <row r="90" spans="1:26" x14ac:dyDescent="0.25">
      <c r="A90" s="64"/>
      <c r="B90" s="64"/>
      <c r="C90" s="64"/>
      <c r="D90" s="64"/>
      <c r="E90" s="64"/>
      <c r="F90" s="64"/>
      <c r="G90" s="64"/>
      <c r="H90" s="64"/>
      <c r="I90" s="64"/>
      <c r="J90" s="64"/>
      <c r="K90" s="64"/>
      <c r="L90" s="64"/>
      <c r="M90" s="64"/>
      <c r="N90" s="65"/>
      <c r="O90" s="65"/>
      <c r="P90" s="64"/>
      <c r="Q90" s="64"/>
      <c r="R90" s="64"/>
      <c r="S90" s="64"/>
      <c r="T90" s="64"/>
      <c r="U90" s="64"/>
      <c r="V90" s="64"/>
      <c r="W90" s="64"/>
      <c r="X90" s="64"/>
      <c r="Y90" s="64"/>
      <c r="Z90" s="64"/>
    </row>
    <row r="91" spans="1:26" x14ac:dyDescent="0.25">
      <c r="A91" s="64"/>
      <c r="B91" s="64"/>
      <c r="C91" s="64"/>
      <c r="D91" s="64"/>
      <c r="E91" s="64"/>
      <c r="F91" s="64"/>
      <c r="G91" s="64"/>
      <c r="H91" s="64"/>
      <c r="I91" s="64"/>
      <c r="J91" s="64"/>
      <c r="K91" s="64"/>
      <c r="L91" s="64"/>
      <c r="M91" s="64"/>
      <c r="N91" s="65"/>
      <c r="O91" s="65"/>
      <c r="P91" s="64"/>
      <c r="Q91" s="64"/>
      <c r="R91" s="64"/>
      <c r="S91" s="64"/>
      <c r="T91" s="64"/>
      <c r="U91" s="64"/>
      <c r="V91" s="64"/>
      <c r="W91" s="64"/>
      <c r="X91" s="64"/>
      <c r="Y91" s="64"/>
      <c r="Z91" s="64"/>
    </row>
    <row r="92" spans="1:26" x14ac:dyDescent="0.25">
      <c r="A92" s="64"/>
      <c r="B92" s="64"/>
      <c r="C92" s="64"/>
      <c r="D92" s="64"/>
      <c r="E92" s="64"/>
      <c r="F92" s="64"/>
      <c r="G92" s="64"/>
      <c r="H92" s="64"/>
      <c r="I92" s="64"/>
      <c r="J92" s="64"/>
      <c r="K92" s="64"/>
      <c r="L92" s="64"/>
      <c r="M92" s="64"/>
      <c r="N92" s="65"/>
      <c r="O92" s="65"/>
      <c r="P92" s="64"/>
      <c r="Q92" s="64"/>
      <c r="R92" s="64"/>
      <c r="S92" s="64"/>
      <c r="T92" s="64"/>
      <c r="U92" s="64"/>
      <c r="V92" s="64"/>
      <c r="W92" s="64"/>
      <c r="X92" s="64"/>
      <c r="Y92" s="64"/>
      <c r="Z92" s="64"/>
    </row>
    <row r="93" spans="1:26" x14ac:dyDescent="0.25">
      <c r="A93" s="64"/>
      <c r="B93" s="64"/>
      <c r="C93" s="64"/>
      <c r="D93" s="64"/>
      <c r="E93" s="64"/>
      <c r="F93" s="64"/>
      <c r="G93" s="64"/>
      <c r="H93" s="64"/>
      <c r="I93" s="64"/>
      <c r="J93" s="64"/>
      <c r="K93" s="64"/>
      <c r="L93" s="64"/>
      <c r="M93" s="64"/>
      <c r="N93" s="65"/>
      <c r="O93" s="65"/>
      <c r="P93" s="64"/>
      <c r="Q93" s="64"/>
      <c r="R93" s="64"/>
      <c r="S93" s="64"/>
      <c r="T93" s="64"/>
      <c r="U93" s="64"/>
      <c r="V93" s="64"/>
      <c r="W93" s="64"/>
      <c r="X93" s="64"/>
      <c r="Y93" s="64"/>
      <c r="Z93" s="64"/>
    </row>
    <row r="94" spans="1:26" x14ac:dyDescent="0.25">
      <c r="A94" s="64"/>
      <c r="B94" s="64"/>
      <c r="C94" s="64"/>
      <c r="D94" s="64"/>
      <c r="E94" s="64"/>
      <c r="F94" s="64"/>
      <c r="G94" s="64"/>
      <c r="H94" s="64"/>
      <c r="I94" s="64"/>
      <c r="J94" s="64"/>
      <c r="K94" s="64"/>
      <c r="L94" s="64"/>
      <c r="M94" s="64"/>
      <c r="N94" s="65"/>
      <c r="O94" s="65"/>
      <c r="P94" s="64"/>
      <c r="Q94" s="64"/>
      <c r="R94" s="64"/>
      <c r="S94" s="64"/>
      <c r="T94" s="64"/>
      <c r="U94" s="64"/>
      <c r="V94" s="64"/>
      <c r="W94" s="64"/>
      <c r="X94" s="64"/>
      <c r="Y94" s="64"/>
      <c r="Z94" s="64"/>
    </row>
    <row r="95" spans="1:26" x14ac:dyDescent="0.25">
      <c r="A95" s="64"/>
      <c r="B95" s="64"/>
      <c r="C95" s="64"/>
      <c r="D95" s="64"/>
      <c r="E95" s="64"/>
      <c r="F95" s="64"/>
      <c r="G95" s="64"/>
      <c r="H95" s="64"/>
      <c r="I95" s="64"/>
      <c r="J95" s="64"/>
      <c r="K95" s="64"/>
      <c r="L95" s="64"/>
      <c r="M95" s="64"/>
      <c r="N95" s="65"/>
      <c r="O95" s="65"/>
      <c r="P95" s="64"/>
      <c r="Q95" s="64"/>
      <c r="R95" s="64"/>
      <c r="S95" s="64"/>
      <c r="T95" s="64"/>
      <c r="U95" s="64"/>
      <c r="V95" s="64"/>
      <c r="W95" s="64"/>
      <c r="X95" s="64"/>
      <c r="Y95" s="64"/>
      <c r="Z95" s="64"/>
    </row>
    <row r="96" spans="1:26" x14ac:dyDescent="0.25">
      <c r="A96" s="64"/>
      <c r="B96" s="64"/>
      <c r="C96" s="64"/>
      <c r="D96" s="64"/>
      <c r="E96" s="64"/>
      <c r="F96" s="64"/>
      <c r="G96" s="64"/>
      <c r="H96" s="64"/>
      <c r="I96" s="64"/>
      <c r="J96" s="64"/>
      <c r="K96" s="64"/>
      <c r="L96" s="64"/>
      <c r="M96" s="64"/>
      <c r="N96" s="65"/>
      <c r="O96" s="65"/>
      <c r="P96" s="64"/>
      <c r="Q96" s="64"/>
      <c r="R96" s="64"/>
      <c r="S96" s="64"/>
      <c r="T96" s="64"/>
      <c r="U96" s="64"/>
      <c r="V96" s="64"/>
      <c r="W96" s="64"/>
      <c r="X96" s="64"/>
      <c r="Y96" s="64"/>
      <c r="Z96" s="64"/>
    </row>
    <row r="97" spans="1:26" x14ac:dyDescent="0.25">
      <c r="A97" s="64"/>
      <c r="B97" s="64"/>
      <c r="C97" s="64"/>
      <c r="D97" s="64"/>
      <c r="E97" s="64"/>
      <c r="F97" s="64"/>
      <c r="G97" s="64"/>
      <c r="H97" s="64"/>
      <c r="I97" s="64"/>
      <c r="J97" s="64"/>
      <c r="K97" s="64"/>
      <c r="L97" s="64"/>
      <c r="M97" s="64"/>
      <c r="N97" s="65"/>
      <c r="O97" s="65"/>
      <c r="P97" s="64"/>
      <c r="Q97" s="64"/>
      <c r="R97" s="64"/>
      <c r="S97" s="64"/>
      <c r="T97" s="64"/>
      <c r="U97" s="64"/>
      <c r="V97" s="64"/>
      <c r="W97" s="64"/>
      <c r="X97" s="64"/>
      <c r="Y97" s="64"/>
      <c r="Z97" s="64"/>
    </row>
    <row r="98" spans="1:26" x14ac:dyDescent="0.25">
      <c r="A98" s="64"/>
      <c r="B98" s="64"/>
      <c r="C98" s="64"/>
      <c r="D98" s="64"/>
      <c r="E98" s="64"/>
      <c r="F98" s="64"/>
      <c r="G98" s="64"/>
      <c r="H98" s="64"/>
      <c r="I98" s="64"/>
      <c r="J98" s="64"/>
      <c r="K98" s="64"/>
      <c r="L98" s="64"/>
      <c r="M98" s="64"/>
      <c r="N98" s="65"/>
      <c r="O98" s="65"/>
      <c r="P98" s="64"/>
      <c r="Q98" s="64"/>
      <c r="R98" s="64"/>
      <c r="S98" s="64"/>
      <c r="T98" s="64"/>
      <c r="U98" s="64"/>
      <c r="V98" s="64"/>
      <c r="W98" s="64"/>
      <c r="X98" s="64"/>
      <c r="Y98" s="64"/>
      <c r="Z98" s="64"/>
    </row>
    <row r="99" spans="1:26" x14ac:dyDescent="0.25">
      <c r="A99" s="64"/>
      <c r="B99" s="64"/>
      <c r="C99" s="64"/>
      <c r="D99" s="64"/>
      <c r="E99" s="64"/>
      <c r="F99" s="64"/>
      <c r="G99" s="64"/>
      <c r="H99" s="64"/>
      <c r="I99" s="64"/>
      <c r="J99" s="64"/>
      <c r="K99" s="64"/>
      <c r="L99" s="64"/>
      <c r="M99" s="64"/>
      <c r="N99" s="65"/>
      <c r="O99" s="65"/>
      <c r="P99" s="64"/>
      <c r="Q99" s="64"/>
      <c r="R99" s="64"/>
      <c r="S99" s="64"/>
      <c r="T99" s="64"/>
      <c r="U99" s="64"/>
      <c r="V99" s="64"/>
      <c r="W99" s="64"/>
      <c r="X99" s="64"/>
      <c r="Y99" s="64"/>
      <c r="Z99" s="64"/>
    </row>
    <row r="100" spans="1:26" x14ac:dyDescent="0.25">
      <c r="A100" s="64"/>
      <c r="B100" s="64"/>
      <c r="C100" s="64"/>
      <c r="D100" s="64"/>
      <c r="E100" s="64"/>
      <c r="F100" s="64"/>
      <c r="G100" s="64"/>
      <c r="H100" s="64"/>
      <c r="I100" s="64"/>
      <c r="J100" s="64"/>
      <c r="K100" s="64"/>
      <c r="L100" s="64"/>
      <c r="M100" s="64"/>
      <c r="N100" s="65"/>
      <c r="O100" s="65"/>
      <c r="P100" s="64"/>
      <c r="Q100" s="64"/>
      <c r="R100" s="64"/>
      <c r="S100" s="64"/>
      <c r="T100" s="64"/>
      <c r="U100" s="64"/>
      <c r="V100" s="64"/>
      <c r="W100" s="64"/>
      <c r="X100" s="64"/>
      <c r="Y100" s="64"/>
      <c r="Z100" s="64"/>
    </row>
    <row r="101" spans="1:26" x14ac:dyDescent="0.25">
      <c r="A101" s="64"/>
      <c r="B101" s="64"/>
      <c r="C101" s="64"/>
      <c r="D101" s="64"/>
      <c r="E101" s="64"/>
      <c r="F101" s="64"/>
      <c r="G101" s="64"/>
      <c r="H101" s="64"/>
      <c r="I101" s="64"/>
      <c r="J101" s="64"/>
      <c r="K101" s="64"/>
      <c r="L101" s="64"/>
      <c r="M101" s="64"/>
      <c r="N101" s="65"/>
      <c r="O101" s="65"/>
      <c r="P101" s="64"/>
      <c r="Q101" s="64"/>
      <c r="R101" s="64"/>
      <c r="S101" s="64"/>
      <c r="T101" s="64"/>
      <c r="U101" s="64"/>
      <c r="V101" s="64"/>
      <c r="W101" s="64"/>
      <c r="X101" s="64"/>
      <c r="Y101" s="64"/>
      <c r="Z101" s="64"/>
    </row>
    <row r="102" spans="1:26" x14ac:dyDescent="0.25">
      <c r="A102" s="64"/>
      <c r="B102" s="64"/>
      <c r="C102" s="64"/>
      <c r="D102" s="64"/>
      <c r="E102" s="64"/>
      <c r="F102" s="64"/>
      <c r="G102" s="64"/>
      <c r="H102" s="64"/>
      <c r="I102" s="64"/>
      <c r="J102" s="64"/>
      <c r="K102" s="64"/>
      <c r="L102" s="64"/>
      <c r="M102" s="64"/>
      <c r="N102" s="65"/>
      <c r="O102" s="65"/>
      <c r="P102" s="64"/>
      <c r="Q102" s="64"/>
      <c r="R102" s="64"/>
      <c r="S102" s="64"/>
      <c r="T102" s="64"/>
      <c r="U102" s="64"/>
      <c r="V102" s="64"/>
      <c r="W102" s="64"/>
      <c r="X102" s="64"/>
      <c r="Y102" s="64"/>
      <c r="Z102" s="64"/>
    </row>
    <row r="103" spans="1:26" x14ac:dyDescent="0.25">
      <c r="A103" s="64"/>
      <c r="B103" s="64"/>
      <c r="C103" s="64"/>
      <c r="D103" s="64"/>
      <c r="E103" s="64"/>
      <c r="F103" s="64"/>
      <c r="G103" s="64"/>
      <c r="H103" s="64"/>
      <c r="I103" s="64"/>
      <c r="J103" s="64"/>
      <c r="K103" s="64"/>
      <c r="L103" s="64"/>
      <c r="M103" s="64"/>
      <c r="N103" s="65"/>
      <c r="O103" s="65"/>
      <c r="P103" s="64"/>
      <c r="Q103" s="64"/>
      <c r="R103" s="64"/>
      <c r="S103" s="64"/>
      <c r="T103" s="64"/>
      <c r="U103" s="64"/>
      <c r="V103" s="64"/>
      <c r="W103" s="64"/>
      <c r="X103" s="64"/>
      <c r="Y103" s="64"/>
      <c r="Z103" s="64"/>
    </row>
    <row r="104" spans="1:26" x14ac:dyDescent="0.25">
      <c r="A104" s="64"/>
      <c r="B104" s="64"/>
      <c r="C104" s="64"/>
      <c r="D104" s="64"/>
      <c r="E104" s="64"/>
      <c r="F104" s="64"/>
      <c r="G104" s="64"/>
      <c r="H104" s="64"/>
      <c r="I104" s="64"/>
      <c r="J104" s="64"/>
      <c r="K104" s="64"/>
      <c r="L104" s="64"/>
      <c r="M104" s="64"/>
      <c r="N104" s="65"/>
      <c r="O104" s="65"/>
      <c r="P104" s="64"/>
      <c r="Q104" s="64"/>
      <c r="R104" s="64"/>
      <c r="S104" s="64"/>
      <c r="T104" s="64"/>
      <c r="U104" s="64"/>
      <c r="V104" s="64"/>
      <c r="W104" s="64"/>
      <c r="X104" s="64"/>
      <c r="Y104" s="64"/>
      <c r="Z104" s="64"/>
    </row>
    <row r="105" spans="1:26" x14ac:dyDescent="0.25">
      <c r="A105" s="64"/>
      <c r="B105" s="64"/>
      <c r="C105" s="64"/>
      <c r="D105" s="64"/>
      <c r="E105" s="64"/>
      <c r="F105" s="64"/>
      <c r="G105" s="64"/>
      <c r="H105" s="64"/>
      <c r="I105" s="64"/>
      <c r="J105" s="64"/>
      <c r="K105" s="64"/>
      <c r="L105" s="64"/>
      <c r="M105" s="64"/>
      <c r="N105" s="65"/>
      <c r="O105" s="65"/>
      <c r="P105" s="64"/>
      <c r="Q105" s="64"/>
      <c r="R105" s="64"/>
      <c r="S105" s="64"/>
      <c r="T105" s="64"/>
      <c r="U105" s="64"/>
      <c r="V105" s="64"/>
      <c r="W105" s="64"/>
      <c r="X105" s="64"/>
      <c r="Y105" s="64"/>
      <c r="Z105" s="64"/>
    </row>
    <row r="106" spans="1:26" x14ac:dyDescent="0.25">
      <c r="A106" s="64"/>
      <c r="B106" s="64"/>
      <c r="C106" s="64"/>
      <c r="D106" s="64"/>
      <c r="E106" s="64"/>
      <c r="F106" s="64"/>
      <c r="G106" s="64"/>
      <c r="H106" s="64"/>
      <c r="I106" s="64"/>
      <c r="J106" s="64"/>
      <c r="K106" s="64"/>
      <c r="L106" s="64"/>
      <c r="M106" s="64"/>
      <c r="N106" s="65"/>
      <c r="O106" s="65"/>
      <c r="P106" s="64"/>
      <c r="Q106" s="64"/>
      <c r="R106" s="64"/>
      <c r="S106" s="64"/>
      <c r="T106" s="64"/>
      <c r="U106" s="64"/>
      <c r="V106" s="64"/>
      <c r="W106" s="64"/>
      <c r="X106" s="64"/>
      <c r="Y106" s="64"/>
      <c r="Z106" s="64"/>
    </row>
    <row r="107" spans="1:26" x14ac:dyDescent="0.25">
      <c r="A107" s="64"/>
      <c r="B107" s="64"/>
      <c r="C107" s="64"/>
      <c r="D107" s="64"/>
      <c r="E107" s="64"/>
      <c r="F107" s="64"/>
      <c r="G107" s="64"/>
      <c r="H107" s="64"/>
      <c r="I107" s="64"/>
      <c r="J107" s="64"/>
      <c r="K107" s="64"/>
      <c r="L107" s="64"/>
      <c r="M107" s="64"/>
      <c r="N107" s="65"/>
      <c r="O107" s="65"/>
      <c r="P107" s="64"/>
      <c r="Q107" s="64"/>
      <c r="R107" s="64"/>
      <c r="S107" s="64"/>
      <c r="T107" s="64"/>
      <c r="U107" s="64"/>
      <c r="V107" s="64"/>
      <c r="W107" s="64"/>
      <c r="X107" s="64"/>
      <c r="Y107" s="64"/>
      <c r="Z107" s="64"/>
    </row>
    <row r="108" spans="1:26" x14ac:dyDescent="0.25">
      <c r="A108" s="64"/>
      <c r="B108" s="64"/>
      <c r="C108" s="64"/>
      <c r="D108" s="64"/>
      <c r="E108" s="64"/>
      <c r="F108" s="64"/>
      <c r="G108" s="64"/>
      <c r="H108" s="64"/>
      <c r="I108" s="64"/>
      <c r="J108" s="64"/>
      <c r="K108" s="64"/>
      <c r="L108" s="64"/>
      <c r="M108" s="64"/>
      <c r="N108" s="65"/>
      <c r="O108" s="65"/>
      <c r="P108" s="64"/>
      <c r="Q108" s="64"/>
      <c r="R108" s="64"/>
      <c r="S108" s="64"/>
      <c r="T108" s="64"/>
      <c r="U108" s="64"/>
      <c r="V108" s="64"/>
      <c r="W108" s="64"/>
      <c r="X108" s="64"/>
      <c r="Y108" s="64"/>
      <c r="Z108" s="64"/>
    </row>
    <row r="109" spans="1:26" x14ac:dyDescent="0.25">
      <c r="A109" s="64"/>
      <c r="B109" s="64"/>
      <c r="C109" s="64"/>
      <c r="D109" s="64"/>
      <c r="E109" s="64"/>
      <c r="F109" s="64"/>
      <c r="G109" s="64"/>
      <c r="H109" s="64"/>
      <c r="I109" s="64"/>
      <c r="J109" s="64"/>
      <c r="K109" s="64"/>
      <c r="L109" s="64"/>
      <c r="M109" s="64"/>
      <c r="N109" s="65"/>
      <c r="O109" s="65"/>
      <c r="P109" s="64"/>
      <c r="Q109" s="64"/>
      <c r="R109" s="64"/>
      <c r="S109" s="64"/>
      <c r="T109" s="64"/>
      <c r="U109" s="64"/>
      <c r="V109" s="64"/>
      <c r="W109" s="64"/>
      <c r="X109" s="64"/>
      <c r="Y109" s="64"/>
      <c r="Z109" s="64"/>
    </row>
    <row r="110" spans="1:26" x14ac:dyDescent="0.25">
      <c r="A110" s="64"/>
      <c r="B110" s="64"/>
      <c r="C110" s="64"/>
      <c r="D110" s="64"/>
      <c r="E110" s="64"/>
      <c r="F110" s="64"/>
      <c r="G110" s="64"/>
      <c r="H110" s="64"/>
      <c r="I110" s="64"/>
      <c r="J110" s="64"/>
      <c r="K110" s="64"/>
      <c r="L110" s="64"/>
      <c r="M110" s="64"/>
      <c r="N110" s="65"/>
      <c r="O110" s="65"/>
      <c r="P110" s="64"/>
      <c r="Q110" s="64"/>
      <c r="R110" s="64"/>
      <c r="S110" s="64"/>
      <c r="T110" s="64"/>
      <c r="U110" s="64"/>
      <c r="V110" s="64"/>
      <c r="W110" s="64"/>
      <c r="X110" s="64"/>
      <c r="Y110" s="64"/>
      <c r="Z110" s="64"/>
    </row>
    <row r="111" spans="1:26" x14ac:dyDescent="0.25">
      <c r="A111" s="64"/>
      <c r="B111" s="64"/>
      <c r="C111" s="64"/>
      <c r="D111" s="64"/>
      <c r="E111" s="64"/>
      <c r="F111" s="64"/>
      <c r="G111" s="64"/>
      <c r="H111" s="64"/>
      <c r="I111" s="64"/>
      <c r="J111" s="64"/>
      <c r="K111" s="64"/>
      <c r="L111" s="64"/>
      <c r="M111" s="64"/>
      <c r="N111" s="65"/>
      <c r="O111" s="65"/>
      <c r="P111" s="64"/>
      <c r="Q111" s="64"/>
      <c r="R111" s="64"/>
      <c r="S111" s="64"/>
      <c r="T111" s="64"/>
      <c r="U111" s="64"/>
      <c r="V111" s="64"/>
      <c r="W111" s="64"/>
      <c r="X111" s="64"/>
      <c r="Y111" s="64"/>
      <c r="Z111" s="64"/>
    </row>
    <row r="112" spans="1:26" x14ac:dyDescent="0.25">
      <c r="A112" s="64"/>
      <c r="B112" s="64"/>
      <c r="C112" s="64"/>
      <c r="D112" s="64"/>
      <c r="E112" s="64"/>
      <c r="F112" s="64"/>
      <c r="G112" s="64"/>
      <c r="H112" s="64"/>
      <c r="I112" s="64"/>
      <c r="J112" s="64"/>
      <c r="K112" s="64"/>
      <c r="L112" s="64"/>
      <c r="M112" s="64"/>
      <c r="N112" s="65"/>
      <c r="O112" s="65"/>
      <c r="P112" s="64"/>
      <c r="Q112" s="64"/>
      <c r="R112" s="64"/>
      <c r="S112" s="64"/>
      <c r="T112" s="64"/>
      <c r="U112" s="64"/>
      <c r="V112" s="64"/>
      <c r="W112" s="64"/>
      <c r="X112" s="64"/>
      <c r="Y112" s="64"/>
      <c r="Z112" s="64"/>
    </row>
    <row r="113" spans="1:26" x14ac:dyDescent="0.25">
      <c r="A113" s="64"/>
      <c r="B113" s="64"/>
      <c r="C113" s="64"/>
      <c r="D113" s="64"/>
      <c r="E113" s="64"/>
      <c r="F113" s="64"/>
      <c r="G113" s="64"/>
      <c r="H113" s="64"/>
      <c r="I113" s="64"/>
      <c r="J113" s="64"/>
      <c r="K113" s="64"/>
      <c r="L113" s="64"/>
      <c r="M113" s="64"/>
      <c r="N113" s="65"/>
      <c r="O113" s="65"/>
      <c r="P113" s="64"/>
      <c r="Q113" s="64"/>
      <c r="R113" s="64"/>
      <c r="S113" s="64"/>
      <c r="T113" s="64"/>
      <c r="U113" s="64"/>
      <c r="V113" s="64"/>
      <c r="W113" s="64"/>
      <c r="X113" s="64"/>
      <c r="Y113" s="64"/>
      <c r="Z113" s="64"/>
    </row>
    <row r="114" spans="1:26" x14ac:dyDescent="0.25">
      <c r="A114" s="64"/>
      <c r="B114" s="64"/>
      <c r="C114" s="64"/>
      <c r="D114" s="64"/>
      <c r="E114" s="64"/>
      <c r="F114" s="64"/>
      <c r="G114" s="64"/>
      <c r="H114" s="64"/>
      <c r="I114" s="64"/>
      <c r="J114" s="64"/>
      <c r="K114" s="64"/>
      <c r="L114" s="64"/>
      <c r="M114" s="64"/>
      <c r="N114" s="65"/>
      <c r="O114" s="65"/>
      <c r="P114" s="64"/>
      <c r="Q114" s="64"/>
      <c r="R114" s="64"/>
      <c r="S114" s="64"/>
      <c r="T114" s="64"/>
      <c r="U114" s="64"/>
      <c r="V114" s="64"/>
      <c r="W114" s="64"/>
      <c r="X114" s="64"/>
      <c r="Y114" s="64"/>
      <c r="Z114" s="64"/>
    </row>
    <row r="115" spans="1:26" x14ac:dyDescent="0.25">
      <c r="A115" s="64"/>
      <c r="B115" s="64"/>
      <c r="C115" s="64"/>
      <c r="D115" s="64"/>
      <c r="E115" s="64"/>
      <c r="F115" s="64"/>
      <c r="G115" s="64"/>
      <c r="H115" s="64"/>
      <c r="I115" s="64"/>
      <c r="J115" s="64"/>
      <c r="K115" s="64"/>
      <c r="L115" s="64"/>
      <c r="M115" s="64"/>
      <c r="N115" s="65"/>
      <c r="O115" s="65"/>
      <c r="P115" s="64"/>
      <c r="Q115" s="64"/>
      <c r="R115" s="64"/>
      <c r="S115" s="64"/>
      <c r="T115" s="64"/>
      <c r="U115" s="64"/>
      <c r="V115" s="64"/>
      <c r="W115" s="64"/>
      <c r="X115" s="64"/>
      <c r="Y115" s="64"/>
      <c r="Z115" s="64"/>
    </row>
    <row r="116" spans="1:26" x14ac:dyDescent="0.25">
      <c r="A116" s="64"/>
      <c r="B116" s="64"/>
      <c r="C116" s="64"/>
      <c r="D116" s="64"/>
      <c r="E116" s="64"/>
      <c r="F116" s="64"/>
      <c r="G116" s="64"/>
      <c r="H116" s="64"/>
      <c r="I116" s="64"/>
      <c r="J116" s="64"/>
      <c r="K116" s="64"/>
      <c r="L116" s="64"/>
      <c r="M116" s="64"/>
      <c r="N116" s="65"/>
      <c r="O116" s="65"/>
      <c r="P116" s="64"/>
      <c r="Q116" s="64"/>
      <c r="R116" s="64"/>
      <c r="S116" s="64"/>
      <c r="T116" s="64"/>
      <c r="U116" s="64"/>
      <c r="V116" s="64"/>
      <c r="W116" s="64"/>
      <c r="X116" s="64"/>
      <c r="Y116" s="64"/>
      <c r="Z116" s="64"/>
    </row>
    <row r="117" spans="1:26" x14ac:dyDescent="0.25">
      <c r="A117" s="64"/>
      <c r="B117" s="64"/>
      <c r="C117" s="64"/>
      <c r="D117" s="64"/>
      <c r="E117" s="64"/>
      <c r="F117" s="64"/>
      <c r="G117" s="64"/>
      <c r="H117" s="64"/>
      <c r="I117" s="64"/>
      <c r="J117" s="64"/>
      <c r="K117" s="64"/>
      <c r="L117" s="64"/>
      <c r="M117" s="64"/>
      <c r="N117" s="65"/>
      <c r="O117" s="65"/>
      <c r="P117" s="64"/>
      <c r="Q117" s="64"/>
      <c r="R117" s="64"/>
      <c r="S117" s="64"/>
      <c r="T117" s="64"/>
      <c r="U117" s="64"/>
      <c r="V117" s="64"/>
      <c r="W117" s="64"/>
      <c r="X117" s="64"/>
      <c r="Y117" s="64"/>
      <c r="Z117" s="64"/>
    </row>
    <row r="118" spans="1:26" x14ac:dyDescent="0.25">
      <c r="A118" s="64"/>
      <c r="B118" s="64"/>
      <c r="C118" s="64"/>
      <c r="D118" s="64"/>
      <c r="E118" s="64"/>
      <c r="F118" s="64"/>
      <c r="G118" s="64"/>
      <c r="H118" s="64"/>
      <c r="I118" s="64"/>
      <c r="J118" s="64"/>
      <c r="K118" s="64"/>
      <c r="L118" s="64"/>
      <c r="M118" s="64"/>
      <c r="N118" s="65"/>
      <c r="O118" s="65"/>
      <c r="P118" s="64"/>
      <c r="Q118" s="64"/>
      <c r="R118" s="64"/>
      <c r="S118" s="64"/>
      <c r="T118" s="64"/>
      <c r="U118" s="64"/>
      <c r="V118" s="64"/>
      <c r="W118" s="64"/>
      <c r="X118" s="64"/>
      <c r="Y118" s="64"/>
      <c r="Z118" s="64"/>
    </row>
    <row r="119" spans="1:26" x14ac:dyDescent="0.25">
      <c r="A119" s="64"/>
      <c r="B119" s="64"/>
      <c r="C119" s="64"/>
      <c r="D119" s="64"/>
      <c r="E119" s="64"/>
      <c r="F119" s="64"/>
      <c r="G119" s="64"/>
      <c r="H119" s="64"/>
      <c r="I119" s="64"/>
      <c r="J119" s="64"/>
      <c r="K119" s="64"/>
      <c r="L119" s="64"/>
      <c r="M119" s="64"/>
      <c r="N119" s="65"/>
      <c r="O119" s="65"/>
      <c r="P119" s="64"/>
      <c r="Q119" s="64"/>
      <c r="R119" s="64"/>
      <c r="S119" s="64"/>
      <c r="T119" s="64"/>
      <c r="U119" s="64"/>
      <c r="V119" s="64"/>
      <c r="W119" s="64"/>
      <c r="X119" s="64"/>
      <c r="Y119" s="64"/>
      <c r="Z119" s="64"/>
    </row>
    <row r="120" spans="1:26" x14ac:dyDescent="0.25">
      <c r="A120" s="64"/>
      <c r="B120" s="64"/>
      <c r="C120" s="64"/>
      <c r="D120" s="64"/>
      <c r="E120" s="64"/>
      <c r="F120" s="64"/>
      <c r="G120" s="64"/>
      <c r="H120" s="64"/>
      <c r="I120" s="64"/>
      <c r="J120" s="64"/>
      <c r="K120" s="64"/>
      <c r="L120" s="64"/>
      <c r="M120" s="64"/>
      <c r="N120" s="65"/>
      <c r="O120" s="65"/>
      <c r="P120" s="64"/>
      <c r="Q120" s="64"/>
      <c r="R120" s="64"/>
      <c r="S120" s="64"/>
      <c r="T120" s="64"/>
      <c r="U120" s="64"/>
      <c r="V120" s="64"/>
      <c r="W120" s="64"/>
      <c r="X120" s="64"/>
      <c r="Y120" s="64"/>
      <c r="Z120" s="64"/>
    </row>
    <row r="121" spans="1:26" x14ac:dyDescent="0.25">
      <c r="A121" s="64"/>
      <c r="B121" s="64"/>
      <c r="C121" s="64"/>
      <c r="D121" s="64"/>
      <c r="E121" s="64"/>
      <c r="F121" s="64"/>
      <c r="G121" s="64"/>
      <c r="H121" s="64"/>
      <c r="I121" s="64"/>
      <c r="J121" s="64"/>
      <c r="K121" s="64"/>
      <c r="L121" s="64"/>
      <c r="M121" s="64"/>
      <c r="N121" s="65"/>
      <c r="O121" s="65"/>
      <c r="P121" s="64"/>
      <c r="Q121" s="64"/>
      <c r="R121" s="64"/>
      <c r="S121" s="64"/>
      <c r="T121" s="64"/>
      <c r="U121" s="64"/>
      <c r="V121" s="64"/>
      <c r="W121" s="64"/>
      <c r="X121" s="64"/>
      <c r="Y121" s="64"/>
      <c r="Z121" s="64"/>
    </row>
    <row r="122" spans="1:26" x14ac:dyDescent="0.25">
      <c r="A122" s="64"/>
      <c r="B122" s="64"/>
      <c r="C122" s="64"/>
      <c r="D122" s="64"/>
      <c r="E122" s="64"/>
      <c r="F122" s="64"/>
      <c r="G122" s="64"/>
      <c r="H122" s="64"/>
      <c r="I122" s="64"/>
      <c r="J122" s="64"/>
      <c r="K122" s="64"/>
      <c r="L122" s="64"/>
      <c r="M122" s="64"/>
      <c r="N122" s="65"/>
      <c r="O122" s="65"/>
      <c r="P122" s="64"/>
      <c r="Q122" s="64"/>
      <c r="R122" s="64"/>
      <c r="S122" s="64"/>
      <c r="T122" s="64"/>
      <c r="U122" s="64"/>
      <c r="V122" s="64"/>
      <c r="W122" s="64"/>
      <c r="X122" s="64"/>
      <c r="Y122" s="64"/>
      <c r="Z122" s="64"/>
    </row>
    <row r="123" spans="1:26" x14ac:dyDescent="0.25">
      <c r="A123" s="64"/>
      <c r="B123" s="64"/>
      <c r="C123" s="64"/>
      <c r="D123" s="64"/>
      <c r="E123" s="64"/>
      <c r="F123" s="64"/>
      <c r="G123" s="64"/>
      <c r="H123" s="64"/>
      <c r="I123" s="64"/>
      <c r="J123" s="64"/>
      <c r="K123" s="64"/>
      <c r="L123" s="64"/>
      <c r="M123" s="64"/>
      <c r="N123" s="65"/>
      <c r="O123" s="65"/>
      <c r="P123" s="64"/>
      <c r="Q123" s="64"/>
      <c r="R123" s="64"/>
      <c r="S123" s="64"/>
      <c r="T123" s="64"/>
      <c r="U123" s="64"/>
      <c r="V123" s="64"/>
      <c r="W123" s="64"/>
      <c r="X123" s="64"/>
      <c r="Y123" s="64"/>
      <c r="Z123" s="64"/>
    </row>
    <row r="124" spans="1:26" x14ac:dyDescent="0.25">
      <c r="A124" s="64"/>
      <c r="B124" s="64"/>
      <c r="C124" s="64"/>
      <c r="D124" s="64"/>
      <c r="E124" s="64"/>
      <c r="F124" s="64"/>
      <c r="G124" s="64"/>
      <c r="H124" s="64"/>
      <c r="I124" s="64"/>
      <c r="J124" s="64"/>
      <c r="K124" s="64"/>
      <c r="L124" s="64"/>
      <c r="M124" s="64"/>
      <c r="N124" s="65"/>
      <c r="O124" s="65"/>
      <c r="P124" s="64"/>
      <c r="Q124" s="64"/>
      <c r="R124" s="64"/>
      <c r="S124" s="64"/>
      <c r="T124" s="64"/>
      <c r="U124" s="64"/>
      <c r="V124" s="64"/>
      <c r="W124" s="64"/>
      <c r="X124" s="64"/>
      <c r="Y124" s="64"/>
      <c r="Z124" s="64"/>
    </row>
    <row r="125" spans="1:26" x14ac:dyDescent="0.25">
      <c r="A125" s="64"/>
      <c r="B125" s="64"/>
      <c r="C125" s="64"/>
      <c r="D125" s="64"/>
      <c r="E125" s="64"/>
      <c r="F125" s="64"/>
      <c r="G125" s="64"/>
      <c r="H125" s="64"/>
      <c r="I125" s="64"/>
      <c r="J125" s="64"/>
      <c r="K125" s="64"/>
      <c r="L125" s="64"/>
      <c r="M125" s="64"/>
      <c r="N125" s="65"/>
      <c r="O125" s="65"/>
      <c r="P125" s="64"/>
      <c r="Q125" s="64"/>
      <c r="R125" s="64"/>
      <c r="S125" s="64"/>
      <c r="T125" s="64"/>
      <c r="U125" s="64"/>
      <c r="V125" s="64"/>
      <c r="W125" s="64"/>
      <c r="X125" s="64"/>
      <c r="Y125" s="64"/>
      <c r="Z125" s="64"/>
    </row>
    <row r="126" spans="1:26" x14ac:dyDescent="0.25">
      <c r="A126" s="64"/>
      <c r="B126" s="64"/>
      <c r="C126" s="64"/>
      <c r="D126" s="64"/>
      <c r="E126" s="64"/>
      <c r="F126" s="64"/>
      <c r="G126" s="64"/>
      <c r="H126" s="64"/>
      <c r="I126" s="64"/>
      <c r="J126" s="64"/>
      <c r="K126" s="64"/>
      <c r="L126" s="64"/>
      <c r="M126" s="64"/>
      <c r="N126" s="65"/>
      <c r="O126" s="65"/>
      <c r="P126" s="64"/>
      <c r="Q126" s="64"/>
      <c r="R126" s="64"/>
      <c r="S126" s="64"/>
      <c r="T126" s="64"/>
      <c r="U126" s="64"/>
      <c r="V126" s="64"/>
      <c r="W126" s="64"/>
      <c r="X126" s="64"/>
      <c r="Y126" s="64"/>
      <c r="Z126" s="64"/>
    </row>
    <row r="127" spans="1:26" x14ac:dyDescent="0.25">
      <c r="A127" s="64"/>
      <c r="B127" s="64"/>
      <c r="C127" s="64"/>
      <c r="D127" s="64"/>
      <c r="E127" s="64"/>
      <c r="F127" s="64"/>
      <c r="G127" s="64"/>
      <c r="H127" s="64"/>
      <c r="I127" s="64"/>
      <c r="J127" s="64"/>
      <c r="K127" s="64"/>
      <c r="L127" s="64"/>
      <c r="M127" s="64"/>
      <c r="N127" s="65"/>
      <c r="O127" s="65"/>
      <c r="P127" s="64"/>
      <c r="Q127" s="64"/>
      <c r="R127" s="64"/>
      <c r="S127" s="64"/>
      <c r="T127" s="64"/>
      <c r="U127" s="64"/>
      <c r="V127" s="64"/>
      <c r="W127" s="64"/>
      <c r="X127" s="64"/>
      <c r="Y127" s="64"/>
      <c r="Z127" s="64"/>
    </row>
    <row r="128" spans="1:26" x14ac:dyDescent="0.25">
      <c r="A128" s="64"/>
      <c r="B128" s="64"/>
      <c r="C128" s="64"/>
      <c r="D128" s="64"/>
      <c r="E128" s="64"/>
      <c r="F128" s="64"/>
      <c r="G128" s="64"/>
      <c r="H128" s="64"/>
      <c r="I128" s="64"/>
      <c r="J128" s="64"/>
      <c r="K128" s="64"/>
      <c r="L128" s="64"/>
      <c r="M128" s="64"/>
      <c r="N128" s="65"/>
      <c r="O128" s="65"/>
      <c r="P128" s="64"/>
      <c r="Q128" s="64"/>
      <c r="R128" s="64"/>
      <c r="S128" s="64"/>
      <c r="T128" s="64"/>
      <c r="U128" s="64"/>
      <c r="V128" s="64"/>
      <c r="W128" s="64"/>
      <c r="X128" s="64"/>
      <c r="Y128" s="64"/>
      <c r="Z128" s="64"/>
    </row>
    <row r="129" spans="1:26" x14ac:dyDescent="0.25">
      <c r="A129" s="64"/>
      <c r="B129" s="64"/>
      <c r="C129" s="64"/>
      <c r="D129" s="64"/>
      <c r="E129" s="64"/>
      <c r="F129" s="64"/>
      <c r="G129" s="64"/>
      <c r="H129" s="64"/>
      <c r="I129" s="64"/>
      <c r="J129" s="64"/>
      <c r="K129" s="64"/>
      <c r="L129" s="64"/>
      <c r="M129" s="64"/>
      <c r="N129" s="65"/>
      <c r="O129" s="65"/>
      <c r="P129" s="64"/>
      <c r="Q129" s="64"/>
      <c r="R129" s="64"/>
      <c r="S129" s="64"/>
      <c r="T129" s="64"/>
      <c r="U129" s="64"/>
      <c r="V129" s="64"/>
      <c r="W129" s="64"/>
      <c r="X129" s="64"/>
      <c r="Y129" s="64"/>
      <c r="Z129" s="64"/>
    </row>
    <row r="130" spans="1:26" x14ac:dyDescent="0.25">
      <c r="A130" s="64"/>
      <c r="B130" s="64"/>
      <c r="C130" s="64"/>
      <c r="D130" s="64"/>
      <c r="E130" s="64"/>
      <c r="F130" s="64"/>
      <c r="G130" s="64"/>
      <c r="H130" s="64"/>
      <c r="I130" s="64"/>
      <c r="J130" s="64"/>
      <c r="K130" s="64"/>
      <c r="L130" s="64"/>
      <c r="M130" s="64"/>
      <c r="N130" s="65"/>
      <c r="O130" s="65"/>
      <c r="P130" s="64"/>
      <c r="Q130" s="64"/>
      <c r="R130" s="64"/>
      <c r="S130" s="64"/>
      <c r="T130" s="64"/>
      <c r="U130" s="64"/>
      <c r="V130" s="64"/>
      <c r="W130" s="64"/>
      <c r="X130" s="64"/>
      <c r="Y130" s="64"/>
      <c r="Z130" s="64"/>
    </row>
    <row r="131" spans="1:26" x14ac:dyDescent="0.25">
      <c r="A131" s="64"/>
      <c r="B131" s="64"/>
      <c r="C131" s="64"/>
      <c r="D131" s="64"/>
      <c r="E131" s="64"/>
      <c r="F131" s="64"/>
      <c r="G131" s="64"/>
      <c r="H131" s="64"/>
      <c r="I131" s="64"/>
      <c r="J131" s="64"/>
      <c r="K131" s="64"/>
      <c r="L131" s="64"/>
      <c r="M131" s="64"/>
      <c r="N131" s="65"/>
      <c r="O131" s="65"/>
      <c r="P131" s="64"/>
      <c r="Q131" s="64"/>
      <c r="R131" s="64"/>
      <c r="S131" s="64"/>
      <c r="T131" s="64"/>
      <c r="U131" s="64"/>
      <c r="V131" s="64"/>
      <c r="W131" s="64"/>
      <c r="X131" s="64"/>
      <c r="Y131" s="64"/>
      <c r="Z131" s="64"/>
    </row>
    <row r="132" spans="1:26" x14ac:dyDescent="0.25">
      <c r="A132" s="64"/>
      <c r="B132" s="64"/>
      <c r="C132" s="64"/>
      <c r="D132" s="64"/>
      <c r="E132" s="64"/>
      <c r="F132" s="64"/>
      <c r="G132" s="64"/>
      <c r="H132" s="64"/>
      <c r="I132" s="64"/>
      <c r="J132" s="64"/>
      <c r="K132" s="64"/>
      <c r="L132" s="64"/>
      <c r="M132" s="64"/>
      <c r="N132" s="65"/>
      <c r="O132" s="65"/>
      <c r="P132" s="64"/>
      <c r="Q132" s="64"/>
      <c r="R132" s="64"/>
      <c r="S132" s="64"/>
      <c r="T132" s="64"/>
      <c r="U132" s="64"/>
      <c r="V132" s="64"/>
      <c r="W132" s="64"/>
      <c r="X132" s="64"/>
      <c r="Y132" s="64"/>
      <c r="Z132" s="64"/>
    </row>
    <row r="133" spans="1:26" x14ac:dyDescent="0.25">
      <c r="A133" s="64"/>
      <c r="B133" s="64"/>
      <c r="C133" s="64"/>
      <c r="D133" s="64"/>
      <c r="E133" s="64"/>
      <c r="F133" s="64"/>
      <c r="G133" s="64"/>
      <c r="H133" s="64"/>
      <c r="I133" s="64"/>
      <c r="J133" s="64"/>
      <c r="K133" s="64"/>
      <c r="L133" s="64"/>
      <c r="M133" s="64"/>
      <c r="N133" s="65"/>
      <c r="O133" s="65"/>
      <c r="P133" s="64"/>
      <c r="Q133" s="64"/>
      <c r="R133" s="64"/>
      <c r="S133" s="64"/>
      <c r="T133" s="64"/>
      <c r="U133" s="64"/>
      <c r="V133" s="64"/>
      <c r="W133" s="64"/>
      <c r="X133" s="64"/>
      <c r="Y133" s="64"/>
      <c r="Z133" s="64"/>
    </row>
    <row r="134" spans="1:26" x14ac:dyDescent="0.25">
      <c r="A134" s="64"/>
      <c r="B134" s="64"/>
      <c r="C134" s="64"/>
      <c r="D134" s="64"/>
      <c r="E134" s="64"/>
      <c r="F134" s="64"/>
      <c r="G134" s="64"/>
      <c r="H134" s="64"/>
      <c r="I134" s="64"/>
      <c r="J134" s="64"/>
      <c r="K134" s="64"/>
      <c r="L134" s="64"/>
      <c r="M134" s="64"/>
      <c r="N134" s="65"/>
      <c r="O134" s="65"/>
      <c r="P134" s="64"/>
      <c r="Q134" s="64"/>
      <c r="R134" s="64"/>
      <c r="S134" s="64"/>
      <c r="T134" s="64"/>
      <c r="U134" s="64"/>
      <c r="V134" s="64"/>
      <c r="W134" s="64"/>
      <c r="X134" s="64"/>
      <c r="Y134" s="64"/>
      <c r="Z134" s="64"/>
    </row>
    <row r="135" spans="1:26" x14ac:dyDescent="0.25">
      <c r="A135" s="64"/>
      <c r="B135" s="64"/>
      <c r="C135" s="64"/>
      <c r="D135" s="64"/>
      <c r="E135" s="64"/>
      <c r="F135" s="64"/>
      <c r="G135" s="64"/>
      <c r="H135" s="64"/>
      <c r="I135" s="64"/>
      <c r="J135" s="64"/>
      <c r="K135" s="64"/>
      <c r="L135" s="64"/>
      <c r="M135" s="64"/>
      <c r="N135" s="65"/>
      <c r="O135" s="65"/>
      <c r="P135" s="64"/>
      <c r="Q135" s="64"/>
      <c r="R135" s="64"/>
      <c r="S135" s="64"/>
      <c r="T135" s="64"/>
      <c r="U135" s="64"/>
      <c r="V135" s="64"/>
      <c r="W135" s="64"/>
      <c r="X135" s="64"/>
      <c r="Y135" s="64"/>
      <c r="Z135" s="64"/>
    </row>
    <row r="136" spans="1:26" x14ac:dyDescent="0.25">
      <c r="A136" s="64"/>
      <c r="B136" s="64"/>
      <c r="C136" s="64"/>
      <c r="D136" s="64"/>
      <c r="E136" s="64"/>
      <c r="F136" s="64"/>
      <c r="G136" s="64"/>
      <c r="H136" s="64"/>
      <c r="I136" s="64"/>
      <c r="J136" s="64"/>
      <c r="K136" s="64"/>
      <c r="L136" s="64"/>
      <c r="M136" s="64"/>
      <c r="N136" s="65"/>
      <c r="O136" s="65"/>
      <c r="P136" s="64"/>
      <c r="Q136" s="64"/>
      <c r="R136" s="64"/>
      <c r="S136" s="64"/>
      <c r="T136" s="64"/>
      <c r="U136" s="64"/>
      <c r="V136" s="64"/>
      <c r="W136" s="64"/>
      <c r="X136" s="64"/>
      <c r="Y136" s="64"/>
      <c r="Z136" s="64"/>
    </row>
    <row r="137" spans="1:26" x14ac:dyDescent="0.25">
      <c r="A137" s="64"/>
      <c r="B137" s="64"/>
      <c r="C137" s="64"/>
      <c r="D137" s="64"/>
      <c r="E137" s="64"/>
      <c r="F137" s="64"/>
      <c r="G137" s="64"/>
      <c r="H137" s="64"/>
      <c r="I137" s="64"/>
      <c r="J137" s="64"/>
      <c r="K137" s="64"/>
      <c r="L137" s="64"/>
      <c r="M137" s="64"/>
      <c r="N137" s="65"/>
      <c r="O137" s="65"/>
      <c r="P137" s="64"/>
      <c r="Q137" s="64"/>
      <c r="R137" s="64"/>
      <c r="S137" s="64"/>
      <c r="T137" s="64"/>
      <c r="U137" s="64"/>
      <c r="V137" s="64"/>
      <c r="W137" s="64"/>
      <c r="X137" s="64"/>
      <c r="Y137" s="64"/>
      <c r="Z137" s="64"/>
    </row>
    <row r="138" spans="1:26" x14ac:dyDescent="0.25">
      <c r="A138" s="64"/>
      <c r="B138" s="64"/>
      <c r="C138" s="64"/>
      <c r="D138" s="64"/>
      <c r="E138" s="64"/>
      <c r="F138" s="64"/>
      <c r="G138" s="64"/>
      <c r="H138" s="64"/>
      <c r="I138" s="64"/>
      <c r="J138" s="64"/>
      <c r="K138" s="64"/>
      <c r="L138" s="64"/>
      <c r="M138" s="64"/>
      <c r="N138" s="65"/>
      <c r="O138" s="65"/>
      <c r="P138" s="64"/>
      <c r="Q138" s="64"/>
      <c r="R138" s="64"/>
      <c r="S138" s="64"/>
      <c r="T138" s="64"/>
      <c r="U138" s="64"/>
      <c r="V138" s="64"/>
      <c r="W138" s="64"/>
      <c r="X138" s="64"/>
      <c r="Y138" s="64"/>
      <c r="Z138" s="64"/>
    </row>
    <row r="139" spans="1:26" x14ac:dyDescent="0.25">
      <c r="A139" s="64"/>
      <c r="B139" s="64"/>
      <c r="C139" s="64"/>
      <c r="D139" s="64"/>
      <c r="E139" s="64"/>
      <c r="F139" s="64"/>
      <c r="G139" s="64"/>
      <c r="H139" s="64"/>
      <c r="I139" s="64"/>
      <c r="J139" s="64"/>
      <c r="K139" s="64"/>
      <c r="L139" s="64"/>
      <c r="M139" s="64"/>
      <c r="N139" s="65"/>
      <c r="O139" s="65"/>
      <c r="P139" s="64"/>
      <c r="Q139" s="64"/>
      <c r="R139" s="64"/>
      <c r="S139" s="64"/>
      <c r="T139" s="64"/>
      <c r="U139" s="64"/>
      <c r="V139" s="64"/>
      <c r="W139" s="64"/>
      <c r="X139" s="64"/>
      <c r="Y139" s="64"/>
      <c r="Z139" s="64"/>
    </row>
    <row r="140" spans="1:26" x14ac:dyDescent="0.25">
      <c r="A140" s="64"/>
      <c r="B140" s="64"/>
      <c r="C140" s="64"/>
      <c r="D140" s="64"/>
      <c r="E140" s="64"/>
      <c r="F140" s="64"/>
      <c r="G140" s="64"/>
      <c r="H140" s="64"/>
      <c r="I140" s="64"/>
      <c r="J140" s="64"/>
      <c r="K140" s="64"/>
      <c r="L140" s="64"/>
      <c r="M140" s="64"/>
      <c r="N140" s="65"/>
      <c r="O140" s="65"/>
      <c r="P140" s="64"/>
      <c r="Q140" s="64"/>
      <c r="R140" s="64"/>
      <c r="S140" s="64"/>
      <c r="T140" s="64"/>
      <c r="U140" s="64"/>
      <c r="V140" s="64"/>
      <c r="W140" s="64"/>
      <c r="X140" s="64"/>
      <c r="Y140" s="64"/>
      <c r="Z140" s="64"/>
    </row>
    <row r="141" spans="1:26" x14ac:dyDescent="0.25">
      <c r="A141" s="64"/>
      <c r="B141" s="64"/>
      <c r="C141" s="64"/>
      <c r="D141" s="64"/>
      <c r="E141" s="64"/>
      <c r="F141" s="64"/>
      <c r="G141" s="64"/>
      <c r="H141" s="64"/>
      <c r="I141" s="64"/>
      <c r="J141" s="64"/>
      <c r="K141" s="64"/>
      <c r="L141" s="64"/>
      <c r="M141" s="64"/>
      <c r="N141" s="65"/>
      <c r="O141" s="65"/>
      <c r="P141" s="64"/>
      <c r="Q141" s="64"/>
      <c r="R141" s="64"/>
      <c r="S141" s="64"/>
      <c r="T141" s="64"/>
      <c r="U141" s="64"/>
      <c r="V141" s="64"/>
      <c r="W141" s="64"/>
      <c r="X141" s="64"/>
      <c r="Y141" s="64"/>
      <c r="Z141" s="64"/>
    </row>
    <row r="142" spans="1:26" x14ac:dyDescent="0.25">
      <c r="A142" s="64"/>
      <c r="B142" s="64"/>
      <c r="C142" s="64"/>
      <c r="D142" s="64"/>
      <c r="E142" s="64"/>
      <c r="F142" s="64"/>
      <c r="G142" s="64"/>
      <c r="H142" s="64"/>
      <c r="I142" s="64"/>
      <c r="J142" s="64"/>
      <c r="K142" s="64"/>
      <c r="L142" s="64"/>
      <c r="M142" s="64"/>
      <c r="N142" s="65"/>
      <c r="O142" s="65"/>
      <c r="P142" s="64"/>
      <c r="Q142" s="64"/>
      <c r="R142" s="64"/>
      <c r="S142" s="64"/>
      <c r="T142" s="64"/>
      <c r="U142" s="64"/>
      <c r="V142" s="64"/>
      <c r="W142" s="64"/>
      <c r="X142" s="64"/>
      <c r="Y142" s="64"/>
      <c r="Z142" s="64"/>
    </row>
    <row r="143" spans="1:26" x14ac:dyDescent="0.25">
      <c r="A143" s="64"/>
      <c r="B143" s="64"/>
      <c r="C143" s="64"/>
      <c r="D143" s="64"/>
      <c r="E143" s="64"/>
      <c r="F143" s="64"/>
      <c r="G143" s="64"/>
      <c r="H143" s="64"/>
      <c r="I143" s="64"/>
      <c r="J143" s="64"/>
      <c r="K143" s="64"/>
      <c r="L143" s="64"/>
      <c r="M143" s="64"/>
      <c r="N143" s="65"/>
      <c r="O143" s="65"/>
      <c r="P143" s="64"/>
      <c r="Q143" s="64"/>
      <c r="R143" s="64"/>
      <c r="S143" s="64"/>
      <c r="T143" s="64"/>
      <c r="U143" s="64"/>
      <c r="V143" s="64"/>
      <c r="W143" s="64"/>
      <c r="X143" s="64"/>
      <c r="Y143" s="64"/>
      <c r="Z143" s="64"/>
    </row>
    <row r="144" spans="1:26" x14ac:dyDescent="0.25">
      <c r="A144" s="64"/>
      <c r="B144" s="64"/>
      <c r="C144" s="64"/>
      <c r="D144" s="64"/>
      <c r="E144" s="64"/>
      <c r="F144" s="64"/>
      <c r="G144" s="64"/>
      <c r="H144" s="64"/>
      <c r="I144" s="64"/>
      <c r="J144" s="64"/>
      <c r="K144" s="64"/>
      <c r="L144" s="64"/>
      <c r="M144" s="64"/>
      <c r="N144" s="65"/>
      <c r="O144" s="65"/>
      <c r="P144" s="64"/>
      <c r="Q144" s="64"/>
      <c r="R144" s="64"/>
      <c r="S144" s="64"/>
      <c r="T144" s="64"/>
      <c r="U144" s="64"/>
      <c r="V144" s="64"/>
      <c r="W144" s="64"/>
      <c r="X144" s="64"/>
      <c r="Y144" s="64"/>
      <c r="Z144" s="64"/>
    </row>
    <row r="145" spans="1:26" x14ac:dyDescent="0.25">
      <c r="A145" s="64"/>
      <c r="B145" s="64"/>
      <c r="C145" s="64"/>
      <c r="D145" s="64"/>
      <c r="E145" s="64"/>
      <c r="F145" s="64"/>
      <c r="G145" s="64"/>
      <c r="H145" s="64"/>
      <c r="I145" s="64"/>
      <c r="J145" s="64"/>
      <c r="K145" s="64"/>
      <c r="L145" s="64"/>
      <c r="M145" s="64"/>
      <c r="N145" s="65"/>
      <c r="O145" s="65"/>
      <c r="P145" s="64"/>
      <c r="Q145" s="64"/>
      <c r="R145" s="64"/>
      <c r="S145" s="64"/>
      <c r="T145" s="64"/>
      <c r="U145" s="64"/>
      <c r="V145" s="64"/>
      <c r="W145" s="64"/>
      <c r="X145" s="64"/>
      <c r="Y145" s="64"/>
      <c r="Z145" s="64"/>
    </row>
    <row r="146" spans="1:26" x14ac:dyDescent="0.25">
      <c r="A146" s="64"/>
      <c r="B146" s="64"/>
      <c r="C146" s="64"/>
      <c r="D146" s="64"/>
      <c r="E146" s="64"/>
      <c r="F146" s="64"/>
      <c r="G146" s="64"/>
      <c r="H146" s="64"/>
      <c r="I146" s="64"/>
      <c r="J146" s="64"/>
      <c r="K146" s="64"/>
      <c r="L146" s="64"/>
      <c r="M146" s="64"/>
      <c r="N146" s="65"/>
      <c r="O146" s="65"/>
      <c r="P146" s="64"/>
      <c r="Q146" s="64"/>
      <c r="R146" s="64"/>
      <c r="S146" s="64"/>
      <c r="T146" s="64"/>
      <c r="U146" s="64"/>
      <c r="V146" s="64"/>
      <c r="W146" s="64"/>
      <c r="X146" s="64"/>
      <c r="Y146" s="64"/>
      <c r="Z146" s="64"/>
    </row>
    <row r="147" spans="1:26" x14ac:dyDescent="0.25">
      <c r="A147" s="64"/>
      <c r="B147" s="64"/>
      <c r="C147" s="64"/>
      <c r="D147" s="64"/>
      <c r="E147" s="64"/>
      <c r="F147" s="64"/>
      <c r="G147" s="64"/>
      <c r="H147" s="64"/>
      <c r="I147" s="64"/>
      <c r="J147" s="64"/>
      <c r="K147" s="64"/>
      <c r="L147" s="64"/>
      <c r="M147" s="64"/>
      <c r="N147" s="65"/>
      <c r="O147" s="65"/>
      <c r="P147" s="64"/>
      <c r="Q147" s="64"/>
      <c r="R147" s="64"/>
      <c r="S147" s="64"/>
      <c r="T147" s="64"/>
      <c r="U147" s="64"/>
      <c r="V147" s="64"/>
      <c r="W147" s="64"/>
      <c r="X147" s="64"/>
      <c r="Y147" s="64"/>
      <c r="Z147" s="64"/>
    </row>
    <row r="148" spans="1:26" x14ac:dyDescent="0.25">
      <c r="A148" s="64"/>
      <c r="B148" s="64"/>
      <c r="C148" s="64"/>
      <c r="D148" s="64"/>
      <c r="E148" s="64"/>
      <c r="F148" s="64"/>
      <c r="G148" s="64"/>
      <c r="H148" s="64"/>
      <c r="I148" s="64"/>
      <c r="J148" s="64"/>
      <c r="K148" s="64"/>
      <c r="L148" s="64"/>
      <c r="M148" s="64"/>
      <c r="N148" s="65"/>
      <c r="O148" s="65"/>
      <c r="P148" s="64"/>
      <c r="Q148" s="64"/>
      <c r="R148" s="64"/>
      <c r="S148" s="64"/>
      <c r="T148" s="64"/>
      <c r="U148" s="64"/>
      <c r="V148" s="64"/>
      <c r="W148" s="64"/>
      <c r="X148" s="64"/>
      <c r="Y148" s="64"/>
      <c r="Z148" s="64"/>
    </row>
    <row r="149" spans="1:26" x14ac:dyDescent="0.25">
      <c r="A149" s="64"/>
      <c r="B149" s="64"/>
      <c r="C149" s="64"/>
      <c r="D149" s="64"/>
      <c r="E149" s="64"/>
      <c r="F149" s="64"/>
      <c r="G149" s="64"/>
      <c r="H149" s="64"/>
      <c r="I149" s="64"/>
      <c r="J149" s="64"/>
      <c r="K149" s="64"/>
      <c r="L149" s="64"/>
      <c r="M149" s="64"/>
      <c r="N149" s="65"/>
      <c r="O149" s="65"/>
      <c r="P149" s="64"/>
      <c r="Q149" s="64"/>
      <c r="R149" s="64"/>
      <c r="S149" s="64"/>
      <c r="T149" s="64"/>
      <c r="U149" s="64"/>
      <c r="V149" s="64"/>
      <c r="W149" s="64"/>
      <c r="X149" s="64"/>
      <c r="Y149" s="64"/>
      <c r="Z149" s="64"/>
    </row>
    <row r="150" spans="1:26" x14ac:dyDescent="0.25">
      <c r="A150" s="64"/>
      <c r="B150" s="64"/>
      <c r="C150" s="64"/>
      <c r="D150" s="64"/>
      <c r="E150" s="64"/>
      <c r="F150" s="64"/>
      <c r="G150" s="64"/>
      <c r="H150" s="64"/>
      <c r="I150" s="64"/>
      <c r="J150" s="64"/>
      <c r="K150" s="64"/>
      <c r="L150" s="64"/>
      <c r="M150" s="64"/>
      <c r="N150" s="65"/>
      <c r="O150" s="65"/>
      <c r="P150" s="64"/>
      <c r="Q150" s="64"/>
      <c r="R150" s="64"/>
      <c r="S150" s="64"/>
      <c r="T150" s="64"/>
      <c r="U150" s="64"/>
      <c r="V150" s="64"/>
      <c r="W150" s="64"/>
      <c r="X150" s="64"/>
      <c r="Y150" s="64"/>
      <c r="Z150" s="64"/>
    </row>
    <row r="151" spans="1:26" x14ac:dyDescent="0.25">
      <c r="A151" s="64"/>
      <c r="B151" s="64"/>
      <c r="C151" s="64"/>
      <c r="D151" s="64"/>
      <c r="E151" s="64"/>
      <c r="F151" s="64"/>
      <c r="G151" s="64"/>
      <c r="H151" s="64"/>
      <c r="I151" s="64"/>
      <c r="J151" s="64"/>
      <c r="K151" s="64"/>
      <c r="L151" s="64"/>
      <c r="M151" s="64"/>
      <c r="N151" s="65"/>
      <c r="O151" s="65"/>
      <c r="P151" s="64"/>
      <c r="Q151" s="64"/>
      <c r="R151" s="64"/>
      <c r="S151" s="64"/>
      <c r="T151" s="64"/>
      <c r="U151" s="64"/>
      <c r="V151" s="64"/>
      <c r="W151" s="64"/>
      <c r="X151" s="64"/>
      <c r="Y151" s="64"/>
      <c r="Z151" s="64"/>
    </row>
    <row r="152" spans="1:26" x14ac:dyDescent="0.25">
      <c r="A152" s="64"/>
      <c r="B152" s="64"/>
      <c r="C152" s="64"/>
      <c r="D152" s="64"/>
      <c r="E152" s="64"/>
      <c r="F152" s="64"/>
      <c r="G152" s="64"/>
      <c r="H152" s="64"/>
      <c r="I152" s="64"/>
      <c r="J152" s="64"/>
      <c r="K152" s="64"/>
      <c r="L152" s="64"/>
      <c r="M152" s="64"/>
      <c r="N152" s="65"/>
      <c r="O152" s="65"/>
      <c r="P152" s="64"/>
      <c r="Q152" s="64"/>
      <c r="R152" s="64"/>
      <c r="S152" s="64"/>
      <c r="T152" s="64"/>
      <c r="U152" s="64"/>
      <c r="V152" s="64"/>
      <c r="W152" s="64"/>
      <c r="X152" s="64"/>
      <c r="Y152" s="64"/>
      <c r="Z152" s="64"/>
    </row>
    <row r="153" spans="1:26" x14ac:dyDescent="0.25">
      <c r="A153" s="64"/>
      <c r="B153" s="64"/>
      <c r="C153" s="64"/>
      <c r="D153" s="64"/>
      <c r="E153" s="64"/>
      <c r="F153" s="64"/>
      <c r="G153" s="64"/>
      <c r="H153" s="64"/>
      <c r="I153" s="64"/>
      <c r="J153" s="64"/>
      <c r="K153" s="64"/>
      <c r="L153" s="64"/>
      <c r="M153" s="64"/>
      <c r="N153" s="65"/>
      <c r="O153" s="65"/>
      <c r="P153" s="64"/>
      <c r="Q153" s="64"/>
      <c r="R153" s="64"/>
      <c r="S153" s="64"/>
      <c r="T153" s="64"/>
      <c r="U153" s="64"/>
      <c r="V153" s="64"/>
      <c r="W153" s="64"/>
      <c r="X153" s="64"/>
      <c r="Y153" s="64"/>
      <c r="Z153" s="64"/>
    </row>
    <row r="154" spans="1:26" x14ac:dyDescent="0.25">
      <c r="A154" s="64"/>
      <c r="B154" s="64"/>
      <c r="C154" s="64"/>
      <c r="D154" s="64"/>
      <c r="E154" s="64"/>
      <c r="F154" s="64"/>
      <c r="G154" s="64"/>
      <c r="H154" s="64"/>
      <c r="I154" s="64"/>
      <c r="J154" s="64"/>
      <c r="K154" s="64"/>
      <c r="L154" s="64"/>
      <c r="M154" s="64"/>
      <c r="N154" s="65"/>
      <c r="O154" s="65"/>
      <c r="P154" s="64"/>
      <c r="Q154" s="64"/>
      <c r="R154" s="64"/>
      <c r="S154" s="64"/>
      <c r="T154" s="64"/>
      <c r="U154" s="64"/>
      <c r="V154" s="64"/>
      <c r="W154" s="64"/>
      <c r="X154" s="64"/>
      <c r="Y154" s="64"/>
      <c r="Z154" s="64"/>
    </row>
    <row r="155" spans="1:26" x14ac:dyDescent="0.25">
      <c r="A155" s="64"/>
      <c r="B155" s="64"/>
      <c r="C155" s="64"/>
      <c r="D155" s="64"/>
      <c r="E155" s="64"/>
      <c r="F155" s="64"/>
      <c r="G155" s="64"/>
      <c r="H155" s="64"/>
      <c r="I155" s="64"/>
      <c r="J155" s="64"/>
      <c r="K155" s="64"/>
      <c r="L155" s="64"/>
      <c r="M155" s="64"/>
      <c r="N155" s="65"/>
      <c r="O155" s="65"/>
      <c r="P155" s="64"/>
      <c r="Q155" s="64"/>
      <c r="R155" s="64"/>
      <c r="S155" s="64"/>
      <c r="T155" s="64"/>
      <c r="U155" s="64"/>
      <c r="V155" s="64"/>
      <c r="W155" s="64"/>
      <c r="X155" s="64"/>
      <c r="Y155" s="64"/>
      <c r="Z155" s="64"/>
    </row>
    <row r="156" spans="1:26" x14ac:dyDescent="0.25">
      <c r="A156" s="64"/>
      <c r="B156" s="64"/>
      <c r="C156" s="64"/>
      <c r="D156" s="64"/>
      <c r="E156" s="64"/>
      <c r="F156" s="64"/>
      <c r="G156" s="64"/>
      <c r="H156" s="64"/>
      <c r="I156" s="64"/>
      <c r="J156" s="64"/>
      <c r="K156" s="64"/>
      <c r="L156" s="64"/>
      <c r="M156" s="64"/>
      <c r="N156" s="65"/>
      <c r="O156" s="65"/>
      <c r="P156" s="64"/>
      <c r="Q156" s="64"/>
      <c r="R156" s="64"/>
      <c r="S156" s="64"/>
      <c r="T156" s="64"/>
      <c r="U156" s="64"/>
      <c r="V156" s="64"/>
      <c r="W156" s="64"/>
      <c r="X156" s="64"/>
      <c r="Y156" s="64"/>
      <c r="Z156" s="64"/>
    </row>
    <row r="157" spans="1:26" x14ac:dyDescent="0.25">
      <c r="A157" s="64"/>
      <c r="B157" s="64"/>
      <c r="C157" s="64"/>
      <c r="D157" s="64"/>
      <c r="E157" s="64"/>
      <c r="F157" s="64"/>
      <c r="G157" s="64"/>
      <c r="H157" s="64"/>
      <c r="I157" s="64"/>
      <c r="J157" s="64"/>
      <c r="K157" s="64"/>
      <c r="L157" s="64"/>
      <c r="M157" s="64"/>
      <c r="N157" s="65"/>
      <c r="O157" s="65"/>
      <c r="P157" s="64"/>
      <c r="Q157" s="64"/>
      <c r="R157" s="64"/>
      <c r="S157" s="64"/>
      <c r="T157" s="64"/>
      <c r="U157" s="64"/>
      <c r="V157" s="64"/>
      <c r="W157" s="64"/>
      <c r="X157" s="64"/>
      <c r="Y157" s="64"/>
      <c r="Z157" s="64"/>
    </row>
    <row r="158" spans="1:26" x14ac:dyDescent="0.25">
      <c r="A158" s="64"/>
      <c r="B158" s="64"/>
      <c r="C158" s="64"/>
      <c r="D158" s="64"/>
      <c r="E158" s="64"/>
      <c r="F158" s="64"/>
      <c r="G158" s="64"/>
      <c r="H158" s="64"/>
      <c r="I158" s="64"/>
      <c r="J158" s="64"/>
      <c r="K158" s="64"/>
      <c r="L158" s="64"/>
      <c r="M158" s="64"/>
      <c r="N158" s="65"/>
      <c r="O158" s="65"/>
      <c r="P158" s="64"/>
      <c r="Q158" s="64"/>
      <c r="R158" s="64"/>
      <c r="S158" s="64"/>
      <c r="T158" s="64"/>
      <c r="U158" s="64"/>
      <c r="V158" s="64"/>
      <c r="W158" s="64"/>
      <c r="X158" s="64"/>
      <c r="Y158" s="64"/>
      <c r="Z158" s="64"/>
    </row>
    <row r="159" spans="1:26" x14ac:dyDescent="0.25">
      <c r="A159" s="64"/>
      <c r="B159" s="64"/>
      <c r="C159" s="64"/>
      <c r="D159" s="64"/>
      <c r="E159" s="64"/>
      <c r="F159" s="64"/>
      <c r="G159" s="64"/>
      <c r="H159" s="64"/>
      <c r="I159" s="64"/>
      <c r="J159" s="64"/>
      <c r="K159" s="64"/>
      <c r="L159" s="64"/>
      <c r="M159" s="64"/>
      <c r="N159" s="65"/>
      <c r="O159" s="65"/>
      <c r="P159" s="64"/>
      <c r="Q159" s="64"/>
      <c r="R159" s="64"/>
      <c r="S159" s="64"/>
      <c r="T159" s="64"/>
      <c r="U159" s="64"/>
      <c r="V159" s="64"/>
      <c r="W159" s="64"/>
      <c r="X159" s="64"/>
      <c r="Y159" s="64"/>
      <c r="Z159" s="64"/>
    </row>
    <row r="160" spans="1:26" x14ac:dyDescent="0.25">
      <c r="A160" s="64"/>
      <c r="B160" s="64"/>
      <c r="C160" s="64"/>
      <c r="D160" s="64"/>
      <c r="E160" s="64"/>
      <c r="F160" s="64"/>
      <c r="G160" s="64"/>
      <c r="H160" s="64"/>
      <c r="I160" s="64"/>
      <c r="J160" s="64"/>
      <c r="K160" s="64"/>
      <c r="L160" s="64"/>
      <c r="M160" s="64"/>
      <c r="N160" s="65"/>
      <c r="O160" s="65"/>
      <c r="P160" s="64"/>
      <c r="Q160" s="64"/>
      <c r="R160" s="64"/>
      <c r="S160" s="64"/>
      <c r="T160" s="64"/>
      <c r="U160" s="64"/>
      <c r="V160" s="64"/>
      <c r="W160" s="64"/>
      <c r="X160" s="64"/>
      <c r="Y160" s="64"/>
      <c r="Z160" s="64"/>
    </row>
    <row r="161" spans="1:26" x14ac:dyDescent="0.25">
      <c r="A161" s="64"/>
      <c r="B161" s="64"/>
      <c r="C161" s="64"/>
      <c r="D161" s="64"/>
      <c r="E161" s="64"/>
      <c r="F161" s="64"/>
      <c r="G161" s="64"/>
      <c r="H161" s="64"/>
      <c r="I161" s="64"/>
      <c r="J161" s="64"/>
      <c r="K161" s="64"/>
      <c r="L161" s="64"/>
      <c r="M161" s="64"/>
      <c r="N161" s="65"/>
      <c r="O161" s="65"/>
      <c r="P161" s="64"/>
      <c r="Q161" s="64"/>
      <c r="R161" s="64"/>
      <c r="S161" s="64"/>
      <c r="T161" s="64"/>
      <c r="U161" s="64"/>
      <c r="V161" s="64"/>
      <c r="W161" s="64"/>
      <c r="X161" s="64"/>
      <c r="Y161" s="64"/>
      <c r="Z161" s="64"/>
    </row>
    <row r="162" spans="1:26" x14ac:dyDescent="0.25">
      <c r="A162" s="64"/>
      <c r="B162" s="64"/>
      <c r="C162" s="64"/>
      <c r="D162" s="64"/>
      <c r="E162" s="64"/>
      <c r="F162" s="64"/>
      <c r="G162" s="64"/>
      <c r="H162" s="64"/>
      <c r="I162" s="64"/>
      <c r="J162" s="64"/>
      <c r="K162" s="64"/>
      <c r="L162" s="64"/>
      <c r="M162" s="64"/>
      <c r="N162" s="65"/>
      <c r="O162" s="65"/>
      <c r="P162" s="64"/>
      <c r="Q162" s="64"/>
      <c r="R162" s="64"/>
      <c r="S162" s="64"/>
      <c r="T162" s="64"/>
      <c r="U162" s="64"/>
      <c r="V162" s="64"/>
      <c r="W162" s="64"/>
      <c r="X162" s="64"/>
      <c r="Y162" s="64"/>
      <c r="Z162" s="64"/>
    </row>
    <row r="163" spans="1:26" x14ac:dyDescent="0.25">
      <c r="A163" s="64"/>
      <c r="B163" s="64"/>
      <c r="C163" s="64"/>
      <c r="D163" s="64"/>
      <c r="E163" s="64"/>
      <c r="F163" s="64"/>
      <c r="G163" s="64"/>
      <c r="H163" s="64"/>
      <c r="I163" s="64"/>
      <c r="J163" s="64"/>
      <c r="K163" s="64"/>
      <c r="L163" s="64"/>
      <c r="M163" s="64"/>
      <c r="N163" s="65"/>
      <c r="O163" s="65"/>
      <c r="P163" s="64"/>
      <c r="Q163" s="64"/>
      <c r="R163" s="64"/>
      <c r="S163" s="64"/>
      <c r="T163" s="64"/>
      <c r="U163" s="64"/>
      <c r="V163" s="64"/>
      <c r="W163" s="64"/>
      <c r="X163" s="64"/>
      <c r="Y163" s="64"/>
      <c r="Z163" s="64"/>
    </row>
    <row r="164" spans="1:26" x14ac:dyDescent="0.25">
      <c r="A164" s="64"/>
      <c r="B164" s="64"/>
      <c r="C164" s="64"/>
      <c r="D164" s="64"/>
      <c r="E164" s="64"/>
      <c r="F164" s="64"/>
      <c r="G164" s="64"/>
      <c r="H164" s="64"/>
      <c r="I164" s="64"/>
      <c r="J164" s="64"/>
      <c r="K164" s="64"/>
      <c r="L164" s="64"/>
      <c r="M164" s="64"/>
      <c r="N164" s="65"/>
      <c r="O164" s="65"/>
      <c r="P164" s="64"/>
      <c r="Q164" s="64"/>
      <c r="R164" s="64"/>
      <c r="S164" s="64"/>
      <c r="T164" s="64"/>
      <c r="U164" s="64"/>
      <c r="V164" s="64"/>
      <c r="W164" s="64"/>
      <c r="X164" s="64"/>
      <c r="Y164" s="64"/>
      <c r="Z164" s="64"/>
    </row>
    <row r="165" spans="1:26" x14ac:dyDescent="0.25">
      <c r="A165" s="64"/>
      <c r="B165" s="64"/>
      <c r="C165" s="64"/>
      <c r="D165" s="64"/>
      <c r="E165" s="64"/>
      <c r="F165" s="64"/>
      <c r="G165" s="64"/>
      <c r="H165" s="64"/>
      <c r="I165" s="64"/>
      <c r="J165" s="64"/>
      <c r="K165" s="64"/>
      <c r="L165" s="64"/>
      <c r="M165" s="64"/>
      <c r="N165" s="65"/>
      <c r="O165" s="65"/>
      <c r="P165" s="64"/>
      <c r="Q165" s="64"/>
      <c r="R165" s="64"/>
      <c r="S165" s="64"/>
      <c r="T165" s="64"/>
      <c r="U165" s="64"/>
      <c r="V165" s="64"/>
      <c r="W165" s="64"/>
      <c r="X165" s="64"/>
      <c r="Y165" s="64"/>
      <c r="Z165" s="64"/>
    </row>
    <row r="166" spans="1:26" x14ac:dyDescent="0.25">
      <c r="A166" s="64"/>
      <c r="B166" s="64"/>
      <c r="C166" s="64"/>
      <c r="D166" s="64"/>
      <c r="E166" s="64"/>
      <c r="F166" s="64"/>
      <c r="G166" s="64"/>
      <c r="H166" s="64"/>
      <c r="I166" s="64"/>
      <c r="J166" s="64"/>
      <c r="K166" s="64"/>
      <c r="L166" s="64"/>
      <c r="M166" s="64"/>
      <c r="N166" s="65"/>
      <c r="O166" s="65"/>
      <c r="P166" s="64"/>
      <c r="Q166" s="64"/>
      <c r="R166" s="64"/>
      <c r="S166" s="64"/>
      <c r="T166" s="64"/>
      <c r="U166" s="64"/>
      <c r="V166" s="64"/>
      <c r="W166" s="64"/>
      <c r="X166" s="64"/>
      <c r="Y166" s="64"/>
      <c r="Z166" s="64"/>
    </row>
    <row r="167" spans="1:26" x14ac:dyDescent="0.25">
      <c r="A167" s="64"/>
      <c r="B167" s="64"/>
      <c r="C167" s="64"/>
      <c r="D167" s="64"/>
      <c r="E167" s="64"/>
      <c r="F167" s="64"/>
      <c r="G167" s="64"/>
      <c r="H167" s="64"/>
      <c r="I167" s="64"/>
      <c r="J167" s="64"/>
      <c r="K167" s="64"/>
      <c r="L167" s="64"/>
      <c r="M167" s="64"/>
      <c r="N167" s="65"/>
      <c r="O167" s="65"/>
      <c r="P167" s="64"/>
      <c r="Q167" s="64"/>
      <c r="R167" s="64"/>
      <c r="S167" s="64"/>
      <c r="T167" s="64"/>
      <c r="U167" s="64"/>
      <c r="V167" s="64"/>
      <c r="W167" s="64"/>
      <c r="X167" s="64"/>
      <c r="Y167" s="64"/>
      <c r="Z167" s="64"/>
    </row>
    <row r="168" spans="1:26" x14ac:dyDescent="0.25">
      <c r="A168" s="64"/>
      <c r="B168" s="64"/>
      <c r="C168" s="64"/>
      <c r="D168" s="64"/>
      <c r="E168" s="64"/>
      <c r="F168" s="64"/>
      <c r="G168" s="64"/>
      <c r="H168" s="64"/>
      <c r="I168" s="64"/>
      <c r="J168" s="64"/>
      <c r="K168" s="64"/>
      <c r="L168" s="64"/>
      <c r="M168" s="64"/>
      <c r="N168" s="65"/>
      <c r="O168" s="65"/>
      <c r="P168" s="64"/>
      <c r="Q168" s="64"/>
      <c r="R168" s="64"/>
      <c r="S168" s="64"/>
      <c r="T168" s="64"/>
      <c r="U168" s="64"/>
      <c r="V168" s="64"/>
      <c r="W168" s="64"/>
      <c r="X168" s="64"/>
      <c r="Y168" s="64"/>
      <c r="Z168" s="64"/>
    </row>
    <row r="169" spans="1:26" x14ac:dyDescent="0.25">
      <c r="A169" s="64"/>
      <c r="B169" s="64"/>
      <c r="C169" s="64"/>
      <c r="D169" s="64"/>
      <c r="E169" s="64"/>
      <c r="F169" s="64"/>
      <c r="G169" s="64"/>
      <c r="H169" s="64"/>
      <c r="I169" s="64"/>
      <c r="J169" s="64"/>
      <c r="K169" s="64"/>
      <c r="L169" s="64"/>
      <c r="M169" s="64"/>
      <c r="N169" s="65"/>
      <c r="O169" s="65"/>
      <c r="P169" s="64"/>
      <c r="Q169" s="64"/>
      <c r="R169" s="64"/>
      <c r="S169" s="64"/>
      <c r="T169" s="64"/>
      <c r="U169" s="64"/>
      <c r="V169" s="64"/>
      <c r="W169" s="64"/>
      <c r="X169" s="64"/>
      <c r="Y169" s="64"/>
      <c r="Z169" s="64"/>
    </row>
    <row r="170" spans="1:26" x14ac:dyDescent="0.25">
      <c r="A170" s="64"/>
      <c r="B170" s="64"/>
      <c r="C170" s="64"/>
      <c r="D170" s="64"/>
      <c r="E170" s="64"/>
      <c r="F170" s="64"/>
      <c r="G170" s="64"/>
      <c r="H170" s="64"/>
      <c r="I170" s="64"/>
      <c r="J170" s="64"/>
      <c r="K170" s="64"/>
      <c r="L170" s="64"/>
      <c r="M170" s="64"/>
      <c r="N170" s="65"/>
      <c r="O170" s="65"/>
      <c r="P170" s="64"/>
      <c r="Q170" s="64"/>
      <c r="R170" s="64"/>
      <c r="S170" s="64"/>
      <c r="T170" s="64"/>
      <c r="U170" s="64"/>
      <c r="V170" s="64"/>
      <c r="W170" s="64"/>
      <c r="X170" s="64"/>
      <c r="Y170" s="64"/>
      <c r="Z170" s="64"/>
    </row>
    <row r="171" spans="1:26" x14ac:dyDescent="0.25">
      <c r="A171" s="64"/>
      <c r="B171" s="64"/>
      <c r="C171" s="64"/>
      <c r="D171" s="64"/>
      <c r="E171" s="64"/>
      <c r="F171" s="64"/>
      <c r="G171" s="64"/>
      <c r="H171" s="64"/>
      <c r="I171" s="64"/>
      <c r="J171" s="64"/>
      <c r="K171" s="64"/>
      <c r="L171" s="64"/>
      <c r="M171" s="64"/>
      <c r="N171" s="65"/>
      <c r="O171" s="65"/>
      <c r="P171" s="64"/>
      <c r="Q171" s="64"/>
      <c r="R171" s="64"/>
      <c r="S171" s="64"/>
      <c r="T171" s="64"/>
      <c r="U171" s="64"/>
      <c r="V171" s="64"/>
      <c r="W171" s="64"/>
      <c r="X171" s="64"/>
      <c r="Y171" s="64"/>
      <c r="Z171" s="64"/>
    </row>
    <row r="172" spans="1:26" x14ac:dyDescent="0.25">
      <c r="A172" s="64"/>
      <c r="B172" s="64"/>
      <c r="C172" s="64"/>
      <c r="D172" s="64"/>
      <c r="E172" s="64"/>
      <c r="F172" s="64"/>
      <c r="G172" s="64"/>
      <c r="H172" s="64"/>
      <c r="I172" s="64"/>
      <c r="J172" s="64"/>
      <c r="K172" s="64"/>
      <c r="L172" s="64"/>
      <c r="M172" s="64"/>
      <c r="N172" s="65"/>
      <c r="O172" s="65"/>
      <c r="P172" s="64"/>
      <c r="Q172" s="64"/>
      <c r="R172" s="64"/>
      <c r="S172" s="64"/>
      <c r="T172" s="64"/>
      <c r="U172" s="64"/>
      <c r="V172" s="64"/>
      <c r="W172" s="64"/>
      <c r="X172" s="64"/>
      <c r="Y172" s="64"/>
      <c r="Z172" s="64"/>
    </row>
    <row r="173" spans="1:26" x14ac:dyDescent="0.25">
      <c r="A173" s="64"/>
      <c r="B173" s="64"/>
      <c r="C173" s="64"/>
      <c r="D173" s="64"/>
      <c r="E173" s="64"/>
      <c r="F173" s="64"/>
      <c r="G173" s="64"/>
      <c r="H173" s="64"/>
      <c r="I173" s="64"/>
      <c r="J173" s="64"/>
      <c r="K173" s="64"/>
      <c r="L173" s="64"/>
      <c r="M173" s="64"/>
      <c r="N173" s="65"/>
      <c r="O173" s="65"/>
      <c r="P173" s="64"/>
      <c r="Q173" s="64"/>
      <c r="R173" s="64"/>
      <c r="S173" s="64"/>
      <c r="T173" s="64"/>
      <c r="U173" s="64"/>
      <c r="V173" s="64"/>
      <c r="W173" s="64"/>
      <c r="X173" s="64"/>
      <c r="Y173" s="64"/>
      <c r="Z173" s="64"/>
    </row>
    <row r="174" spans="1:26" x14ac:dyDescent="0.25">
      <c r="A174" s="64"/>
      <c r="B174" s="64"/>
      <c r="C174" s="64"/>
      <c r="D174" s="64"/>
      <c r="E174" s="64"/>
      <c r="F174" s="64"/>
      <c r="G174" s="64"/>
      <c r="H174" s="64"/>
      <c r="I174" s="64"/>
      <c r="J174" s="64"/>
      <c r="K174" s="64"/>
      <c r="L174" s="64"/>
      <c r="M174" s="64"/>
      <c r="N174" s="65"/>
      <c r="O174" s="65"/>
      <c r="P174" s="64"/>
      <c r="Q174" s="64"/>
      <c r="R174" s="64"/>
      <c r="S174" s="64"/>
      <c r="T174" s="64"/>
      <c r="U174" s="64"/>
      <c r="V174" s="64"/>
      <c r="W174" s="64"/>
      <c r="X174" s="64"/>
      <c r="Y174" s="64"/>
      <c r="Z174" s="64"/>
    </row>
    <row r="175" spans="1:26" x14ac:dyDescent="0.25">
      <c r="A175" s="64"/>
      <c r="B175" s="64"/>
      <c r="C175" s="64"/>
      <c r="D175" s="64"/>
      <c r="E175" s="64"/>
      <c r="F175" s="64"/>
      <c r="G175" s="64"/>
      <c r="H175" s="64"/>
      <c r="I175" s="64"/>
      <c r="J175" s="64"/>
      <c r="K175" s="64"/>
      <c r="L175" s="64"/>
      <c r="M175" s="64"/>
      <c r="N175" s="65"/>
      <c r="O175" s="65"/>
      <c r="P175" s="64"/>
      <c r="Q175" s="64"/>
      <c r="R175" s="64"/>
      <c r="S175" s="64"/>
      <c r="T175" s="64"/>
      <c r="U175" s="64"/>
      <c r="V175" s="64"/>
      <c r="W175" s="64"/>
      <c r="X175" s="64"/>
      <c r="Y175" s="64"/>
      <c r="Z175" s="64"/>
    </row>
    <row r="176" spans="1:26" x14ac:dyDescent="0.25">
      <c r="A176" s="64"/>
      <c r="B176" s="64"/>
      <c r="C176" s="64"/>
      <c r="D176" s="64"/>
      <c r="E176" s="64"/>
      <c r="F176" s="64"/>
      <c r="G176" s="64"/>
      <c r="H176" s="64"/>
      <c r="I176" s="64"/>
      <c r="J176" s="64"/>
      <c r="K176" s="64"/>
      <c r="L176" s="64"/>
      <c r="M176" s="64"/>
      <c r="N176" s="65"/>
      <c r="O176" s="65"/>
      <c r="P176" s="64"/>
      <c r="Q176" s="64"/>
      <c r="R176" s="64"/>
      <c r="S176" s="64"/>
      <c r="T176" s="64"/>
      <c r="U176" s="64"/>
      <c r="V176" s="64"/>
      <c r="W176" s="64"/>
      <c r="X176" s="64"/>
      <c r="Y176" s="64"/>
      <c r="Z176" s="64"/>
    </row>
    <row r="177" spans="1:26" x14ac:dyDescent="0.25">
      <c r="A177" s="64"/>
      <c r="B177" s="64"/>
      <c r="C177" s="64"/>
      <c r="D177" s="64"/>
      <c r="E177" s="64"/>
      <c r="F177" s="64"/>
      <c r="G177" s="64"/>
      <c r="H177" s="64"/>
      <c r="I177" s="64"/>
      <c r="J177" s="64"/>
      <c r="K177" s="64"/>
      <c r="L177" s="64"/>
      <c r="M177" s="64"/>
      <c r="N177" s="65"/>
      <c r="O177" s="65"/>
      <c r="P177" s="64"/>
      <c r="Q177" s="64"/>
      <c r="R177" s="64"/>
      <c r="S177" s="64"/>
      <c r="T177" s="64"/>
      <c r="U177" s="64"/>
      <c r="V177" s="64"/>
      <c r="W177" s="64"/>
      <c r="X177" s="64"/>
      <c r="Y177" s="64"/>
      <c r="Z177" s="64"/>
    </row>
    <row r="178" spans="1:26" x14ac:dyDescent="0.25">
      <c r="A178" s="64"/>
      <c r="B178" s="64"/>
      <c r="C178" s="64"/>
      <c r="D178" s="64"/>
      <c r="E178" s="64"/>
      <c r="F178" s="64"/>
      <c r="G178" s="64"/>
      <c r="H178" s="64"/>
      <c r="I178" s="64"/>
      <c r="J178" s="64"/>
      <c r="K178" s="64"/>
      <c r="L178" s="64"/>
      <c r="M178" s="64"/>
      <c r="N178" s="65"/>
      <c r="O178" s="65"/>
      <c r="P178" s="64"/>
      <c r="Q178" s="64"/>
      <c r="R178" s="64"/>
      <c r="S178" s="64"/>
      <c r="T178" s="64"/>
      <c r="U178" s="64"/>
      <c r="V178" s="64"/>
      <c r="W178" s="64"/>
      <c r="X178" s="64"/>
      <c r="Y178" s="64"/>
      <c r="Z178" s="64"/>
    </row>
    <row r="179" spans="1:26" x14ac:dyDescent="0.25">
      <c r="A179" s="64"/>
      <c r="B179" s="64"/>
      <c r="C179" s="64"/>
      <c r="D179" s="64"/>
      <c r="E179" s="64"/>
      <c r="F179" s="64"/>
      <c r="G179" s="64"/>
      <c r="H179" s="64"/>
      <c r="I179" s="64"/>
      <c r="J179" s="64"/>
      <c r="K179" s="64"/>
      <c r="L179" s="64"/>
      <c r="M179" s="64"/>
      <c r="N179" s="65"/>
      <c r="O179" s="65"/>
      <c r="P179" s="64"/>
      <c r="Q179" s="64"/>
      <c r="R179" s="64"/>
      <c r="S179" s="64"/>
      <c r="T179" s="64"/>
      <c r="U179" s="64"/>
      <c r="V179" s="64"/>
      <c r="W179" s="64"/>
      <c r="X179" s="64"/>
      <c r="Y179" s="64"/>
      <c r="Z179" s="64"/>
    </row>
    <row r="180" spans="1:26" x14ac:dyDescent="0.25">
      <c r="A180" s="64"/>
      <c r="B180" s="64"/>
      <c r="C180" s="64"/>
      <c r="D180" s="64"/>
      <c r="E180" s="64"/>
      <c r="F180" s="64"/>
      <c r="G180" s="64"/>
      <c r="H180" s="64"/>
      <c r="I180" s="64"/>
      <c r="J180" s="64"/>
      <c r="K180" s="64"/>
      <c r="L180" s="64"/>
      <c r="M180" s="64"/>
      <c r="N180" s="65"/>
      <c r="O180" s="65"/>
      <c r="P180" s="64"/>
      <c r="Q180" s="64"/>
      <c r="R180" s="64"/>
      <c r="S180" s="64"/>
      <c r="T180" s="64"/>
      <c r="U180" s="64"/>
      <c r="V180" s="64"/>
      <c r="W180" s="64"/>
      <c r="X180" s="64"/>
      <c r="Y180" s="64"/>
      <c r="Z180" s="64"/>
    </row>
    <row r="181" spans="1:26" x14ac:dyDescent="0.25">
      <c r="A181" s="64"/>
      <c r="B181" s="64"/>
      <c r="C181" s="64"/>
      <c r="D181" s="64"/>
      <c r="E181" s="64"/>
      <c r="F181" s="64"/>
      <c r="G181" s="64"/>
      <c r="H181" s="64"/>
      <c r="I181" s="64"/>
      <c r="J181" s="64"/>
      <c r="K181" s="64"/>
      <c r="L181" s="64"/>
      <c r="M181" s="64"/>
      <c r="N181" s="65"/>
      <c r="O181" s="65"/>
      <c r="P181" s="64"/>
      <c r="Q181" s="64"/>
      <c r="R181" s="64"/>
      <c r="S181" s="64"/>
      <c r="T181" s="64"/>
      <c r="U181" s="64"/>
      <c r="V181" s="64"/>
      <c r="W181" s="64"/>
      <c r="X181" s="64"/>
      <c r="Y181" s="64"/>
      <c r="Z181" s="64"/>
    </row>
    <row r="182" spans="1:26" x14ac:dyDescent="0.25">
      <c r="A182" s="64"/>
      <c r="B182" s="64"/>
      <c r="C182" s="64"/>
      <c r="D182" s="64"/>
      <c r="E182" s="64"/>
      <c r="F182" s="64"/>
      <c r="G182" s="64"/>
      <c r="H182" s="64"/>
      <c r="I182" s="64"/>
      <c r="J182" s="64"/>
      <c r="K182" s="64"/>
      <c r="L182" s="64"/>
      <c r="M182" s="64"/>
      <c r="N182" s="65"/>
      <c r="O182" s="65"/>
      <c r="P182" s="64"/>
      <c r="Q182" s="64"/>
      <c r="R182" s="64"/>
      <c r="S182" s="64"/>
      <c r="T182" s="64"/>
      <c r="U182" s="64"/>
      <c r="V182" s="64"/>
      <c r="W182" s="64"/>
      <c r="X182" s="64"/>
      <c r="Y182" s="64"/>
      <c r="Z182" s="64"/>
    </row>
    <row r="183" spans="1:26" x14ac:dyDescent="0.25">
      <c r="A183" s="64"/>
      <c r="B183" s="64"/>
      <c r="C183" s="64"/>
      <c r="D183" s="64"/>
      <c r="E183" s="64"/>
      <c r="F183" s="64"/>
      <c r="G183" s="64"/>
      <c r="H183" s="64"/>
      <c r="I183" s="64"/>
      <c r="J183" s="64"/>
      <c r="K183" s="64"/>
      <c r="L183" s="64"/>
      <c r="M183" s="64"/>
      <c r="N183" s="65"/>
      <c r="O183" s="65"/>
      <c r="P183" s="64"/>
      <c r="Q183" s="64"/>
      <c r="R183" s="64"/>
      <c r="S183" s="64"/>
      <c r="T183" s="64"/>
      <c r="U183" s="64"/>
      <c r="V183" s="64"/>
      <c r="W183" s="64"/>
      <c r="X183" s="64"/>
      <c r="Y183" s="64"/>
      <c r="Z183" s="64"/>
    </row>
    <row r="184" spans="1:26" x14ac:dyDescent="0.25">
      <c r="A184" s="64"/>
      <c r="B184" s="64"/>
      <c r="C184" s="64"/>
      <c r="D184" s="64"/>
      <c r="E184" s="64"/>
      <c r="F184" s="64"/>
      <c r="G184" s="64"/>
      <c r="H184" s="64"/>
      <c r="I184" s="64"/>
      <c r="J184" s="64"/>
      <c r="K184" s="64"/>
      <c r="L184" s="64"/>
      <c r="M184" s="64"/>
      <c r="N184" s="65"/>
      <c r="O184" s="65"/>
      <c r="P184" s="64"/>
      <c r="Q184" s="64"/>
      <c r="R184" s="64"/>
      <c r="S184" s="64"/>
      <c r="T184" s="64"/>
      <c r="U184" s="64"/>
      <c r="V184" s="64"/>
      <c r="W184" s="64"/>
      <c r="X184" s="64"/>
      <c r="Y184" s="64"/>
      <c r="Z184" s="64"/>
    </row>
    <row r="185" spans="1:26" x14ac:dyDescent="0.25">
      <c r="A185" s="64"/>
      <c r="B185" s="64"/>
      <c r="C185" s="64"/>
      <c r="D185" s="64"/>
      <c r="E185" s="64"/>
      <c r="F185" s="64"/>
      <c r="G185" s="64"/>
      <c r="H185" s="64"/>
      <c r="I185" s="64"/>
      <c r="J185" s="64"/>
      <c r="K185" s="64"/>
      <c r="L185" s="64"/>
      <c r="M185" s="64"/>
      <c r="N185" s="65"/>
      <c r="O185" s="65"/>
      <c r="P185" s="64"/>
      <c r="Q185" s="64"/>
      <c r="R185" s="64"/>
      <c r="S185" s="64"/>
      <c r="T185" s="64"/>
      <c r="U185" s="64"/>
      <c r="V185" s="64"/>
      <c r="W185" s="64"/>
      <c r="X185" s="64"/>
      <c r="Y185" s="64"/>
      <c r="Z185" s="64"/>
    </row>
    <row r="186" spans="1:26" x14ac:dyDescent="0.25">
      <c r="A186" s="64"/>
      <c r="B186" s="64"/>
      <c r="C186" s="64"/>
      <c r="D186" s="64"/>
      <c r="E186" s="64"/>
      <c r="F186" s="64"/>
      <c r="G186" s="64"/>
      <c r="H186" s="64"/>
      <c r="I186" s="64"/>
      <c r="J186" s="64"/>
      <c r="K186" s="64"/>
      <c r="L186" s="64"/>
      <c r="M186" s="64"/>
      <c r="N186" s="65"/>
      <c r="O186" s="65"/>
      <c r="P186" s="64"/>
      <c r="Q186" s="64"/>
      <c r="R186" s="64"/>
      <c r="S186" s="64"/>
      <c r="T186" s="64"/>
      <c r="U186" s="64"/>
      <c r="V186" s="64"/>
      <c r="W186" s="64"/>
      <c r="X186" s="64"/>
      <c r="Y186" s="64"/>
      <c r="Z186" s="64"/>
    </row>
    <row r="187" spans="1:26" x14ac:dyDescent="0.25">
      <c r="A187" s="64"/>
      <c r="B187" s="64"/>
      <c r="C187" s="64"/>
      <c r="D187" s="64"/>
      <c r="E187" s="64"/>
      <c r="F187" s="64"/>
      <c r="G187" s="64"/>
      <c r="H187" s="64"/>
      <c r="I187" s="64"/>
      <c r="J187" s="64"/>
      <c r="K187" s="64"/>
      <c r="L187" s="64"/>
      <c r="M187" s="64"/>
      <c r="N187" s="65"/>
      <c r="O187" s="65"/>
      <c r="P187" s="64"/>
      <c r="Q187" s="64"/>
      <c r="R187" s="64"/>
      <c r="S187" s="64"/>
      <c r="T187" s="64"/>
      <c r="U187" s="64"/>
      <c r="V187" s="64"/>
      <c r="W187" s="64"/>
      <c r="X187" s="64"/>
      <c r="Y187" s="64"/>
      <c r="Z187" s="64"/>
    </row>
    <row r="188" spans="1:26" x14ac:dyDescent="0.25">
      <c r="A188" s="64"/>
      <c r="B188" s="64"/>
      <c r="C188" s="64"/>
      <c r="D188" s="64"/>
      <c r="E188" s="64"/>
      <c r="F188" s="64"/>
      <c r="G188" s="64"/>
      <c r="H188" s="64"/>
      <c r="I188" s="64"/>
      <c r="J188" s="64"/>
      <c r="K188" s="64"/>
      <c r="L188" s="64"/>
      <c r="M188" s="64"/>
      <c r="N188" s="65"/>
      <c r="O188" s="65"/>
      <c r="P188" s="64"/>
      <c r="Q188" s="64"/>
      <c r="R188" s="64"/>
      <c r="S188" s="64"/>
      <c r="T188" s="64"/>
      <c r="U188" s="64"/>
      <c r="V188" s="64"/>
      <c r="W188" s="64"/>
      <c r="X188" s="64"/>
      <c r="Y188" s="64"/>
      <c r="Z188" s="64"/>
    </row>
    <row r="189" spans="1:26" x14ac:dyDescent="0.25">
      <c r="A189" s="64"/>
      <c r="B189" s="64"/>
      <c r="C189" s="64"/>
      <c r="D189" s="64"/>
      <c r="E189" s="64"/>
      <c r="F189" s="64"/>
      <c r="G189" s="64"/>
      <c r="H189" s="64"/>
      <c r="I189" s="64"/>
      <c r="J189" s="64"/>
      <c r="K189" s="64"/>
      <c r="L189" s="64"/>
      <c r="M189" s="64"/>
      <c r="N189" s="65"/>
      <c r="O189" s="65"/>
      <c r="P189" s="64"/>
      <c r="Q189" s="64"/>
      <c r="R189" s="64"/>
      <c r="S189" s="64"/>
      <c r="T189" s="64"/>
      <c r="U189" s="64"/>
      <c r="V189" s="64"/>
      <c r="W189" s="64"/>
      <c r="X189" s="64"/>
      <c r="Y189" s="64"/>
      <c r="Z189" s="64"/>
    </row>
    <row r="190" spans="1:26" x14ac:dyDescent="0.25">
      <c r="A190" s="64"/>
      <c r="B190" s="64"/>
      <c r="C190" s="64"/>
      <c r="D190" s="64"/>
      <c r="E190" s="64"/>
      <c r="F190" s="64"/>
      <c r="G190" s="64"/>
      <c r="H190" s="64"/>
      <c r="I190" s="64"/>
      <c r="J190" s="64"/>
      <c r="K190" s="64"/>
      <c r="L190" s="64"/>
      <c r="M190" s="64"/>
      <c r="N190" s="65"/>
      <c r="O190" s="65"/>
      <c r="P190" s="64"/>
      <c r="Q190" s="64"/>
      <c r="R190" s="64"/>
      <c r="S190" s="64"/>
      <c r="T190" s="64"/>
      <c r="U190" s="64"/>
      <c r="V190" s="64"/>
      <c r="W190" s="64"/>
      <c r="X190" s="64"/>
      <c r="Y190" s="64"/>
      <c r="Z190" s="64"/>
    </row>
    <row r="191" spans="1:26" x14ac:dyDescent="0.25">
      <c r="A191" s="64"/>
      <c r="B191" s="64"/>
      <c r="C191" s="64"/>
      <c r="D191" s="64"/>
      <c r="E191" s="64"/>
      <c r="F191" s="64"/>
      <c r="G191" s="64"/>
      <c r="H191" s="64"/>
      <c r="I191" s="64"/>
      <c r="J191" s="64"/>
      <c r="K191" s="64"/>
      <c r="L191" s="64"/>
      <c r="M191" s="64"/>
      <c r="N191" s="65"/>
      <c r="O191" s="65"/>
      <c r="P191" s="64"/>
      <c r="Q191" s="64"/>
      <c r="R191" s="64"/>
      <c r="S191" s="64"/>
      <c r="T191" s="64"/>
      <c r="U191" s="64"/>
      <c r="V191" s="64"/>
      <c r="W191" s="64"/>
      <c r="X191" s="64"/>
      <c r="Y191" s="64"/>
      <c r="Z191" s="64"/>
    </row>
    <row r="192" spans="1:26" x14ac:dyDescent="0.25">
      <c r="A192" s="64"/>
      <c r="B192" s="64"/>
      <c r="C192" s="64"/>
      <c r="D192" s="64"/>
      <c r="E192" s="64"/>
      <c r="F192" s="64"/>
      <c r="G192" s="64"/>
      <c r="H192" s="64"/>
      <c r="I192" s="64"/>
      <c r="J192" s="64"/>
      <c r="K192" s="64"/>
      <c r="L192" s="64"/>
      <c r="M192" s="64"/>
      <c r="N192" s="65"/>
      <c r="O192" s="65"/>
      <c r="P192" s="64"/>
      <c r="Q192" s="64"/>
      <c r="R192" s="64"/>
      <c r="S192" s="64"/>
      <c r="T192" s="64"/>
      <c r="U192" s="64"/>
      <c r="V192" s="64"/>
      <c r="W192" s="64"/>
      <c r="X192" s="64"/>
      <c r="Y192" s="64"/>
      <c r="Z192" s="64"/>
    </row>
    <row r="193" spans="1:26" x14ac:dyDescent="0.25">
      <c r="A193" s="64"/>
      <c r="B193" s="64"/>
      <c r="C193" s="64"/>
      <c r="D193" s="64"/>
      <c r="E193" s="64"/>
      <c r="F193" s="64"/>
      <c r="G193" s="64"/>
      <c r="H193" s="64"/>
      <c r="I193" s="64"/>
      <c r="J193" s="64"/>
      <c r="K193" s="64"/>
      <c r="L193" s="64"/>
      <c r="M193" s="64"/>
      <c r="N193" s="65"/>
      <c r="O193" s="65"/>
      <c r="P193" s="64"/>
      <c r="Q193" s="64"/>
      <c r="R193" s="64"/>
      <c r="S193" s="64"/>
      <c r="T193" s="64"/>
      <c r="U193" s="64"/>
      <c r="V193" s="64"/>
      <c r="W193" s="64"/>
      <c r="X193" s="64"/>
      <c r="Y193" s="64"/>
      <c r="Z193" s="64"/>
    </row>
    <row r="194" spans="1:26" x14ac:dyDescent="0.25">
      <c r="A194" s="64"/>
      <c r="B194" s="64"/>
      <c r="C194" s="64"/>
      <c r="D194" s="64"/>
      <c r="E194" s="64"/>
      <c r="F194" s="64"/>
      <c r="G194" s="64"/>
      <c r="H194" s="64"/>
      <c r="I194" s="64"/>
      <c r="J194" s="64"/>
      <c r="K194" s="64"/>
      <c r="L194" s="64"/>
      <c r="M194" s="64"/>
      <c r="N194" s="65"/>
      <c r="O194" s="65"/>
      <c r="P194" s="64"/>
      <c r="Q194" s="64"/>
      <c r="R194" s="64"/>
      <c r="S194" s="64"/>
      <c r="T194" s="64"/>
      <c r="U194" s="64"/>
      <c r="V194" s="64"/>
      <c r="W194" s="64"/>
      <c r="X194" s="64"/>
      <c r="Y194" s="64"/>
      <c r="Z194" s="64"/>
    </row>
    <row r="195" spans="1:26" x14ac:dyDescent="0.25">
      <c r="A195" s="64"/>
      <c r="B195" s="64"/>
      <c r="C195" s="64"/>
      <c r="D195" s="64"/>
      <c r="E195" s="64"/>
      <c r="F195" s="64"/>
      <c r="G195" s="64"/>
      <c r="H195" s="64"/>
      <c r="I195" s="64"/>
      <c r="J195" s="64"/>
      <c r="K195" s="64"/>
      <c r="L195" s="64"/>
      <c r="M195" s="64"/>
      <c r="N195" s="65"/>
      <c r="O195" s="65"/>
      <c r="P195" s="64"/>
      <c r="Q195" s="64"/>
      <c r="R195" s="64"/>
      <c r="S195" s="64"/>
      <c r="T195" s="64"/>
      <c r="U195" s="64"/>
      <c r="V195" s="64"/>
      <c r="W195" s="64"/>
      <c r="X195" s="64"/>
      <c r="Y195" s="64"/>
      <c r="Z195" s="64"/>
    </row>
    <row r="196" spans="1:26" x14ac:dyDescent="0.25">
      <c r="A196" s="64"/>
      <c r="B196" s="64"/>
      <c r="C196" s="64"/>
      <c r="D196" s="64"/>
      <c r="E196" s="64"/>
      <c r="F196" s="64"/>
      <c r="G196" s="64"/>
      <c r="H196" s="64"/>
      <c r="I196" s="64"/>
      <c r="J196" s="64"/>
      <c r="K196" s="64"/>
      <c r="L196" s="64"/>
      <c r="M196" s="64"/>
      <c r="N196" s="65"/>
      <c r="O196" s="65"/>
      <c r="P196" s="64"/>
      <c r="Q196" s="64"/>
      <c r="R196" s="64"/>
      <c r="S196" s="64"/>
      <c r="T196" s="64"/>
      <c r="U196" s="64"/>
      <c r="V196" s="64"/>
      <c r="W196" s="64"/>
      <c r="X196" s="64"/>
      <c r="Y196" s="64"/>
      <c r="Z196" s="64"/>
    </row>
    <row r="197" spans="1:26" x14ac:dyDescent="0.25">
      <c r="A197" s="64"/>
      <c r="B197" s="64"/>
      <c r="C197" s="64"/>
      <c r="D197" s="64"/>
      <c r="E197" s="64"/>
      <c r="F197" s="64"/>
      <c r="G197" s="64"/>
      <c r="H197" s="64"/>
      <c r="I197" s="64"/>
      <c r="J197" s="64"/>
      <c r="K197" s="64"/>
      <c r="L197" s="64"/>
      <c r="M197" s="64"/>
      <c r="N197" s="65"/>
      <c r="O197" s="65"/>
      <c r="P197" s="64"/>
      <c r="Q197" s="64"/>
      <c r="R197" s="64"/>
      <c r="S197" s="64"/>
      <c r="T197" s="64"/>
      <c r="U197" s="64"/>
      <c r="V197" s="64"/>
      <c r="W197" s="64"/>
      <c r="X197" s="64"/>
      <c r="Y197" s="64"/>
      <c r="Z197" s="64"/>
    </row>
    <row r="198" spans="1:26" x14ac:dyDescent="0.25">
      <c r="A198" s="64"/>
      <c r="B198" s="64"/>
      <c r="C198" s="64"/>
      <c r="D198" s="64"/>
      <c r="E198" s="64"/>
      <c r="F198" s="64"/>
      <c r="G198" s="64"/>
      <c r="H198" s="64"/>
      <c r="I198" s="64"/>
      <c r="J198" s="64"/>
      <c r="K198" s="64"/>
      <c r="L198" s="64"/>
      <c r="M198" s="64"/>
      <c r="N198" s="65"/>
      <c r="O198" s="65"/>
      <c r="P198" s="64"/>
      <c r="Q198" s="64"/>
      <c r="R198" s="64"/>
      <c r="S198" s="64"/>
      <c r="T198" s="64"/>
      <c r="U198" s="64"/>
      <c r="V198" s="64"/>
      <c r="W198" s="64"/>
      <c r="X198" s="64"/>
      <c r="Y198" s="64"/>
      <c r="Z198" s="64"/>
    </row>
    <row r="199" spans="1:26" x14ac:dyDescent="0.25">
      <c r="A199" s="64"/>
      <c r="B199" s="64"/>
      <c r="C199" s="64"/>
      <c r="D199" s="64"/>
      <c r="E199" s="64"/>
      <c r="F199" s="64"/>
      <c r="G199" s="64"/>
      <c r="H199" s="64"/>
      <c r="I199" s="64"/>
      <c r="J199" s="64"/>
      <c r="K199" s="64"/>
      <c r="L199" s="64"/>
      <c r="M199" s="64"/>
      <c r="N199" s="65"/>
      <c r="O199" s="65"/>
      <c r="P199" s="64"/>
      <c r="Q199" s="64"/>
      <c r="R199" s="64"/>
      <c r="S199" s="64"/>
      <c r="T199" s="64"/>
      <c r="U199" s="64"/>
      <c r="V199" s="64"/>
      <c r="W199" s="64"/>
      <c r="X199" s="64"/>
      <c r="Y199" s="64"/>
      <c r="Z199" s="64"/>
    </row>
    <row r="200" spans="1:26" x14ac:dyDescent="0.25">
      <c r="A200" s="64"/>
      <c r="B200" s="64"/>
      <c r="C200" s="64"/>
      <c r="D200" s="64"/>
      <c r="E200" s="64"/>
      <c r="F200" s="64"/>
      <c r="G200" s="64"/>
      <c r="H200" s="64"/>
      <c r="I200" s="64"/>
      <c r="J200" s="64"/>
      <c r="K200" s="64"/>
      <c r="L200" s="64"/>
      <c r="M200" s="64"/>
      <c r="N200" s="65"/>
      <c r="O200" s="65"/>
      <c r="P200" s="64"/>
      <c r="Q200" s="64"/>
      <c r="R200" s="64"/>
      <c r="S200" s="64"/>
      <c r="T200" s="64"/>
      <c r="U200" s="64"/>
      <c r="V200" s="64"/>
      <c r="W200" s="64"/>
      <c r="X200" s="64"/>
      <c r="Y200" s="64"/>
      <c r="Z200" s="64"/>
    </row>
    <row r="201" spans="1:26" x14ac:dyDescent="0.25">
      <c r="A201" s="64"/>
      <c r="B201" s="64"/>
      <c r="C201" s="64"/>
      <c r="D201" s="64"/>
      <c r="E201" s="64"/>
      <c r="F201" s="64"/>
      <c r="G201" s="64"/>
      <c r="H201" s="64"/>
      <c r="I201" s="64"/>
      <c r="J201" s="64"/>
      <c r="K201" s="64"/>
      <c r="L201" s="64"/>
      <c r="M201" s="64"/>
      <c r="N201" s="65"/>
      <c r="O201" s="65"/>
      <c r="P201" s="64"/>
      <c r="Q201" s="64"/>
      <c r="R201" s="64"/>
      <c r="S201" s="64"/>
      <c r="T201" s="64"/>
      <c r="U201" s="64"/>
      <c r="V201" s="64"/>
      <c r="W201" s="64"/>
      <c r="X201" s="64"/>
      <c r="Y201" s="64"/>
      <c r="Z201" s="64"/>
    </row>
    <row r="202" spans="1:26" x14ac:dyDescent="0.25">
      <c r="A202" s="64"/>
      <c r="B202" s="64"/>
      <c r="C202" s="64"/>
      <c r="D202" s="64"/>
      <c r="E202" s="64"/>
      <c r="F202" s="64"/>
      <c r="G202" s="64"/>
      <c r="H202" s="64"/>
      <c r="I202" s="64"/>
      <c r="J202" s="64"/>
      <c r="K202" s="64"/>
      <c r="L202" s="64"/>
      <c r="M202" s="64"/>
      <c r="N202" s="65"/>
      <c r="O202" s="65"/>
      <c r="P202" s="64"/>
      <c r="Q202" s="64"/>
      <c r="R202" s="64"/>
      <c r="S202" s="64"/>
      <c r="T202" s="64"/>
      <c r="U202" s="64"/>
      <c r="V202" s="64"/>
      <c r="W202" s="64"/>
      <c r="X202" s="64"/>
      <c r="Y202" s="64"/>
      <c r="Z202" s="64"/>
    </row>
    <row r="203" spans="1:26" x14ac:dyDescent="0.25">
      <c r="A203" s="64"/>
      <c r="B203" s="64"/>
      <c r="C203" s="64"/>
      <c r="D203" s="64"/>
      <c r="E203" s="64"/>
      <c r="F203" s="64"/>
      <c r="G203" s="64"/>
      <c r="H203" s="64"/>
      <c r="I203" s="64"/>
      <c r="J203" s="64"/>
      <c r="K203" s="64"/>
      <c r="L203" s="64"/>
      <c r="M203" s="64"/>
      <c r="N203" s="65"/>
      <c r="O203" s="65"/>
      <c r="P203" s="64"/>
      <c r="Q203" s="64"/>
      <c r="R203" s="64"/>
      <c r="S203" s="64"/>
      <c r="T203" s="64"/>
      <c r="U203" s="64"/>
      <c r="V203" s="64"/>
      <c r="W203" s="64"/>
      <c r="X203" s="64"/>
      <c r="Y203" s="64"/>
      <c r="Z203" s="64"/>
    </row>
    <row r="204" spans="1:26" x14ac:dyDescent="0.25">
      <c r="A204" s="64"/>
      <c r="B204" s="64"/>
      <c r="C204" s="64"/>
      <c r="D204" s="64"/>
      <c r="E204" s="64"/>
      <c r="F204" s="64"/>
      <c r="G204" s="64"/>
      <c r="H204" s="64"/>
      <c r="I204" s="64"/>
      <c r="J204" s="64"/>
      <c r="K204" s="64"/>
      <c r="L204" s="64"/>
      <c r="M204" s="64"/>
      <c r="N204" s="65"/>
      <c r="O204" s="65"/>
      <c r="P204" s="64"/>
      <c r="Q204" s="64"/>
      <c r="R204" s="64"/>
      <c r="S204" s="64"/>
      <c r="T204" s="64"/>
      <c r="U204" s="64"/>
      <c r="V204" s="64"/>
      <c r="W204" s="64"/>
      <c r="X204" s="64"/>
      <c r="Y204" s="64"/>
      <c r="Z204" s="64"/>
    </row>
    <row r="205" spans="1:26" x14ac:dyDescent="0.25">
      <c r="A205" s="64"/>
      <c r="B205" s="64"/>
      <c r="C205" s="64"/>
      <c r="D205" s="64"/>
      <c r="E205" s="64"/>
      <c r="F205" s="64"/>
      <c r="G205" s="64"/>
      <c r="H205" s="64"/>
      <c r="I205" s="64"/>
      <c r="J205" s="64"/>
      <c r="K205" s="64"/>
      <c r="L205" s="64"/>
      <c r="M205" s="64"/>
      <c r="N205" s="65"/>
      <c r="O205" s="65"/>
      <c r="P205" s="64"/>
      <c r="Q205" s="64"/>
      <c r="R205" s="64"/>
      <c r="S205" s="64"/>
      <c r="T205" s="64"/>
      <c r="U205" s="64"/>
      <c r="V205" s="64"/>
      <c r="W205" s="64"/>
      <c r="X205" s="64"/>
      <c r="Y205" s="64"/>
      <c r="Z205" s="64"/>
    </row>
    <row r="206" spans="1:26" x14ac:dyDescent="0.25">
      <c r="A206" s="64"/>
      <c r="B206" s="64"/>
      <c r="C206" s="64"/>
      <c r="D206" s="64"/>
      <c r="E206" s="64"/>
      <c r="F206" s="64"/>
      <c r="G206" s="64"/>
      <c r="H206" s="64"/>
      <c r="I206" s="64"/>
      <c r="J206" s="64"/>
      <c r="K206" s="64"/>
      <c r="L206" s="64"/>
      <c r="M206" s="64"/>
      <c r="N206" s="65"/>
      <c r="O206" s="65"/>
      <c r="P206" s="64"/>
      <c r="Q206" s="64"/>
      <c r="R206" s="64"/>
      <c r="S206" s="64"/>
      <c r="T206" s="64"/>
      <c r="U206" s="64"/>
      <c r="V206" s="64"/>
      <c r="W206" s="64"/>
      <c r="X206" s="64"/>
      <c r="Y206" s="64"/>
      <c r="Z206" s="64"/>
    </row>
    <row r="207" spans="1:26" x14ac:dyDescent="0.25">
      <c r="A207" s="64"/>
      <c r="B207" s="64"/>
      <c r="C207" s="64"/>
      <c r="D207" s="64"/>
      <c r="E207" s="64"/>
      <c r="F207" s="64"/>
      <c r="G207" s="64"/>
      <c r="H207" s="64"/>
      <c r="I207" s="64"/>
      <c r="J207" s="64"/>
      <c r="K207" s="64"/>
      <c r="L207" s="64"/>
      <c r="M207" s="64"/>
      <c r="N207" s="65"/>
      <c r="O207" s="65"/>
      <c r="P207" s="64"/>
      <c r="Q207" s="64"/>
      <c r="R207" s="64"/>
      <c r="S207" s="64"/>
      <c r="T207" s="64"/>
      <c r="U207" s="64"/>
      <c r="V207" s="64"/>
      <c r="W207" s="64"/>
      <c r="X207" s="64"/>
      <c r="Y207" s="64"/>
      <c r="Z207" s="64"/>
    </row>
    <row r="208" spans="1:26" x14ac:dyDescent="0.25">
      <c r="A208" s="64"/>
      <c r="B208" s="64"/>
      <c r="C208" s="64"/>
      <c r="D208" s="64"/>
      <c r="E208" s="64"/>
      <c r="F208" s="64"/>
      <c r="G208" s="64"/>
      <c r="H208" s="64"/>
      <c r="I208" s="64"/>
      <c r="J208" s="64"/>
      <c r="K208" s="64"/>
      <c r="L208" s="64"/>
      <c r="M208" s="64"/>
      <c r="N208" s="65"/>
      <c r="O208" s="65"/>
      <c r="P208" s="64"/>
      <c r="Q208" s="64"/>
      <c r="R208" s="64"/>
      <c r="S208" s="64"/>
      <c r="T208" s="64"/>
      <c r="U208" s="64"/>
      <c r="V208" s="64"/>
      <c r="W208" s="64"/>
      <c r="X208" s="64"/>
      <c r="Y208" s="64"/>
      <c r="Z208" s="64"/>
    </row>
    <row r="209" spans="1:26" x14ac:dyDescent="0.25">
      <c r="A209" s="64"/>
      <c r="B209" s="64"/>
      <c r="C209" s="64"/>
      <c r="D209" s="64"/>
      <c r="E209" s="64"/>
      <c r="F209" s="64"/>
      <c r="G209" s="64"/>
      <c r="H209" s="64"/>
      <c r="I209" s="64"/>
      <c r="J209" s="64"/>
      <c r="K209" s="64"/>
      <c r="L209" s="64"/>
      <c r="M209" s="64"/>
      <c r="N209" s="65"/>
      <c r="O209" s="65"/>
      <c r="P209" s="64"/>
      <c r="Q209" s="64"/>
      <c r="R209" s="64"/>
      <c r="S209" s="64"/>
      <c r="T209" s="64"/>
      <c r="U209" s="64"/>
      <c r="V209" s="64"/>
      <c r="W209" s="64"/>
      <c r="X209" s="64"/>
      <c r="Y209" s="64"/>
      <c r="Z209" s="64"/>
    </row>
    <row r="210" spans="1:26" x14ac:dyDescent="0.25">
      <c r="A210" s="64"/>
      <c r="B210" s="64"/>
      <c r="C210" s="64"/>
      <c r="D210" s="64"/>
      <c r="E210" s="64"/>
      <c r="F210" s="64"/>
      <c r="G210" s="64"/>
      <c r="H210" s="64"/>
      <c r="I210" s="64"/>
      <c r="J210" s="64"/>
      <c r="K210" s="64"/>
      <c r="L210" s="64"/>
      <c r="M210" s="64"/>
      <c r="N210" s="65"/>
      <c r="O210" s="65"/>
      <c r="P210" s="64"/>
      <c r="Q210" s="64"/>
      <c r="R210" s="64"/>
      <c r="S210" s="64"/>
      <c r="T210" s="64"/>
      <c r="U210" s="64"/>
      <c r="V210" s="64"/>
      <c r="W210" s="64"/>
      <c r="X210" s="64"/>
      <c r="Y210" s="64"/>
      <c r="Z210" s="64"/>
    </row>
    <row r="211" spans="1:26" x14ac:dyDescent="0.25">
      <c r="A211" s="64"/>
      <c r="B211" s="64"/>
      <c r="C211" s="64"/>
      <c r="D211" s="64"/>
      <c r="E211" s="64"/>
      <c r="F211" s="64"/>
      <c r="G211" s="64"/>
      <c r="H211" s="64"/>
      <c r="I211" s="64"/>
      <c r="J211" s="64"/>
      <c r="K211" s="64"/>
      <c r="L211" s="64"/>
      <c r="M211" s="64"/>
      <c r="N211" s="65"/>
      <c r="O211" s="65"/>
      <c r="P211" s="64"/>
      <c r="Q211" s="64"/>
      <c r="R211" s="64"/>
      <c r="S211" s="64"/>
      <c r="T211" s="64"/>
      <c r="U211" s="64"/>
      <c r="V211" s="64"/>
      <c r="W211" s="64"/>
      <c r="X211" s="64"/>
      <c r="Y211" s="64"/>
      <c r="Z211" s="64"/>
    </row>
    <row r="212" spans="1:26" x14ac:dyDescent="0.25">
      <c r="A212" s="64"/>
      <c r="B212" s="64"/>
      <c r="C212" s="64"/>
      <c r="D212" s="64"/>
      <c r="E212" s="64"/>
      <c r="F212" s="64"/>
      <c r="G212" s="64"/>
      <c r="H212" s="64"/>
      <c r="I212" s="64"/>
      <c r="J212" s="64"/>
      <c r="K212" s="64"/>
      <c r="L212" s="64"/>
      <c r="M212" s="64"/>
      <c r="N212" s="65"/>
      <c r="O212" s="65"/>
      <c r="P212" s="64"/>
      <c r="Q212" s="64"/>
      <c r="R212" s="64"/>
      <c r="S212" s="64"/>
      <c r="T212" s="64"/>
      <c r="U212" s="64"/>
      <c r="V212" s="64"/>
      <c r="W212" s="64"/>
      <c r="X212" s="64"/>
      <c r="Y212" s="64"/>
      <c r="Z212" s="64"/>
    </row>
    <row r="213" spans="1:26" x14ac:dyDescent="0.25">
      <c r="A213" s="64"/>
      <c r="B213" s="64"/>
      <c r="C213" s="64"/>
      <c r="D213" s="64"/>
      <c r="E213" s="64"/>
      <c r="F213" s="64"/>
      <c r="G213" s="64"/>
      <c r="H213" s="64"/>
      <c r="I213" s="64"/>
      <c r="J213" s="64"/>
      <c r="K213" s="64"/>
      <c r="L213" s="64"/>
      <c r="M213" s="64"/>
      <c r="N213" s="65"/>
      <c r="O213" s="65"/>
      <c r="P213" s="64"/>
      <c r="Q213" s="64"/>
      <c r="R213" s="64"/>
      <c r="S213" s="64"/>
      <c r="T213" s="64"/>
      <c r="U213" s="64"/>
      <c r="V213" s="64"/>
      <c r="W213" s="64"/>
      <c r="X213" s="64"/>
      <c r="Y213" s="64"/>
      <c r="Z213" s="64"/>
    </row>
    <row r="214" spans="1:26" x14ac:dyDescent="0.25">
      <c r="A214" s="64"/>
      <c r="B214" s="64"/>
      <c r="C214" s="64"/>
      <c r="D214" s="64"/>
      <c r="E214" s="64"/>
      <c r="F214" s="64"/>
      <c r="G214" s="64"/>
      <c r="H214" s="64"/>
      <c r="I214" s="64"/>
      <c r="J214" s="64"/>
      <c r="K214" s="64"/>
      <c r="L214" s="64"/>
      <c r="M214" s="64"/>
      <c r="N214" s="65"/>
      <c r="O214" s="65"/>
      <c r="P214" s="64"/>
      <c r="Q214" s="64"/>
      <c r="R214" s="64"/>
      <c r="S214" s="64"/>
      <c r="T214" s="64"/>
      <c r="U214" s="64"/>
      <c r="V214" s="64"/>
      <c r="W214" s="64"/>
      <c r="X214" s="64"/>
      <c r="Y214" s="64"/>
      <c r="Z214" s="64"/>
    </row>
    <row r="215" spans="1:26" x14ac:dyDescent="0.25">
      <c r="A215" s="64"/>
      <c r="B215" s="64"/>
      <c r="C215" s="64"/>
      <c r="D215" s="64"/>
      <c r="E215" s="64"/>
      <c r="F215" s="64"/>
      <c r="G215" s="64"/>
      <c r="H215" s="64"/>
      <c r="I215" s="64"/>
      <c r="J215" s="64"/>
      <c r="K215" s="64"/>
      <c r="L215" s="64"/>
      <c r="M215" s="64"/>
      <c r="N215" s="65"/>
      <c r="O215" s="65"/>
      <c r="P215" s="64"/>
      <c r="Q215" s="64"/>
      <c r="R215" s="64"/>
      <c r="S215" s="64"/>
      <c r="T215" s="64"/>
      <c r="U215" s="64"/>
      <c r="V215" s="64"/>
      <c r="W215" s="64"/>
      <c r="X215" s="64"/>
      <c r="Y215" s="64"/>
      <c r="Z215" s="64"/>
    </row>
    <row r="216" spans="1:26" x14ac:dyDescent="0.25">
      <c r="A216" s="64"/>
      <c r="B216" s="64"/>
      <c r="C216" s="64"/>
      <c r="D216" s="64"/>
      <c r="E216" s="64"/>
      <c r="F216" s="64"/>
      <c r="G216" s="64"/>
      <c r="H216" s="64"/>
      <c r="I216" s="64"/>
      <c r="J216" s="64"/>
      <c r="K216" s="64"/>
      <c r="L216" s="64"/>
      <c r="M216" s="64"/>
      <c r="N216" s="65"/>
      <c r="O216" s="65"/>
      <c r="P216" s="64"/>
      <c r="Q216" s="64"/>
      <c r="R216" s="64"/>
      <c r="S216" s="64"/>
      <c r="T216" s="64"/>
      <c r="U216" s="64"/>
      <c r="V216" s="64"/>
      <c r="W216" s="64"/>
      <c r="X216" s="64"/>
      <c r="Y216" s="64"/>
      <c r="Z216" s="64"/>
    </row>
    <row r="217" spans="1:26" x14ac:dyDescent="0.25">
      <c r="A217" s="64"/>
      <c r="B217" s="64"/>
      <c r="C217" s="64"/>
      <c r="D217" s="64"/>
      <c r="E217" s="64"/>
      <c r="F217" s="64"/>
      <c r="G217" s="64"/>
      <c r="H217" s="64"/>
      <c r="I217" s="64"/>
      <c r="J217" s="64"/>
      <c r="K217" s="64"/>
      <c r="L217" s="64"/>
      <c r="M217" s="64"/>
      <c r="N217" s="65"/>
      <c r="O217" s="65"/>
      <c r="P217" s="64"/>
      <c r="Q217" s="64"/>
      <c r="R217" s="64"/>
      <c r="S217" s="64"/>
      <c r="T217" s="64"/>
      <c r="U217" s="64"/>
      <c r="V217" s="64"/>
      <c r="W217" s="64"/>
      <c r="X217" s="64"/>
      <c r="Y217" s="64"/>
      <c r="Z217" s="64"/>
    </row>
    <row r="218" spans="1:26" x14ac:dyDescent="0.25">
      <c r="A218" s="64"/>
      <c r="B218" s="64"/>
      <c r="C218" s="64"/>
      <c r="D218" s="64"/>
      <c r="E218" s="64"/>
      <c r="F218" s="64"/>
      <c r="G218" s="64"/>
      <c r="H218" s="64"/>
      <c r="I218" s="64"/>
      <c r="J218" s="64"/>
      <c r="K218" s="64"/>
      <c r="L218" s="64"/>
      <c r="M218" s="64"/>
      <c r="N218" s="65"/>
      <c r="O218" s="65"/>
      <c r="P218" s="64"/>
      <c r="Q218" s="64"/>
      <c r="R218" s="64"/>
      <c r="S218" s="64"/>
      <c r="T218" s="64"/>
      <c r="U218" s="64"/>
      <c r="V218" s="64"/>
      <c r="W218" s="64"/>
      <c r="X218" s="64"/>
      <c r="Y218" s="64"/>
      <c r="Z218" s="64"/>
    </row>
    <row r="219" spans="1:26" x14ac:dyDescent="0.25">
      <c r="A219" s="64"/>
      <c r="B219" s="64"/>
      <c r="C219" s="64"/>
      <c r="D219" s="64"/>
      <c r="E219" s="64"/>
      <c r="F219" s="64"/>
      <c r="G219" s="64"/>
      <c r="H219" s="64"/>
      <c r="I219" s="64"/>
      <c r="J219" s="64"/>
      <c r="K219" s="64"/>
      <c r="L219" s="64"/>
      <c r="M219" s="64"/>
      <c r="N219" s="65"/>
      <c r="O219" s="65"/>
      <c r="P219" s="64"/>
      <c r="Q219" s="64"/>
      <c r="R219" s="64"/>
      <c r="S219" s="64"/>
      <c r="T219" s="64"/>
      <c r="U219" s="64"/>
      <c r="V219" s="64"/>
      <c r="W219" s="64"/>
      <c r="X219" s="64"/>
      <c r="Y219" s="64"/>
      <c r="Z219" s="64"/>
    </row>
    <row r="220" spans="1:26" x14ac:dyDescent="0.25">
      <c r="A220" s="64"/>
      <c r="B220" s="64"/>
      <c r="C220" s="64"/>
      <c r="D220" s="64"/>
      <c r="E220" s="64"/>
      <c r="F220" s="64"/>
      <c r="G220" s="64"/>
      <c r="H220" s="64"/>
      <c r="I220" s="64"/>
      <c r="J220" s="64"/>
      <c r="K220" s="64"/>
      <c r="L220" s="64"/>
      <c r="M220" s="64"/>
      <c r="N220" s="65"/>
      <c r="O220" s="65"/>
      <c r="P220" s="64"/>
      <c r="Q220" s="64"/>
      <c r="R220" s="64"/>
      <c r="S220" s="64"/>
      <c r="T220" s="64"/>
      <c r="U220" s="64"/>
      <c r="V220" s="64"/>
      <c r="W220" s="64"/>
      <c r="X220" s="64"/>
      <c r="Y220" s="64"/>
      <c r="Z220" s="64"/>
    </row>
    <row r="221" spans="1:26" x14ac:dyDescent="0.25">
      <c r="A221" s="64"/>
      <c r="B221" s="64"/>
      <c r="C221" s="64"/>
      <c r="D221" s="64"/>
      <c r="E221" s="64"/>
      <c r="F221" s="64"/>
      <c r="G221" s="64"/>
      <c r="H221" s="64"/>
      <c r="I221" s="64"/>
      <c r="J221" s="64"/>
      <c r="K221" s="64"/>
      <c r="L221" s="64"/>
      <c r="M221" s="64"/>
      <c r="N221" s="65"/>
      <c r="O221" s="65"/>
      <c r="P221" s="64"/>
      <c r="Q221" s="64"/>
      <c r="R221" s="64"/>
      <c r="S221" s="64"/>
      <c r="T221" s="64"/>
      <c r="U221" s="64"/>
      <c r="V221" s="64"/>
      <c r="W221" s="64"/>
      <c r="X221" s="64"/>
      <c r="Y221" s="64"/>
      <c r="Z221" s="64"/>
    </row>
    <row r="222" spans="1:26" x14ac:dyDescent="0.25">
      <c r="A222" s="64"/>
      <c r="B222" s="64"/>
      <c r="C222" s="64"/>
      <c r="D222" s="64"/>
      <c r="E222" s="64"/>
      <c r="F222" s="64"/>
      <c r="G222" s="64"/>
      <c r="H222" s="64"/>
      <c r="I222" s="64"/>
      <c r="J222" s="64"/>
      <c r="K222" s="64"/>
      <c r="L222" s="64"/>
      <c r="M222" s="64"/>
      <c r="N222" s="65"/>
      <c r="O222" s="65"/>
      <c r="P222" s="64"/>
      <c r="Q222" s="64"/>
      <c r="R222" s="64"/>
      <c r="S222" s="64"/>
      <c r="T222" s="64"/>
      <c r="U222" s="64"/>
      <c r="V222" s="64"/>
      <c r="W222" s="64"/>
      <c r="X222" s="64"/>
      <c r="Y222" s="64"/>
      <c r="Z222" s="64"/>
    </row>
    <row r="223" spans="1:26" x14ac:dyDescent="0.25">
      <c r="A223" s="64"/>
      <c r="B223" s="64"/>
      <c r="C223" s="64"/>
      <c r="D223" s="64"/>
      <c r="E223" s="64"/>
      <c r="F223" s="64"/>
      <c r="G223" s="64"/>
      <c r="H223" s="64"/>
      <c r="I223" s="64"/>
      <c r="J223" s="64"/>
      <c r="K223" s="64"/>
      <c r="L223" s="64"/>
      <c r="M223" s="64"/>
      <c r="N223" s="65"/>
      <c r="O223" s="65"/>
      <c r="P223" s="64"/>
      <c r="Q223" s="64"/>
      <c r="R223" s="64"/>
      <c r="S223" s="64"/>
      <c r="T223" s="64"/>
      <c r="U223" s="64"/>
      <c r="V223" s="64"/>
      <c r="W223" s="64"/>
      <c r="X223" s="64"/>
      <c r="Y223" s="64"/>
      <c r="Z223" s="64"/>
    </row>
    <row r="224" spans="1:26" x14ac:dyDescent="0.25">
      <c r="A224" s="64"/>
      <c r="B224" s="64"/>
      <c r="C224" s="64"/>
      <c r="D224" s="64"/>
      <c r="E224" s="64"/>
      <c r="F224" s="64"/>
      <c r="G224" s="64"/>
      <c r="H224" s="64"/>
      <c r="I224" s="64"/>
      <c r="J224" s="64"/>
      <c r="K224" s="64"/>
      <c r="L224" s="64"/>
      <c r="M224" s="64"/>
      <c r="N224" s="65"/>
      <c r="O224" s="65"/>
      <c r="P224" s="64"/>
      <c r="Q224" s="64"/>
      <c r="R224" s="64"/>
      <c r="S224" s="64"/>
      <c r="T224" s="64"/>
      <c r="U224" s="64"/>
      <c r="V224" s="64"/>
      <c r="W224" s="64"/>
      <c r="X224" s="64"/>
      <c r="Y224" s="64"/>
      <c r="Z224" s="64"/>
    </row>
    <row r="225" spans="1:26" x14ac:dyDescent="0.25">
      <c r="A225" s="64"/>
      <c r="B225" s="64"/>
      <c r="C225" s="64"/>
      <c r="D225" s="64"/>
      <c r="E225" s="64"/>
      <c r="F225" s="64"/>
      <c r="G225" s="64"/>
      <c r="H225" s="64"/>
      <c r="I225" s="64"/>
      <c r="J225" s="64"/>
      <c r="K225" s="64"/>
      <c r="L225" s="64"/>
      <c r="M225" s="64"/>
      <c r="N225" s="65"/>
      <c r="O225" s="65"/>
      <c r="P225" s="64"/>
      <c r="Q225" s="64"/>
      <c r="R225" s="64"/>
      <c r="S225" s="64"/>
      <c r="T225" s="64"/>
      <c r="U225" s="64"/>
      <c r="V225" s="64"/>
      <c r="W225" s="64"/>
      <c r="X225" s="64"/>
      <c r="Y225" s="64"/>
      <c r="Z225" s="64"/>
    </row>
    <row r="226" spans="1:26" x14ac:dyDescent="0.25">
      <c r="A226" s="64"/>
      <c r="B226" s="64"/>
      <c r="C226" s="64"/>
      <c r="D226" s="64"/>
      <c r="E226" s="64"/>
      <c r="F226" s="64"/>
      <c r="G226" s="64"/>
      <c r="H226" s="64"/>
      <c r="I226" s="64"/>
      <c r="J226" s="64"/>
      <c r="K226" s="64"/>
      <c r="L226" s="64"/>
      <c r="M226" s="64"/>
      <c r="N226" s="65"/>
      <c r="O226" s="65"/>
      <c r="P226" s="64"/>
      <c r="Q226" s="64"/>
      <c r="R226" s="64"/>
      <c r="S226" s="64"/>
      <c r="T226" s="64"/>
      <c r="U226" s="64"/>
      <c r="V226" s="64"/>
      <c r="W226" s="64"/>
      <c r="X226" s="64"/>
      <c r="Y226" s="64"/>
      <c r="Z226" s="64"/>
    </row>
    <row r="227" spans="1:26" x14ac:dyDescent="0.25">
      <c r="A227" s="64"/>
      <c r="B227" s="64"/>
      <c r="C227" s="64"/>
      <c r="D227" s="64"/>
      <c r="E227" s="64"/>
      <c r="F227" s="64"/>
      <c r="G227" s="64"/>
      <c r="H227" s="64"/>
      <c r="I227" s="64"/>
      <c r="J227" s="64"/>
      <c r="K227" s="64"/>
      <c r="L227" s="64"/>
      <c r="M227" s="64"/>
      <c r="N227" s="65"/>
      <c r="O227" s="65"/>
      <c r="P227" s="64"/>
      <c r="Q227" s="64"/>
      <c r="R227" s="64"/>
      <c r="S227" s="64"/>
      <c r="T227" s="64"/>
      <c r="U227" s="64"/>
      <c r="V227" s="64"/>
      <c r="W227" s="64"/>
      <c r="X227" s="64"/>
      <c r="Y227" s="64"/>
      <c r="Z227" s="64"/>
    </row>
    <row r="228" spans="1:26" x14ac:dyDescent="0.25">
      <c r="A228" s="64"/>
      <c r="B228" s="64"/>
      <c r="C228" s="64"/>
      <c r="D228" s="64"/>
      <c r="E228" s="64"/>
      <c r="F228" s="64"/>
      <c r="G228" s="64"/>
      <c r="H228" s="64"/>
      <c r="I228" s="64"/>
      <c r="J228" s="64"/>
      <c r="K228" s="64"/>
      <c r="L228" s="64"/>
      <c r="M228" s="64"/>
      <c r="N228" s="65"/>
      <c r="O228" s="65"/>
      <c r="P228" s="64"/>
      <c r="Q228" s="64"/>
      <c r="R228" s="64"/>
      <c r="S228" s="64"/>
      <c r="T228" s="64"/>
      <c r="U228" s="64"/>
      <c r="V228" s="64"/>
      <c r="W228" s="64"/>
      <c r="X228" s="64"/>
      <c r="Y228" s="64"/>
      <c r="Z228" s="64"/>
    </row>
    <row r="229" spans="1:26" x14ac:dyDescent="0.25">
      <c r="A229" s="64"/>
      <c r="B229" s="64"/>
      <c r="C229" s="64"/>
      <c r="D229" s="64"/>
      <c r="E229" s="64"/>
      <c r="F229" s="64"/>
      <c r="G229" s="64"/>
      <c r="H229" s="64"/>
      <c r="I229" s="64"/>
      <c r="J229" s="64"/>
      <c r="K229" s="64"/>
      <c r="L229" s="64"/>
      <c r="M229" s="64"/>
      <c r="N229" s="65"/>
      <c r="O229" s="65"/>
      <c r="P229" s="64"/>
      <c r="Q229" s="64"/>
      <c r="R229" s="64"/>
      <c r="S229" s="64"/>
      <c r="T229" s="64"/>
      <c r="U229" s="64"/>
      <c r="V229" s="64"/>
      <c r="W229" s="64"/>
      <c r="X229" s="64"/>
      <c r="Y229" s="64"/>
      <c r="Z229" s="64"/>
    </row>
    <row r="230" spans="1:26" x14ac:dyDescent="0.25">
      <c r="A230" s="64"/>
      <c r="B230" s="64"/>
      <c r="C230" s="64"/>
      <c r="D230" s="64"/>
      <c r="E230" s="64"/>
      <c r="F230" s="64"/>
      <c r="G230" s="64"/>
      <c r="H230" s="64"/>
      <c r="I230" s="64"/>
      <c r="J230" s="64"/>
      <c r="K230" s="64"/>
      <c r="L230" s="64"/>
      <c r="M230" s="64"/>
      <c r="N230" s="65"/>
      <c r="O230" s="65"/>
      <c r="P230" s="64"/>
      <c r="Q230" s="64"/>
      <c r="R230" s="64"/>
      <c r="S230" s="64"/>
      <c r="T230" s="64"/>
      <c r="U230" s="64"/>
      <c r="V230" s="64"/>
      <c r="W230" s="64"/>
      <c r="X230" s="64"/>
      <c r="Y230" s="64"/>
      <c r="Z230" s="64"/>
    </row>
    <row r="231" spans="1:26" x14ac:dyDescent="0.25">
      <c r="A231" s="64"/>
      <c r="B231" s="64"/>
      <c r="C231" s="64"/>
      <c r="D231" s="64"/>
      <c r="E231" s="64"/>
      <c r="F231" s="64"/>
      <c r="G231" s="64"/>
      <c r="H231" s="64"/>
      <c r="I231" s="64"/>
      <c r="J231" s="64"/>
      <c r="K231" s="64"/>
      <c r="L231" s="64"/>
      <c r="M231" s="64"/>
      <c r="N231" s="65"/>
      <c r="O231" s="65"/>
      <c r="P231" s="64"/>
      <c r="Q231" s="64"/>
      <c r="R231" s="64"/>
      <c r="S231" s="64"/>
      <c r="T231" s="64"/>
      <c r="U231" s="64"/>
      <c r="V231" s="64"/>
      <c r="W231" s="64"/>
      <c r="X231" s="64"/>
      <c r="Y231" s="64"/>
      <c r="Z231" s="64"/>
    </row>
    <row r="232" spans="1:26" x14ac:dyDescent="0.25">
      <c r="A232" s="64"/>
      <c r="B232" s="64"/>
      <c r="C232" s="64"/>
      <c r="D232" s="64"/>
      <c r="E232" s="64"/>
      <c r="F232" s="64"/>
      <c r="G232" s="64"/>
      <c r="H232" s="64"/>
      <c r="I232" s="64"/>
      <c r="J232" s="64"/>
      <c r="K232" s="64"/>
      <c r="L232" s="64"/>
      <c r="M232" s="64"/>
      <c r="N232" s="65"/>
      <c r="O232" s="65"/>
      <c r="P232" s="64"/>
      <c r="Q232" s="64"/>
      <c r="R232" s="64"/>
      <c r="S232" s="64"/>
      <c r="T232" s="64"/>
      <c r="U232" s="64"/>
      <c r="V232" s="64"/>
      <c r="W232" s="64"/>
      <c r="X232" s="64"/>
      <c r="Y232" s="64"/>
      <c r="Z232" s="64"/>
    </row>
  </sheetData>
  <sheetProtection sheet="1" objects="1" scenarios="1"/>
  <mergeCells count="10">
    <mergeCell ref="A2:F2"/>
    <mergeCell ref="I10:K12"/>
    <mergeCell ref="M2:M3"/>
    <mergeCell ref="G4:M4"/>
    <mergeCell ref="G1:H1"/>
    <mergeCell ref="G2:H3"/>
    <mergeCell ref="I2:I3"/>
    <mergeCell ref="J2:J3"/>
    <mergeCell ref="K2:K3"/>
    <mergeCell ref="L2:L3"/>
  </mergeCells>
  <conditionalFormatting sqref="C71:C82">
    <cfRule type="expression" dxfId="18" priority="1">
      <formula>C71="Below Baseline"</formula>
    </cfRule>
  </conditionalFormatting>
  <conditionalFormatting sqref="D15:D19">
    <cfRule type="cellIs" dxfId="17" priority="2" stopIfTrue="1" operator="equal">
      <formula>0</formula>
    </cfRule>
    <cfRule type="dataBar" priority="3">
      <dataBar>
        <cfvo type="num" val="0"/>
        <cfvo type="formula" val="$B29"/>
        <color rgb="FFA9C9A9"/>
      </dataBar>
      <extLst>
        <ext xmlns:x14="http://schemas.microsoft.com/office/spreadsheetml/2009/9/main" uri="{B025F937-C7B1-47D3-B67F-A62EFF666E3E}">
          <x14:id>{8D280A46-128E-498C-A792-292279D0422C}</x14:id>
        </ext>
      </extLst>
    </cfRule>
    <cfRule type="cellIs" dxfId="16" priority="4" operator="lessThan">
      <formula>0</formula>
    </cfRule>
  </conditionalFormatting>
  <conditionalFormatting sqref="D24:D31">
    <cfRule type="cellIs" dxfId="15" priority="5" stopIfTrue="1" operator="equal">
      <formula>0</formula>
    </cfRule>
    <cfRule type="dataBar" priority="6">
      <dataBar>
        <cfvo type="num" val="0"/>
        <cfvo type="formula" val="$B47"/>
        <color rgb="FF9FC3D6"/>
      </dataBar>
      <extLst>
        <ext xmlns:x14="http://schemas.microsoft.com/office/spreadsheetml/2009/9/main" uri="{B025F937-C7B1-47D3-B67F-A62EFF666E3E}">
          <x14:id>{76312E28-E65A-4340-AAB8-586A9F237A0A}</x14:id>
        </ext>
      </extLst>
    </cfRule>
    <cfRule type="cellIs" dxfId="14" priority="7" operator="lessThan">
      <formula>0</formula>
    </cfRule>
  </conditionalFormatting>
  <conditionalFormatting sqref="D36:D43">
    <cfRule type="cellIs" dxfId="13" priority="8" stopIfTrue="1" operator="equal">
      <formula>0</formula>
    </cfRule>
    <cfRule type="dataBar" priority="9">
      <dataBar>
        <cfvo type="num" val="0"/>
        <cfvo type="formula" val="$B71"/>
        <color rgb="FFE8AFC0"/>
      </dataBar>
      <extLst>
        <ext xmlns:x14="http://schemas.microsoft.com/office/spreadsheetml/2009/9/main" uri="{B025F937-C7B1-47D3-B67F-A62EFF666E3E}">
          <x14:id>{8758D988-1B42-4663-B53D-BA53E7371AE5}</x14:id>
        </ext>
      </extLst>
    </cfRule>
    <cfRule type="cellIs" dxfId="12" priority="10" operator="lessThan">
      <formula>0</formula>
    </cfRule>
  </conditionalFormatting>
  <conditionalFormatting sqref="D48:D52">
    <cfRule type="cellIs" dxfId="11" priority="11" stopIfTrue="1" operator="equal">
      <formula>0</formula>
    </cfRule>
    <cfRule type="dataBar" priority="12">
      <dataBar>
        <cfvo type="num" val="0"/>
        <cfvo type="formula" val="$B95"/>
        <color rgb="FFEBD98F"/>
      </dataBar>
      <extLst>
        <ext xmlns:x14="http://schemas.microsoft.com/office/spreadsheetml/2009/9/main" uri="{B025F937-C7B1-47D3-B67F-A62EFF666E3E}">
          <x14:id>{2D4EF8DF-59EA-4535-B616-F07EF0D7DB22}</x14:id>
        </ext>
      </extLst>
    </cfRule>
    <cfRule type="cellIs" dxfId="10" priority="13" operator="lessThan">
      <formula>0</formula>
    </cfRule>
  </conditionalFormatting>
  <conditionalFormatting sqref="D57:D60">
    <cfRule type="cellIs" dxfId="9" priority="14" stopIfTrue="1" operator="equal">
      <formula>0</formula>
    </cfRule>
    <cfRule type="dataBar" priority="15">
      <dataBar>
        <cfvo type="num" val="0"/>
        <cfvo type="formula" val="$B113"/>
        <color rgb="FFC7B8E8"/>
      </dataBar>
      <extLst>
        <ext xmlns:x14="http://schemas.microsoft.com/office/spreadsheetml/2009/9/main" uri="{B025F937-C7B1-47D3-B67F-A62EFF666E3E}">
          <x14:id>{D6BD6480-C090-4DC0-9EE6-2FB126D4ED41}</x14:id>
        </ext>
      </extLst>
    </cfRule>
    <cfRule type="cellIs" dxfId="8" priority="16" operator="lessThan">
      <formula>0</formula>
    </cfRule>
  </conditionalFormatting>
  <dataValidations count="4">
    <dataValidation type="list" allowBlank="1" showInputMessage="1" showErrorMessage="1" sqref="B8" xr:uid="{647600F2-B669-4E9F-B3BB-D2D14260DE57}">
      <formula1>CurrencyList</formula1>
    </dataValidation>
    <dataValidation type="list" allowBlank="1" showInputMessage="1" showErrorMessage="1" sqref="B6" xr:uid="{B4D71091-41EB-4070-99B8-F03880223C8E}">
      <formula1>PayFrequencyList</formula1>
    </dataValidation>
    <dataValidation type="list" allowBlank="1" showInputMessage="1" showErrorMessage="1" sqref="E15:E19 E24:E31 E36:E43 E48:E52 E57:E60" xr:uid="{F2D438E3-6BF8-43C4-A904-6F5E9DFDDB3B}">
      <formula1>"✓,​"</formula1>
    </dataValidation>
    <dataValidation allowBlank="1" showInputMessage="1" showErrorMessage="1" errorTitle="That's not a valid date" error="Please type a real date using your Excel's normal date format (any date through 2030)." promptTitle="Type a date" prompt="Use your Excel's normal date format. Any date through 2030 works." sqref="B5 B7" xr:uid="{82FE5522-C83F-4162-B2F1-1C6290E11F7A}"/>
  </dataValidations>
  <pageMargins left="0.7" right="0.7" top="0.75" bottom="0.75" header="0.3" footer="0.3"/>
  <pageSetup scale="45" orientation="landscape" r:id="rId1"/>
  <drawing r:id="rId2"/>
  <legacyDrawing r:id="rId3"/>
  <extLst>
    <ext xmlns:x14="http://schemas.microsoft.com/office/spreadsheetml/2009/9/main" uri="{78C0D931-6437-407d-A8EE-F0AAD7539E65}">
      <x14:conditionalFormattings>
        <x14:conditionalFormatting xmlns:xm="http://schemas.microsoft.com/office/excel/2006/main">
          <x14:cfRule type="dataBar" id="{8D280A46-128E-498C-A792-292279D0422C}">
            <x14:dataBar minLength="0" maxLength="100" direction="leftToRight" axisPosition="none">
              <x14:cfvo type="num">
                <xm:f>0</xm:f>
              </x14:cfvo>
              <x14:cfvo type="formula">
                <xm:f>$B29</xm:f>
              </x14:cfvo>
              <x14:negativeFillColor rgb="FFF0A8A0"/>
            </x14:dataBar>
          </x14:cfRule>
          <xm:sqref>D15:D19</xm:sqref>
        </x14:conditionalFormatting>
        <x14:conditionalFormatting xmlns:xm="http://schemas.microsoft.com/office/excel/2006/main">
          <x14:cfRule type="dataBar" id="{76312E28-E65A-4340-AAB8-586A9F237A0A}">
            <x14:dataBar minLength="0" maxLength="100" direction="leftToRight" axisPosition="none">
              <x14:cfvo type="num">
                <xm:f>0</xm:f>
              </x14:cfvo>
              <x14:cfvo type="formula">
                <xm:f>$B47</xm:f>
              </x14:cfvo>
              <x14:negativeFillColor rgb="FFF0A8A0"/>
            </x14:dataBar>
          </x14:cfRule>
          <xm:sqref>D24:D31</xm:sqref>
        </x14:conditionalFormatting>
        <x14:conditionalFormatting xmlns:xm="http://schemas.microsoft.com/office/excel/2006/main">
          <x14:cfRule type="dataBar" id="{8758D988-1B42-4663-B53D-BA53E7371AE5}">
            <x14:dataBar minLength="0" maxLength="100" direction="leftToRight" axisPosition="none">
              <x14:cfvo type="num">
                <xm:f>0</xm:f>
              </x14:cfvo>
              <x14:cfvo type="formula">
                <xm:f>$B71</xm:f>
              </x14:cfvo>
              <x14:negativeFillColor rgb="FFF0A8A0"/>
            </x14:dataBar>
          </x14:cfRule>
          <xm:sqref>D36:D43</xm:sqref>
        </x14:conditionalFormatting>
        <x14:conditionalFormatting xmlns:xm="http://schemas.microsoft.com/office/excel/2006/main">
          <x14:cfRule type="dataBar" id="{2D4EF8DF-59EA-4535-B616-F07EF0D7DB22}">
            <x14:dataBar minLength="0" maxLength="100" direction="leftToRight" axisPosition="none">
              <x14:cfvo type="num">
                <xm:f>0</xm:f>
              </x14:cfvo>
              <x14:cfvo type="formula">
                <xm:f>$B95</xm:f>
              </x14:cfvo>
              <x14:negativeFillColor rgb="FFF0A8A0"/>
            </x14:dataBar>
          </x14:cfRule>
          <xm:sqref>D48:D52</xm:sqref>
        </x14:conditionalFormatting>
        <x14:conditionalFormatting xmlns:xm="http://schemas.microsoft.com/office/excel/2006/main">
          <x14:cfRule type="dataBar" id="{D6BD6480-C090-4DC0-9EE6-2FB126D4ED41}">
            <x14:dataBar minLength="0" maxLength="100" direction="leftToRight" axisPosition="none">
              <x14:cfvo type="num">
                <xm:f>0</xm:f>
              </x14:cfvo>
              <x14:cfvo type="formula">
                <xm:f>$B113</xm:f>
              </x14:cfvo>
              <x14:negativeFillColor rgb="FFF0A8A0"/>
            </x14:dataBar>
          </x14:cfRule>
          <xm:sqref>D57:D60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95B07-C8EF-472B-86F4-2649DB8E7FDB}">
  <sheetPr>
    <tabColor rgb="FFCFE2ED"/>
  </sheetPr>
  <dimension ref="A1:E304"/>
  <sheetViews>
    <sheetView workbookViewId="0">
      <pane ySplit="4" topLeftCell="A5" activePane="bottomLeft" state="frozen"/>
      <selection pane="bottomLeft" activeCell="A5" sqref="A5"/>
    </sheetView>
  </sheetViews>
  <sheetFormatPr defaultRowHeight="15" x14ac:dyDescent="0.25"/>
  <cols>
    <col min="1" max="1" width="18.140625" style="4" customWidth="1"/>
    <col min="2" max="2" width="28.5703125" style="4" customWidth="1"/>
    <col min="3" max="3" width="15.28515625" style="4" customWidth="1"/>
    <col min="4" max="4" width="19" style="4" customWidth="1"/>
    <col min="5" max="5" width="41.85546875" style="4" customWidth="1"/>
  </cols>
  <sheetData>
    <row r="1" spans="1:5" ht="37.5" x14ac:dyDescent="0.5">
      <c r="A1" s="126" t="s">
        <v>73</v>
      </c>
    </row>
    <row r="2" spans="1:5" x14ac:dyDescent="0.25">
      <c r="A2" s="3" t="s">
        <v>210</v>
      </c>
    </row>
    <row r="4" spans="1:5" x14ac:dyDescent="0.25">
      <c r="A4" s="7" t="s">
        <v>74</v>
      </c>
      <c r="B4" s="7" t="s">
        <v>1</v>
      </c>
      <c r="C4" s="7" t="s">
        <v>2</v>
      </c>
      <c r="D4" s="7" t="s">
        <v>75</v>
      </c>
      <c r="E4" s="7" t="s">
        <v>76</v>
      </c>
    </row>
    <row r="5" spans="1:5" x14ac:dyDescent="0.25">
      <c r="A5" s="155"/>
      <c r="B5" s="141"/>
      <c r="C5" s="5"/>
      <c r="D5" s="134"/>
      <c r="E5" s="141"/>
    </row>
    <row r="6" spans="1:5" x14ac:dyDescent="0.25">
      <c r="A6" s="155"/>
      <c r="B6" s="141"/>
      <c r="C6" s="5">
        <f>IFERROR(_xlfn.XLOOKUP(TransactionsLog[[#This Row],[Category]],CategoryList,CategoryTypeList),"")</f>
        <v>0</v>
      </c>
      <c r="D6" s="134"/>
      <c r="E6" s="141"/>
    </row>
    <row r="7" spans="1:5" x14ac:dyDescent="0.25">
      <c r="A7" s="155"/>
      <c r="B7" s="141"/>
      <c r="C7" s="5">
        <f>IFERROR(_xlfn.XLOOKUP(TransactionsLog[[#This Row],[Category]],CategoryList,CategoryTypeList),"")</f>
        <v>0</v>
      </c>
      <c r="D7" s="134"/>
      <c r="E7" s="141"/>
    </row>
    <row r="8" spans="1:5" x14ac:dyDescent="0.25">
      <c r="A8" s="155"/>
      <c r="B8" s="141"/>
      <c r="C8" s="5">
        <f>IFERROR(_xlfn.XLOOKUP(TransactionsLog[[#This Row],[Category]],CategoryList,CategoryTypeList),"")</f>
        <v>0</v>
      </c>
      <c r="D8" s="134"/>
      <c r="E8" s="141"/>
    </row>
    <row r="9" spans="1:5" x14ac:dyDescent="0.25">
      <c r="A9" s="155"/>
      <c r="B9" s="141"/>
      <c r="C9" s="5">
        <f>IFERROR(_xlfn.XLOOKUP(TransactionsLog[[#This Row],[Category]],CategoryList,CategoryTypeList),"")</f>
        <v>0</v>
      </c>
      <c r="D9" s="134"/>
      <c r="E9" s="141"/>
    </row>
    <row r="10" spans="1:5" x14ac:dyDescent="0.25">
      <c r="A10" s="155"/>
      <c r="B10" s="141"/>
      <c r="C10" s="5">
        <f>IFERROR(_xlfn.XLOOKUP(TransactionsLog[[#This Row],[Category]],CategoryList,CategoryTypeList),"")</f>
        <v>0</v>
      </c>
      <c r="D10" s="134"/>
      <c r="E10" s="141"/>
    </row>
    <row r="11" spans="1:5" x14ac:dyDescent="0.25">
      <c r="A11" s="155"/>
      <c r="B11" s="141"/>
      <c r="C11" s="5">
        <f>IFERROR(_xlfn.XLOOKUP(TransactionsLog[[#This Row],[Category]],CategoryList,CategoryTypeList),"")</f>
        <v>0</v>
      </c>
      <c r="D11" s="134"/>
      <c r="E11" s="141"/>
    </row>
    <row r="12" spans="1:5" x14ac:dyDescent="0.25">
      <c r="A12" s="155"/>
      <c r="B12" s="141"/>
      <c r="C12" s="5">
        <f>IFERROR(_xlfn.XLOOKUP(TransactionsLog[[#This Row],[Category]],CategoryList,CategoryTypeList),"")</f>
        <v>0</v>
      </c>
      <c r="D12" s="134"/>
      <c r="E12" s="141"/>
    </row>
    <row r="13" spans="1:5" x14ac:dyDescent="0.25">
      <c r="A13" s="155"/>
      <c r="B13" s="141"/>
      <c r="C13" s="5">
        <f>IFERROR(_xlfn.XLOOKUP(TransactionsLog[[#This Row],[Category]],CategoryList,CategoryTypeList),"")</f>
        <v>0</v>
      </c>
      <c r="D13" s="134"/>
      <c r="E13" s="141"/>
    </row>
    <row r="14" spans="1:5" x14ac:dyDescent="0.25">
      <c r="A14" s="155"/>
      <c r="B14" s="141"/>
      <c r="C14" s="5">
        <f>IFERROR(_xlfn.XLOOKUP(TransactionsLog[[#This Row],[Category]],CategoryList,CategoryTypeList),"")</f>
        <v>0</v>
      </c>
      <c r="D14" s="134"/>
      <c r="E14" s="141"/>
    </row>
    <row r="15" spans="1:5" x14ac:dyDescent="0.25">
      <c r="A15" s="155"/>
      <c r="B15" s="141"/>
      <c r="C15" s="5">
        <f>IFERROR(_xlfn.XLOOKUP(TransactionsLog[[#This Row],[Category]],CategoryList,CategoryTypeList),"")</f>
        <v>0</v>
      </c>
      <c r="D15" s="134"/>
      <c r="E15" s="141"/>
    </row>
    <row r="16" spans="1:5" x14ac:dyDescent="0.25">
      <c r="A16" s="155"/>
      <c r="B16" s="141"/>
      <c r="C16" s="5">
        <f>IFERROR(_xlfn.XLOOKUP(TransactionsLog[[#This Row],[Category]],CategoryList,CategoryTypeList),"")</f>
        <v>0</v>
      </c>
      <c r="D16" s="134"/>
      <c r="E16" s="141"/>
    </row>
    <row r="17" spans="1:5" x14ac:dyDescent="0.25">
      <c r="A17" s="155"/>
      <c r="B17" s="141"/>
      <c r="C17" s="5">
        <f>IFERROR(_xlfn.XLOOKUP(TransactionsLog[[#This Row],[Category]],CategoryList,CategoryTypeList),"")</f>
        <v>0</v>
      </c>
      <c r="D17" s="134"/>
      <c r="E17" s="141"/>
    </row>
    <row r="18" spans="1:5" x14ac:dyDescent="0.25">
      <c r="A18" s="155"/>
      <c r="B18" s="141"/>
      <c r="C18" s="5">
        <f>IFERROR(_xlfn.XLOOKUP(TransactionsLog[[#This Row],[Category]],CategoryList,CategoryTypeList),"")</f>
        <v>0</v>
      </c>
      <c r="D18" s="134"/>
      <c r="E18" s="141"/>
    </row>
    <row r="19" spans="1:5" x14ac:dyDescent="0.25">
      <c r="A19" s="155"/>
      <c r="B19" s="141"/>
      <c r="C19" s="5">
        <f>IFERROR(_xlfn.XLOOKUP(TransactionsLog[[#This Row],[Category]],CategoryList,CategoryTypeList),"")</f>
        <v>0</v>
      </c>
      <c r="D19" s="134"/>
      <c r="E19" s="141"/>
    </row>
    <row r="20" spans="1:5" x14ac:dyDescent="0.25">
      <c r="A20" s="155"/>
      <c r="B20" s="141"/>
      <c r="C20" s="5">
        <f>IFERROR(_xlfn.XLOOKUP(TransactionsLog[[#This Row],[Category]],CategoryList,CategoryTypeList),"")</f>
        <v>0</v>
      </c>
      <c r="D20" s="134"/>
      <c r="E20" s="141"/>
    </row>
    <row r="21" spans="1:5" x14ac:dyDescent="0.25">
      <c r="A21" s="155"/>
      <c r="B21" s="141"/>
      <c r="C21" s="5">
        <f>IFERROR(_xlfn.XLOOKUP(TransactionsLog[[#This Row],[Category]],CategoryList,CategoryTypeList),"")</f>
        <v>0</v>
      </c>
      <c r="D21" s="134"/>
      <c r="E21" s="141"/>
    </row>
    <row r="22" spans="1:5" x14ac:dyDescent="0.25">
      <c r="A22" s="155"/>
      <c r="B22" s="141"/>
      <c r="C22" s="5">
        <f>IFERROR(_xlfn.XLOOKUP(TransactionsLog[[#This Row],[Category]],CategoryList,CategoryTypeList),"")</f>
        <v>0</v>
      </c>
      <c r="D22" s="134"/>
      <c r="E22" s="141"/>
    </row>
    <row r="23" spans="1:5" x14ac:dyDescent="0.25">
      <c r="A23" s="155"/>
      <c r="B23" s="141"/>
      <c r="C23" s="5">
        <f>IFERROR(_xlfn.XLOOKUP(TransactionsLog[[#This Row],[Category]],CategoryList,CategoryTypeList),"")</f>
        <v>0</v>
      </c>
      <c r="D23" s="134"/>
      <c r="E23" s="141"/>
    </row>
    <row r="24" spans="1:5" x14ac:dyDescent="0.25">
      <c r="A24" s="155"/>
      <c r="B24" s="141"/>
      <c r="C24" s="5">
        <f>IFERROR(_xlfn.XLOOKUP(TransactionsLog[[#This Row],[Category]],CategoryList,CategoryTypeList),"")</f>
        <v>0</v>
      </c>
      <c r="D24" s="134"/>
      <c r="E24" s="141"/>
    </row>
    <row r="25" spans="1:5" x14ac:dyDescent="0.25">
      <c r="A25" s="155"/>
      <c r="B25" s="141"/>
      <c r="C25" s="5">
        <f>IFERROR(_xlfn.XLOOKUP(TransactionsLog[[#This Row],[Category]],CategoryList,CategoryTypeList),"")</f>
        <v>0</v>
      </c>
      <c r="D25" s="134"/>
      <c r="E25" s="141"/>
    </row>
    <row r="26" spans="1:5" x14ac:dyDescent="0.25">
      <c r="A26" s="155"/>
      <c r="B26" s="141"/>
      <c r="C26" s="5">
        <f>IFERROR(_xlfn.XLOOKUP(TransactionsLog[[#This Row],[Category]],CategoryList,CategoryTypeList),"")</f>
        <v>0</v>
      </c>
      <c r="D26" s="134"/>
      <c r="E26" s="141"/>
    </row>
    <row r="27" spans="1:5" x14ac:dyDescent="0.25">
      <c r="A27" s="155"/>
      <c r="B27" s="141"/>
      <c r="C27" s="5">
        <f>IFERROR(_xlfn.XLOOKUP(TransactionsLog[[#This Row],[Category]],CategoryList,CategoryTypeList),"")</f>
        <v>0</v>
      </c>
      <c r="D27" s="134"/>
      <c r="E27" s="141"/>
    </row>
    <row r="28" spans="1:5" x14ac:dyDescent="0.25">
      <c r="A28" s="155"/>
      <c r="B28" s="141"/>
      <c r="C28" s="5">
        <f>IFERROR(_xlfn.XLOOKUP(TransactionsLog[[#This Row],[Category]],CategoryList,CategoryTypeList),"")</f>
        <v>0</v>
      </c>
      <c r="D28" s="134"/>
      <c r="E28" s="141"/>
    </row>
    <row r="29" spans="1:5" x14ac:dyDescent="0.25">
      <c r="A29" s="155"/>
      <c r="B29" s="141"/>
      <c r="C29" s="5">
        <f>IFERROR(_xlfn.XLOOKUP(TransactionsLog[[#This Row],[Category]],CategoryList,CategoryTypeList),"")</f>
        <v>0</v>
      </c>
      <c r="D29" s="134"/>
      <c r="E29" s="141"/>
    </row>
    <row r="30" spans="1:5" x14ac:dyDescent="0.25">
      <c r="A30" s="155"/>
      <c r="B30" s="141"/>
      <c r="C30" s="5">
        <f>IFERROR(_xlfn.XLOOKUP(TransactionsLog[[#This Row],[Category]],CategoryList,CategoryTypeList),"")</f>
        <v>0</v>
      </c>
      <c r="D30" s="134"/>
      <c r="E30" s="141"/>
    </row>
    <row r="31" spans="1:5" x14ac:dyDescent="0.25">
      <c r="A31" s="155"/>
      <c r="B31" s="141"/>
      <c r="C31" s="5">
        <f>IFERROR(_xlfn.XLOOKUP(TransactionsLog[[#This Row],[Category]],CategoryList,CategoryTypeList),"")</f>
        <v>0</v>
      </c>
      <c r="D31" s="134"/>
      <c r="E31" s="141"/>
    </row>
    <row r="32" spans="1:5" x14ac:dyDescent="0.25">
      <c r="A32" s="155"/>
      <c r="B32" s="141"/>
      <c r="C32" s="5">
        <f>IFERROR(_xlfn.XLOOKUP(TransactionsLog[[#This Row],[Category]],CategoryList,CategoryTypeList),"")</f>
        <v>0</v>
      </c>
      <c r="D32" s="134"/>
      <c r="E32" s="141"/>
    </row>
    <row r="33" spans="1:5" x14ac:dyDescent="0.25">
      <c r="A33" s="155"/>
      <c r="B33" s="141"/>
      <c r="C33" s="5">
        <f>IFERROR(_xlfn.XLOOKUP(TransactionsLog[[#This Row],[Category]],CategoryList,CategoryTypeList),"")</f>
        <v>0</v>
      </c>
      <c r="D33" s="134"/>
      <c r="E33" s="141"/>
    </row>
    <row r="34" spans="1:5" x14ac:dyDescent="0.25">
      <c r="A34" s="155"/>
      <c r="B34" s="141"/>
      <c r="C34" s="5">
        <f>IFERROR(_xlfn.XLOOKUP(TransactionsLog[[#This Row],[Category]],CategoryList,CategoryTypeList),"")</f>
        <v>0</v>
      </c>
      <c r="D34" s="134"/>
      <c r="E34" s="141"/>
    </row>
    <row r="35" spans="1:5" x14ac:dyDescent="0.25">
      <c r="A35" s="155"/>
      <c r="B35" s="141"/>
      <c r="C35" s="5">
        <f>IFERROR(_xlfn.XLOOKUP(TransactionsLog[[#This Row],[Category]],CategoryList,CategoryTypeList),"")</f>
        <v>0</v>
      </c>
      <c r="D35" s="134"/>
      <c r="E35" s="141"/>
    </row>
    <row r="36" spans="1:5" x14ac:dyDescent="0.25">
      <c r="A36" s="155"/>
      <c r="B36" s="141"/>
      <c r="C36" s="5">
        <f>IFERROR(_xlfn.XLOOKUP(TransactionsLog[[#This Row],[Category]],CategoryList,CategoryTypeList),"")</f>
        <v>0</v>
      </c>
      <c r="D36" s="134"/>
      <c r="E36" s="141"/>
    </row>
    <row r="37" spans="1:5" x14ac:dyDescent="0.25">
      <c r="A37" s="155"/>
      <c r="B37" s="141"/>
      <c r="C37" s="5">
        <f>IFERROR(_xlfn.XLOOKUP(TransactionsLog[[#This Row],[Category]],CategoryList,CategoryTypeList),"")</f>
        <v>0</v>
      </c>
      <c r="D37" s="134"/>
      <c r="E37" s="141"/>
    </row>
    <row r="38" spans="1:5" x14ac:dyDescent="0.25">
      <c r="A38" s="155"/>
      <c r="B38" s="141"/>
      <c r="C38" s="5">
        <f>IFERROR(_xlfn.XLOOKUP(TransactionsLog[[#This Row],[Category]],CategoryList,CategoryTypeList),"")</f>
        <v>0</v>
      </c>
      <c r="D38" s="134"/>
      <c r="E38" s="141"/>
    </row>
    <row r="39" spans="1:5" x14ac:dyDescent="0.25">
      <c r="A39" s="155"/>
      <c r="B39" s="141"/>
      <c r="C39" s="5">
        <f>IFERROR(_xlfn.XLOOKUP(TransactionsLog[[#This Row],[Category]],CategoryList,CategoryTypeList),"")</f>
        <v>0</v>
      </c>
      <c r="D39" s="134"/>
      <c r="E39" s="141"/>
    </row>
    <row r="40" spans="1:5" x14ac:dyDescent="0.25">
      <c r="A40" s="155"/>
      <c r="B40" s="141"/>
      <c r="C40" s="5">
        <f>IFERROR(_xlfn.XLOOKUP(TransactionsLog[[#This Row],[Category]],CategoryList,CategoryTypeList),"")</f>
        <v>0</v>
      </c>
      <c r="D40" s="134"/>
      <c r="E40" s="141"/>
    </row>
    <row r="41" spans="1:5" x14ac:dyDescent="0.25">
      <c r="A41" s="155"/>
      <c r="B41" s="141"/>
      <c r="C41" s="5">
        <f>IFERROR(_xlfn.XLOOKUP(TransactionsLog[[#This Row],[Category]],CategoryList,CategoryTypeList),"")</f>
        <v>0</v>
      </c>
      <c r="D41" s="134"/>
      <c r="E41" s="141"/>
    </row>
    <row r="42" spans="1:5" x14ac:dyDescent="0.25">
      <c r="A42" s="155"/>
      <c r="B42" s="141"/>
      <c r="C42" s="5">
        <f>IFERROR(_xlfn.XLOOKUP(TransactionsLog[[#This Row],[Category]],CategoryList,CategoryTypeList),"")</f>
        <v>0</v>
      </c>
      <c r="D42" s="134"/>
      <c r="E42" s="141"/>
    </row>
    <row r="43" spans="1:5" x14ac:dyDescent="0.25">
      <c r="A43" s="155"/>
      <c r="B43" s="141"/>
      <c r="C43" s="5">
        <f>IFERROR(_xlfn.XLOOKUP(TransactionsLog[[#This Row],[Category]],CategoryList,CategoryTypeList),"")</f>
        <v>0</v>
      </c>
      <c r="D43" s="134"/>
      <c r="E43" s="141"/>
    </row>
    <row r="44" spans="1:5" x14ac:dyDescent="0.25">
      <c r="A44" s="155"/>
      <c r="B44" s="141"/>
      <c r="C44" s="5">
        <f>IFERROR(_xlfn.XLOOKUP(TransactionsLog[[#This Row],[Category]],CategoryList,CategoryTypeList),"")</f>
        <v>0</v>
      </c>
      <c r="D44" s="134"/>
      <c r="E44" s="141"/>
    </row>
    <row r="45" spans="1:5" x14ac:dyDescent="0.25">
      <c r="A45" s="155"/>
      <c r="B45" s="141"/>
      <c r="C45" s="5">
        <f>IFERROR(_xlfn.XLOOKUP(TransactionsLog[[#This Row],[Category]],CategoryList,CategoryTypeList),"")</f>
        <v>0</v>
      </c>
      <c r="D45" s="134"/>
      <c r="E45" s="141"/>
    </row>
    <row r="46" spans="1:5" x14ac:dyDescent="0.25">
      <c r="A46" s="155"/>
      <c r="B46" s="141"/>
      <c r="C46" s="5">
        <f>IFERROR(_xlfn.XLOOKUP(TransactionsLog[[#This Row],[Category]],CategoryList,CategoryTypeList),"")</f>
        <v>0</v>
      </c>
      <c r="D46" s="134"/>
      <c r="E46" s="141"/>
    </row>
    <row r="47" spans="1:5" x14ac:dyDescent="0.25">
      <c r="A47" s="155"/>
      <c r="B47" s="141"/>
      <c r="C47" s="5">
        <f>IFERROR(_xlfn.XLOOKUP(TransactionsLog[[#This Row],[Category]],CategoryList,CategoryTypeList),"")</f>
        <v>0</v>
      </c>
      <c r="D47" s="134"/>
      <c r="E47" s="141"/>
    </row>
    <row r="48" spans="1:5" x14ac:dyDescent="0.25">
      <c r="A48" s="155"/>
      <c r="B48" s="141"/>
      <c r="C48" s="5">
        <f>IFERROR(_xlfn.XLOOKUP(TransactionsLog[[#This Row],[Category]],CategoryList,CategoryTypeList),"")</f>
        <v>0</v>
      </c>
      <c r="D48" s="134"/>
      <c r="E48" s="141"/>
    </row>
    <row r="49" spans="1:5" x14ac:dyDescent="0.25">
      <c r="A49" s="155"/>
      <c r="B49" s="141"/>
      <c r="C49" s="5">
        <f>IFERROR(_xlfn.XLOOKUP(TransactionsLog[[#This Row],[Category]],CategoryList,CategoryTypeList),"")</f>
        <v>0</v>
      </c>
      <c r="D49" s="134"/>
      <c r="E49" s="141"/>
    </row>
    <row r="50" spans="1:5" x14ac:dyDescent="0.25">
      <c r="A50" s="155"/>
      <c r="B50" s="141"/>
      <c r="C50" s="5">
        <f>IFERROR(_xlfn.XLOOKUP(TransactionsLog[[#This Row],[Category]],CategoryList,CategoryTypeList),"")</f>
        <v>0</v>
      </c>
      <c r="D50" s="134"/>
      <c r="E50" s="141"/>
    </row>
    <row r="51" spans="1:5" x14ac:dyDescent="0.25">
      <c r="A51" s="155"/>
      <c r="B51" s="141"/>
      <c r="C51" s="5">
        <f>IFERROR(_xlfn.XLOOKUP(TransactionsLog[[#This Row],[Category]],CategoryList,CategoryTypeList),"")</f>
        <v>0</v>
      </c>
      <c r="D51" s="134"/>
      <c r="E51" s="141"/>
    </row>
    <row r="52" spans="1:5" x14ac:dyDescent="0.25">
      <c r="A52" s="155"/>
      <c r="B52" s="141"/>
      <c r="C52" s="5">
        <f>IFERROR(_xlfn.XLOOKUP(TransactionsLog[[#This Row],[Category]],CategoryList,CategoryTypeList),"")</f>
        <v>0</v>
      </c>
      <c r="D52" s="134"/>
      <c r="E52" s="141"/>
    </row>
    <row r="53" spans="1:5" x14ac:dyDescent="0.25">
      <c r="A53" s="155"/>
      <c r="B53" s="141"/>
      <c r="C53" s="5">
        <f>IFERROR(_xlfn.XLOOKUP(TransactionsLog[[#This Row],[Category]],CategoryList,CategoryTypeList),"")</f>
        <v>0</v>
      </c>
      <c r="D53" s="134"/>
      <c r="E53" s="141"/>
    </row>
    <row r="54" spans="1:5" x14ac:dyDescent="0.25">
      <c r="A54" s="155"/>
      <c r="B54" s="141"/>
      <c r="C54" s="5">
        <f>IFERROR(_xlfn.XLOOKUP(TransactionsLog[[#This Row],[Category]],CategoryList,CategoryTypeList),"")</f>
        <v>0</v>
      </c>
      <c r="D54" s="134"/>
      <c r="E54" s="141"/>
    </row>
    <row r="55" spans="1:5" x14ac:dyDescent="0.25">
      <c r="A55" s="155"/>
      <c r="B55" s="141"/>
      <c r="C55" s="5">
        <f>IFERROR(_xlfn.XLOOKUP(TransactionsLog[[#This Row],[Category]],CategoryList,CategoryTypeList),"")</f>
        <v>0</v>
      </c>
      <c r="D55" s="134"/>
      <c r="E55" s="141"/>
    </row>
    <row r="56" spans="1:5" x14ac:dyDescent="0.25">
      <c r="A56" s="155"/>
      <c r="B56" s="141"/>
      <c r="C56" s="5">
        <f>IFERROR(_xlfn.XLOOKUP(TransactionsLog[[#This Row],[Category]],CategoryList,CategoryTypeList),"")</f>
        <v>0</v>
      </c>
      <c r="D56" s="134"/>
      <c r="E56" s="141"/>
    </row>
    <row r="57" spans="1:5" x14ac:dyDescent="0.25">
      <c r="A57" s="155"/>
      <c r="B57" s="141"/>
      <c r="C57" s="5">
        <f>IFERROR(_xlfn.XLOOKUP(TransactionsLog[[#This Row],[Category]],CategoryList,CategoryTypeList),"")</f>
        <v>0</v>
      </c>
      <c r="D57" s="134"/>
      <c r="E57" s="141"/>
    </row>
    <row r="58" spans="1:5" x14ac:dyDescent="0.25">
      <c r="A58" s="155"/>
      <c r="B58" s="141"/>
      <c r="C58" s="5">
        <f>IFERROR(_xlfn.XLOOKUP(TransactionsLog[[#This Row],[Category]],CategoryList,CategoryTypeList),"")</f>
        <v>0</v>
      </c>
      <c r="D58" s="134"/>
      <c r="E58" s="141"/>
    </row>
    <row r="59" spans="1:5" x14ac:dyDescent="0.25">
      <c r="A59" s="155"/>
      <c r="B59" s="141"/>
      <c r="C59" s="5">
        <f>IFERROR(_xlfn.XLOOKUP(TransactionsLog[[#This Row],[Category]],CategoryList,CategoryTypeList),"")</f>
        <v>0</v>
      </c>
      <c r="D59" s="134"/>
      <c r="E59" s="141"/>
    </row>
    <row r="60" spans="1:5" x14ac:dyDescent="0.25">
      <c r="A60" s="155"/>
      <c r="B60" s="141"/>
      <c r="C60" s="5">
        <f>IFERROR(_xlfn.XLOOKUP(TransactionsLog[[#This Row],[Category]],CategoryList,CategoryTypeList),"")</f>
        <v>0</v>
      </c>
      <c r="D60" s="134"/>
      <c r="E60" s="141"/>
    </row>
    <row r="61" spans="1:5" x14ac:dyDescent="0.25">
      <c r="A61" s="155"/>
      <c r="B61" s="141"/>
      <c r="C61" s="5">
        <f>IFERROR(_xlfn.XLOOKUP(TransactionsLog[[#This Row],[Category]],CategoryList,CategoryTypeList),"")</f>
        <v>0</v>
      </c>
      <c r="D61" s="134"/>
      <c r="E61" s="141"/>
    </row>
    <row r="62" spans="1:5" x14ac:dyDescent="0.25">
      <c r="A62" s="155"/>
      <c r="B62" s="141"/>
      <c r="C62" s="5">
        <f>IFERROR(_xlfn.XLOOKUP(TransactionsLog[[#This Row],[Category]],CategoryList,CategoryTypeList),"")</f>
        <v>0</v>
      </c>
      <c r="D62" s="134"/>
      <c r="E62" s="141"/>
    </row>
    <row r="63" spans="1:5" x14ac:dyDescent="0.25">
      <c r="A63" s="155"/>
      <c r="B63" s="141"/>
      <c r="C63" s="5">
        <f>IFERROR(_xlfn.XLOOKUP(TransactionsLog[[#This Row],[Category]],CategoryList,CategoryTypeList),"")</f>
        <v>0</v>
      </c>
      <c r="D63" s="134"/>
      <c r="E63" s="141"/>
    </row>
    <row r="64" spans="1:5" x14ac:dyDescent="0.25">
      <c r="A64" s="155"/>
      <c r="B64" s="141"/>
      <c r="C64" s="5">
        <f>IFERROR(_xlfn.XLOOKUP(TransactionsLog[[#This Row],[Category]],CategoryList,CategoryTypeList),"")</f>
        <v>0</v>
      </c>
      <c r="D64" s="134"/>
      <c r="E64" s="141"/>
    </row>
    <row r="65" spans="1:5" x14ac:dyDescent="0.25">
      <c r="A65" s="155"/>
      <c r="B65" s="141"/>
      <c r="C65" s="5">
        <f>IFERROR(_xlfn.XLOOKUP(TransactionsLog[[#This Row],[Category]],CategoryList,CategoryTypeList),"")</f>
        <v>0</v>
      </c>
      <c r="D65" s="134"/>
      <c r="E65" s="141"/>
    </row>
    <row r="66" spans="1:5" x14ac:dyDescent="0.25">
      <c r="A66" s="155"/>
      <c r="B66" s="141"/>
      <c r="C66" s="5">
        <f>IFERROR(_xlfn.XLOOKUP(TransactionsLog[[#This Row],[Category]],CategoryList,CategoryTypeList),"")</f>
        <v>0</v>
      </c>
      <c r="D66" s="134"/>
      <c r="E66" s="141"/>
    </row>
    <row r="67" spans="1:5" x14ac:dyDescent="0.25">
      <c r="A67" s="155"/>
      <c r="B67" s="141"/>
      <c r="C67" s="5">
        <f>IFERROR(_xlfn.XLOOKUP(TransactionsLog[[#This Row],[Category]],CategoryList,CategoryTypeList),"")</f>
        <v>0</v>
      </c>
      <c r="D67" s="134"/>
      <c r="E67" s="141"/>
    </row>
    <row r="68" spans="1:5" x14ac:dyDescent="0.25">
      <c r="A68" s="155"/>
      <c r="B68" s="141"/>
      <c r="C68" s="5">
        <f>IFERROR(_xlfn.XLOOKUP(TransactionsLog[[#This Row],[Category]],CategoryList,CategoryTypeList),"")</f>
        <v>0</v>
      </c>
      <c r="D68" s="134"/>
      <c r="E68" s="141"/>
    </row>
    <row r="69" spans="1:5" x14ac:dyDescent="0.25">
      <c r="A69" s="155"/>
      <c r="B69" s="141"/>
      <c r="C69" s="5">
        <f>IFERROR(_xlfn.XLOOKUP(TransactionsLog[[#This Row],[Category]],CategoryList,CategoryTypeList),"")</f>
        <v>0</v>
      </c>
      <c r="D69" s="134"/>
      <c r="E69" s="141"/>
    </row>
    <row r="70" spans="1:5" x14ac:dyDescent="0.25">
      <c r="A70" s="155"/>
      <c r="B70" s="141"/>
      <c r="C70" s="5">
        <f>IFERROR(_xlfn.XLOOKUP(TransactionsLog[[#This Row],[Category]],CategoryList,CategoryTypeList),"")</f>
        <v>0</v>
      </c>
      <c r="D70" s="134"/>
      <c r="E70" s="141"/>
    </row>
    <row r="71" spans="1:5" x14ac:dyDescent="0.25">
      <c r="A71" s="155"/>
      <c r="B71" s="141"/>
      <c r="C71" s="5">
        <f>IFERROR(_xlfn.XLOOKUP(TransactionsLog[[#This Row],[Category]],CategoryList,CategoryTypeList),"")</f>
        <v>0</v>
      </c>
      <c r="D71" s="134"/>
      <c r="E71" s="141"/>
    </row>
    <row r="72" spans="1:5" x14ac:dyDescent="0.25">
      <c r="A72" s="155"/>
      <c r="B72" s="141"/>
      <c r="C72" s="5">
        <f>IFERROR(_xlfn.XLOOKUP(TransactionsLog[[#This Row],[Category]],CategoryList,CategoryTypeList),"")</f>
        <v>0</v>
      </c>
      <c r="D72" s="134"/>
      <c r="E72" s="141"/>
    </row>
    <row r="73" spans="1:5" x14ac:dyDescent="0.25">
      <c r="A73" s="155"/>
      <c r="B73" s="141"/>
      <c r="C73" s="5">
        <f>IFERROR(_xlfn.XLOOKUP(TransactionsLog[[#This Row],[Category]],CategoryList,CategoryTypeList),"")</f>
        <v>0</v>
      </c>
      <c r="D73" s="134"/>
      <c r="E73" s="141"/>
    </row>
    <row r="74" spans="1:5" x14ac:dyDescent="0.25">
      <c r="A74" s="155"/>
      <c r="B74" s="141"/>
      <c r="C74" s="5">
        <f>IFERROR(_xlfn.XLOOKUP(TransactionsLog[[#This Row],[Category]],CategoryList,CategoryTypeList),"")</f>
        <v>0</v>
      </c>
      <c r="D74" s="134"/>
      <c r="E74" s="141"/>
    </row>
    <row r="75" spans="1:5" x14ac:dyDescent="0.25">
      <c r="A75" s="155"/>
      <c r="B75" s="141"/>
      <c r="C75" s="5">
        <f>IFERROR(_xlfn.XLOOKUP(TransactionsLog[[#This Row],[Category]],CategoryList,CategoryTypeList),"")</f>
        <v>0</v>
      </c>
      <c r="D75" s="134"/>
      <c r="E75" s="141"/>
    </row>
    <row r="76" spans="1:5" x14ac:dyDescent="0.25">
      <c r="A76" s="155"/>
      <c r="B76" s="141"/>
      <c r="C76" s="5">
        <f>IFERROR(_xlfn.XLOOKUP(TransactionsLog[[#This Row],[Category]],CategoryList,CategoryTypeList),"")</f>
        <v>0</v>
      </c>
      <c r="D76" s="134"/>
      <c r="E76" s="141"/>
    </row>
    <row r="77" spans="1:5" x14ac:dyDescent="0.25">
      <c r="A77" s="155"/>
      <c r="B77" s="141"/>
      <c r="C77" s="5">
        <f>IFERROR(_xlfn.XLOOKUP(TransactionsLog[[#This Row],[Category]],CategoryList,CategoryTypeList),"")</f>
        <v>0</v>
      </c>
      <c r="D77" s="134"/>
      <c r="E77" s="141"/>
    </row>
    <row r="78" spans="1:5" x14ac:dyDescent="0.25">
      <c r="A78" s="155"/>
      <c r="B78" s="141"/>
      <c r="C78" s="5">
        <f>IFERROR(_xlfn.XLOOKUP(TransactionsLog[[#This Row],[Category]],CategoryList,CategoryTypeList),"")</f>
        <v>0</v>
      </c>
      <c r="D78" s="134"/>
      <c r="E78" s="141"/>
    </row>
    <row r="79" spans="1:5" x14ac:dyDescent="0.25">
      <c r="A79" s="155"/>
      <c r="B79" s="141"/>
      <c r="C79" s="5">
        <f>IFERROR(_xlfn.XLOOKUP(TransactionsLog[[#This Row],[Category]],CategoryList,CategoryTypeList),"")</f>
        <v>0</v>
      </c>
      <c r="D79" s="134"/>
      <c r="E79" s="141"/>
    </row>
    <row r="80" spans="1:5" x14ac:dyDescent="0.25">
      <c r="A80" s="155"/>
      <c r="B80" s="141"/>
      <c r="C80" s="5">
        <f>IFERROR(_xlfn.XLOOKUP(TransactionsLog[[#This Row],[Category]],CategoryList,CategoryTypeList),"")</f>
        <v>0</v>
      </c>
      <c r="D80" s="134"/>
      <c r="E80" s="141"/>
    </row>
    <row r="81" spans="1:5" x14ac:dyDescent="0.25">
      <c r="A81" s="155"/>
      <c r="B81" s="141"/>
      <c r="C81" s="5">
        <f>IFERROR(_xlfn.XLOOKUP(TransactionsLog[[#This Row],[Category]],CategoryList,CategoryTypeList),"")</f>
        <v>0</v>
      </c>
      <c r="D81" s="134"/>
      <c r="E81" s="141"/>
    </row>
    <row r="82" spans="1:5" x14ac:dyDescent="0.25">
      <c r="A82" s="155"/>
      <c r="B82" s="141"/>
      <c r="C82" s="5">
        <f>IFERROR(_xlfn.XLOOKUP(TransactionsLog[[#This Row],[Category]],CategoryList,CategoryTypeList),"")</f>
        <v>0</v>
      </c>
      <c r="D82" s="134"/>
      <c r="E82" s="141"/>
    </row>
    <row r="83" spans="1:5" x14ac:dyDescent="0.25">
      <c r="A83" s="155"/>
      <c r="B83" s="141"/>
      <c r="C83" s="5">
        <f>IFERROR(_xlfn.XLOOKUP(TransactionsLog[[#This Row],[Category]],CategoryList,CategoryTypeList),"")</f>
        <v>0</v>
      </c>
      <c r="D83" s="134"/>
      <c r="E83" s="141"/>
    </row>
    <row r="84" spans="1:5" x14ac:dyDescent="0.25">
      <c r="A84" s="155"/>
      <c r="B84" s="141"/>
      <c r="C84" s="5">
        <f>IFERROR(_xlfn.XLOOKUP(TransactionsLog[[#This Row],[Category]],CategoryList,CategoryTypeList),"")</f>
        <v>0</v>
      </c>
      <c r="D84" s="134"/>
      <c r="E84" s="141"/>
    </row>
    <row r="85" spans="1:5" x14ac:dyDescent="0.25">
      <c r="A85" s="155"/>
      <c r="B85" s="141"/>
      <c r="C85" s="5">
        <f>IFERROR(_xlfn.XLOOKUP(TransactionsLog[[#This Row],[Category]],CategoryList,CategoryTypeList),"")</f>
        <v>0</v>
      </c>
      <c r="D85" s="134"/>
      <c r="E85" s="141"/>
    </row>
    <row r="86" spans="1:5" x14ac:dyDescent="0.25">
      <c r="A86" s="155"/>
      <c r="B86" s="141"/>
      <c r="C86" s="5">
        <f>IFERROR(_xlfn.XLOOKUP(TransactionsLog[[#This Row],[Category]],CategoryList,CategoryTypeList),"")</f>
        <v>0</v>
      </c>
      <c r="D86" s="134"/>
      <c r="E86" s="141"/>
    </row>
    <row r="87" spans="1:5" x14ac:dyDescent="0.25">
      <c r="A87" s="155"/>
      <c r="B87" s="141"/>
      <c r="C87" s="5">
        <f>IFERROR(_xlfn.XLOOKUP(TransactionsLog[[#This Row],[Category]],CategoryList,CategoryTypeList),"")</f>
        <v>0</v>
      </c>
      <c r="D87" s="134"/>
      <c r="E87" s="141"/>
    </row>
    <row r="88" spans="1:5" x14ac:dyDescent="0.25">
      <c r="A88" s="155"/>
      <c r="B88" s="141"/>
      <c r="C88" s="5">
        <f>IFERROR(_xlfn.XLOOKUP(TransactionsLog[[#This Row],[Category]],CategoryList,CategoryTypeList),"")</f>
        <v>0</v>
      </c>
      <c r="D88" s="134"/>
      <c r="E88" s="141"/>
    </row>
    <row r="89" spans="1:5" x14ac:dyDescent="0.25">
      <c r="A89" s="155"/>
      <c r="B89" s="141"/>
      <c r="C89" s="5">
        <f>IFERROR(_xlfn.XLOOKUP(TransactionsLog[[#This Row],[Category]],CategoryList,CategoryTypeList),"")</f>
        <v>0</v>
      </c>
      <c r="D89" s="134"/>
      <c r="E89" s="141"/>
    </row>
    <row r="90" spans="1:5" x14ac:dyDescent="0.25">
      <c r="A90" s="155"/>
      <c r="B90" s="141"/>
      <c r="C90" s="5">
        <f>IFERROR(_xlfn.XLOOKUP(TransactionsLog[[#This Row],[Category]],CategoryList,CategoryTypeList),"")</f>
        <v>0</v>
      </c>
      <c r="D90" s="134"/>
      <c r="E90" s="141"/>
    </row>
    <row r="91" spans="1:5" x14ac:dyDescent="0.25">
      <c r="A91" s="155"/>
      <c r="B91" s="141"/>
      <c r="C91" s="5">
        <f>IFERROR(_xlfn.XLOOKUP(TransactionsLog[[#This Row],[Category]],CategoryList,CategoryTypeList),"")</f>
        <v>0</v>
      </c>
      <c r="D91" s="134"/>
      <c r="E91" s="141"/>
    </row>
    <row r="92" spans="1:5" x14ac:dyDescent="0.25">
      <c r="A92" s="155"/>
      <c r="B92" s="141"/>
      <c r="C92" s="5">
        <f>IFERROR(_xlfn.XLOOKUP(TransactionsLog[[#This Row],[Category]],CategoryList,CategoryTypeList),"")</f>
        <v>0</v>
      </c>
      <c r="D92" s="134"/>
      <c r="E92" s="141"/>
    </row>
    <row r="93" spans="1:5" x14ac:dyDescent="0.25">
      <c r="A93" s="155"/>
      <c r="B93" s="141"/>
      <c r="C93" s="5">
        <f>IFERROR(_xlfn.XLOOKUP(TransactionsLog[[#This Row],[Category]],CategoryList,CategoryTypeList),"")</f>
        <v>0</v>
      </c>
      <c r="D93" s="134"/>
      <c r="E93" s="141"/>
    </row>
    <row r="94" spans="1:5" x14ac:dyDescent="0.25">
      <c r="A94" s="155"/>
      <c r="B94" s="141"/>
      <c r="C94" s="5">
        <f>IFERROR(_xlfn.XLOOKUP(TransactionsLog[[#This Row],[Category]],CategoryList,CategoryTypeList),"")</f>
        <v>0</v>
      </c>
      <c r="D94" s="134"/>
      <c r="E94" s="141"/>
    </row>
    <row r="95" spans="1:5" x14ac:dyDescent="0.25">
      <c r="A95" s="155"/>
      <c r="B95" s="141"/>
      <c r="C95" s="5">
        <f>IFERROR(_xlfn.XLOOKUP(TransactionsLog[[#This Row],[Category]],CategoryList,CategoryTypeList),"")</f>
        <v>0</v>
      </c>
      <c r="D95" s="134"/>
      <c r="E95" s="141"/>
    </row>
    <row r="96" spans="1:5" x14ac:dyDescent="0.25">
      <c r="A96" s="155"/>
      <c r="B96" s="141"/>
      <c r="C96" s="5">
        <f>IFERROR(_xlfn.XLOOKUP(TransactionsLog[[#This Row],[Category]],CategoryList,CategoryTypeList),"")</f>
        <v>0</v>
      </c>
      <c r="D96" s="134"/>
      <c r="E96" s="141"/>
    </row>
    <row r="97" spans="1:5" x14ac:dyDescent="0.25">
      <c r="A97" s="155"/>
      <c r="B97" s="141"/>
      <c r="C97" s="5">
        <f>IFERROR(_xlfn.XLOOKUP(TransactionsLog[[#This Row],[Category]],CategoryList,CategoryTypeList),"")</f>
        <v>0</v>
      </c>
      <c r="D97" s="134"/>
      <c r="E97" s="141"/>
    </row>
    <row r="98" spans="1:5" x14ac:dyDescent="0.25">
      <c r="A98" s="155"/>
      <c r="B98" s="141"/>
      <c r="C98" s="5">
        <f>IFERROR(_xlfn.XLOOKUP(TransactionsLog[[#This Row],[Category]],CategoryList,CategoryTypeList),"")</f>
        <v>0</v>
      </c>
      <c r="D98" s="134"/>
      <c r="E98" s="141"/>
    </row>
    <row r="99" spans="1:5" x14ac:dyDescent="0.25">
      <c r="A99" s="155"/>
      <c r="B99" s="141"/>
      <c r="C99" s="5">
        <f>IFERROR(_xlfn.XLOOKUP(TransactionsLog[[#This Row],[Category]],CategoryList,CategoryTypeList),"")</f>
        <v>0</v>
      </c>
      <c r="D99" s="134"/>
      <c r="E99" s="141"/>
    </row>
    <row r="100" spans="1:5" x14ac:dyDescent="0.25">
      <c r="A100" s="155"/>
      <c r="B100" s="141"/>
      <c r="C100" s="5">
        <f>IFERROR(_xlfn.XLOOKUP(TransactionsLog[[#This Row],[Category]],CategoryList,CategoryTypeList),"")</f>
        <v>0</v>
      </c>
      <c r="D100" s="134"/>
      <c r="E100" s="141"/>
    </row>
    <row r="101" spans="1:5" x14ac:dyDescent="0.25">
      <c r="A101" s="155"/>
      <c r="B101" s="141"/>
      <c r="C101" s="5">
        <f>IFERROR(_xlfn.XLOOKUP(TransactionsLog[[#This Row],[Category]],CategoryList,CategoryTypeList),"")</f>
        <v>0</v>
      </c>
      <c r="D101" s="134"/>
      <c r="E101" s="141"/>
    </row>
    <row r="102" spans="1:5" x14ac:dyDescent="0.25">
      <c r="A102" s="155"/>
      <c r="B102" s="141"/>
      <c r="C102" s="5">
        <f>IFERROR(_xlfn.XLOOKUP(TransactionsLog[[#This Row],[Category]],CategoryList,CategoryTypeList),"")</f>
        <v>0</v>
      </c>
      <c r="D102" s="134"/>
      <c r="E102" s="141"/>
    </row>
    <row r="103" spans="1:5" x14ac:dyDescent="0.25">
      <c r="A103" s="155"/>
      <c r="B103" s="141"/>
      <c r="C103" s="5">
        <f>IFERROR(_xlfn.XLOOKUP(TransactionsLog[[#This Row],[Category]],CategoryList,CategoryTypeList),"")</f>
        <v>0</v>
      </c>
      <c r="D103" s="134"/>
      <c r="E103" s="141"/>
    </row>
    <row r="104" spans="1:5" x14ac:dyDescent="0.25">
      <c r="A104" s="155"/>
      <c r="B104" s="141"/>
      <c r="C104" s="5">
        <f>IFERROR(_xlfn.XLOOKUP(TransactionsLog[[#This Row],[Category]],CategoryList,CategoryTypeList),"")</f>
        <v>0</v>
      </c>
      <c r="D104" s="134"/>
      <c r="E104" s="141"/>
    </row>
    <row r="105" spans="1:5" x14ac:dyDescent="0.25">
      <c r="A105" s="155"/>
      <c r="B105" s="141"/>
      <c r="C105" s="5">
        <f>IFERROR(_xlfn.XLOOKUP(TransactionsLog[[#This Row],[Category]],CategoryList,CategoryTypeList),"")</f>
        <v>0</v>
      </c>
      <c r="D105" s="134"/>
      <c r="E105" s="141"/>
    </row>
    <row r="106" spans="1:5" x14ac:dyDescent="0.25">
      <c r="A106" s="155"/>
      <c r="B106" s="141"/>
      <c r="C106" s="5">
        <f>IFERROR(_xlfn.XLOOKUP(TransactionsLog[[#This Row],[Category]],CategoryList,CategoryTypeList),"")</f>
        <v>0</v>
      </c>
      <c r="D106" s="134"/>
      <c r="E106" s="141"/>
    </row>
    <row r="107" spans="1:5" x14ac:dyDescent="0.25">
      <c r="A107" s="155"/>
      <c r="B107" s="141"/>
      <c r="C107" s="5">
        <f>IFERROR(_xlfn.XLOOKUP(TransactionsLog[[#This Row],[Category]],CategoryList,CategoryTypeList),"")</f>
        <v>0</v>
      </c>
      <c r="D107" s="134"/>
      <c r="E107" s="141"/>
    </row>
    <row r="108" spans="1:5" x14ac:dyDescent="0.25">
      <c r="A108" s="155"/>
      <c r="B108" s="141"/>
      <c r="C108" s="5">
        <f>IFERROR(_xlfn.XLOOKUP(TransactionsLog[[#This Row],[Category]],CategoryList,CategoryTypeList),"")</f>
        <v>0</v>
      </c>
      <c r="D108" s="134"/>
      <c r="E108" s="141"/>
    </row>
    <row r="109" spans="1:5" x14ac:dyDescent="0.25">
      <c r="A109" s="155"/>
      <c r="B109" s="141"/>
      <c r="C109" s="5">
        <f>IFERROR(_xlfn.XLOOKUP(TransactionsLog[[#This Row],[Category]],CategoryList,CategoryTypeList),"")</f>
        <v>0</v>
      </c>
      <c r="D109" s="134"/>
      <c r="E109" s="141"/>
    </row>
    <row r="110" spans="1:5" x14ac:dyDescent="0.25">
      <c r="A110" s="155"/>
      <c r="B110" s="141"/>
      <c r="C110" s="5">
        <f>IFERROR(_xlfn.XLOOKUP(TransactionsLog[[#This Row],[Category]],CategoryList,CategoryTypeList),"")</f>
        <v>0</v>
      </c>
      <c r="D110" s="134"/>
      <c r="E110" s="141"/>
    </row>
    <row r="111" spans="1:5" x14ac:dyDescent="0.25">
      <c r="A111" s="155"/>
      <c r="B111" s="141"/>
      <c r="C111" s="5">
        <f>IFERROR(_xlfn.XLOOKUP(TransactionsLog[[#This Row],[Category]],CategoryList,CategoryTypeList),"")</f>
        <v>0</v>
      </c>
      <c r="D111" s="134"/>
      <c r="E111" s="141"/>
    </row>
    <row r="112" spans="1:5" x14ac:dyDescent="0.25">
      <c r="A112" s="155"/>
      <c r="B112" s="141"/>
      <c r="C112" s="5">
        <f>IFERROR(_xlfn.XLOOKUP(TransactionsLog[[#This Row],[Category]],CategoryList,CategoryTypeList),"")</f>
        <v>0</v>
      </c>
      <c r="D112" s="134"/>
      <c r="E112" s="141"/>
    </row>
    <row r="113" spans="1:5" x14ac:dyDescent="0.25">
      <c r="A113" s="155"/>
      <c r="B113" s="141"/>
      <c r="C113" s="5">
        <f>IFERROR(_xlfn.XLOOKUP(TransactionsLog[[#This Row],[Category]],CategoryList,CategoryTypeList),"")</f>
        <v>0</v>
      </c>
      <c r="D113" s="134"/>
      <c r="E113" s="141"/>
    </row>
    <row r="114" spans="1:5" x14ac:dyDescent="0.25">
      <c r="A114" s="155"/>
      <c r="B114" s="141"/>
      <c r="C114" s="5">
        <f>IFERROR(_xlfn.XLOOKUP(TransactionsLog[[#This Row],[Category]],CategoryList,CategoryTypeList),"")</f>
        <v>0</v>
      </c>
      <c r="D114" s="134"/>
      <c r="E114" s="141"/>
    </row>
    <row r="115" spans="1:5" x14ac:dyDescent="0.25">
      <c r="A115" s="155"/>
      <c r="B115" s="141"/>
      <c r="C115" s="5">
        <f>IFERROR(_xlfn.XLOOKUP(TransactionsLog[[#This Row],[Category]],CategoryList,CategoryTypeList),"")</f>
        <v>0</v>
      </c>
      <c r="D115" s="134"/>
      <c r="E115" s="141"/>
    </row>
    <row r="116" spans="1:5" x14ac:dyDescent="0.25">
      <c r="A116" s="155"/>
      <c r="B116" s="141"/>
      <c r="C116" s="5">
        <f>IFERROR(_xlfn.XLOOKUP(TransactionsLog[[#This Row],[Category]],CategoryList,CategoryTypeList),"")</f>
        <v>0</v>
      </c>
      <c r="D116" s="134"/>
      <c r="E116" s="141"/>
    </row>
    <row r="117" spans="1:5" x14ac:dyDescent="0.25">
      <c r="A117" s="155"/>
      <c r="B117" s="141"/>
      <c r="C117" s="5">
        <f>IFERROR(_xlfn.XLOOKUP(TransactionsLog[[#This Row],[Category]],CategoryList,CategoryTypeList),"")</f>
        <v>0</v>
      </c>
      <c r="D117" s="134"/>
      <c r="E117" s="141"/>
    </row>
    <row r="118" spans="1:5" x14ac:dyDescent="0.25">
      <c r="A118" s="155"/>
      <c r="B118" s="141"/>
      <c r="C118" s="5">
        <f>IFERROR(_xlfn.XLOOKUP(TransactionsLog[[#This Row],[Category]],CategoryList,CategoryTypeList),"")</f>
        <v>0</v>
      </c>
      <c r="D118" s="134"/>
      <c r="E118" s="141"/>
    </row>
    <row r="119" spans="1:5" x14ac:dyDescent="0.25">
      <c r="A119" s="155"/>
      <c r="B119" s="141"/>
      <c r="C119" s="5">
        <f>IFERROR(_xlfn.XLOOKUP(TransactionsLog[[#This Row],[Category]],CategoryList,CategoryTypeList),"")</f>
        <v>0</v>
      </c>
      <c r="D119" s="134"/>
      <c r="E119" s="141"/>
    </row>
    <row r="120" spans="1:5" x14ac:dyDescent="0.25">
      <c r="A120" s="155"/>
      <c r="B120" s="141"/>
      <c r="C120" s="5">
        <f>IFERROR(_xlfn.XLOOKUP(TransactionsLog[[#This Row],[Category]],CategoryList,CategoryTypeList),"")</f>
        <v>0</v>
      </c>
      <c r="D120" s="134"/>
      <c r="E120" s="141"/>
    </row>
    <row r="121" spans="1:5" x14ac:dyDescent="0.25">
      <c r="A121" s="155"/>
      <c r="B121" s="141"/>
      <c r="C121" s="5">
        <f>IFERROR(_xlfn.XLOOKUP(TransactionsLog[[#This Row],[Category]],CategoryList,CategoryTypeList),"")</f>
        <v>0</v>
      </c>
      <c r="D121" s="134"/>
      <c r="E121" s="141"/>
    </row>
    <row r="122" spans="1:5" x14ac:dyDescent="0.25">
      <c r="A122" s="155"/>
      <c r="B122" s="141"/>
      <c r="C122" s="5">
        <f>IFERROR(_xlfn.XLOOKUP(TransactionsLog[[#This Row],[Category]],CategoryList,CategoryTypeList),"")</f>
        <v>0</v>
      </c>
      <c r="D122" s="134"/>
      <c r="E122" s="141"/>
    </row>
    <row r="123" spans="1:5" x14ac:dyDescent="0.25">
      <c r="A123" s="155"/>
      <c r="B123" s="141"/>
      <c r="C123" s="5">
        <f>IFERROR(_xlfn.XLOOKUP(TransactionsLog[[#This Row],[Category]],CategoryList,CategoryTypeList),"")</f>
        <v>0</v>
      </c>
      <c r="D123" s="134"/>
      <c r="E123" s="141"/>
    </row>
    <row r="124" spans="1:5" x14ac:dyDescent="0.25">
      <c r="A124" s="155"/>
      <c r="B124" s="141"/>
      <c r="C124" s="5">
        <f>IFERROR(_xlfn.XLOOKUP(TransactionsLog[[#This Row],[Category]],CategoryList,CategoryTypeList),"")</f>
        <v>0</v>
      </c>
      <c r="D124" s="134"/>
      <c r="E124" s="141"/>
    </row>
    <row r="125" spans="1:5" x14ac:dyDescent="0.25">
      <c r="A125" s="155"/>
      <c r="B125" s="141"/>
      <c r="C125" s="5">
        <f>IFERROR(_xlfn.XLOOKUP(TransactionsLog[[#This Row],[Category]],CategoryList,CategoryTypeList),"")</f>
        <v>0</v>
      </c>
      <c r="D125" s="134"/>
      <c r="E125" s="141"/>
    </row>
    <row r="126" spans="1:5" x14ac:dyDescent="0.25">
      <c r="A126" s="155"/>
      <c r="B126" s="141"/>
      <c r="C126" s="5">
        <f>IFERROR(_xlfn.XLOOKUP(TransactionsLog[[#This Row],[Category]],CategoryList,CategoryTypeList),"")</f>
        <v>0</v>
      </c>
      <c r="D126" s="134"/>
      <c r="E126" s="141"/>
    </row>
    <row r="127" spans="1:5" x14ac:dyDescent="0.25">
      <c r="A127" s="155"/>
      <c r="B127" s="141"/>
      <c r="C127" s="5">
        <f>IFERROR(_xlfn.XLOOKUP(TransactionsLog[[#This Row],[Category]],CategoryList,CategoryTypeList),"")</f>
        <v>0</v>
      </c>
      <c r="D127" s="134"/>
      <c r="E127" s="141"/>
    </row>
    <row r="128" spans="1:5" x14ac:dyDescent="0.25">
      <c r="A128" s="155"/>
      <c r="B128" s="141"/>
      <c r="C128" s="5">
        <f>IFERROR(_xlfn.XLOOKUP(TransactionsLog[[#This Row],[Category]],CategoryList,CategoryTypeList),"")</f>
        <v>0</v>
      </c>
      <c r="D128" s="134"/>
      <c r="E128" s="141"/>
    </row>
    <row r="129" spans="1:5" x14ac:dyDescent="0.25">
      <c r="A129" s="155"/>
      <c r="B129" s="141"/>
      <c r="C129" s="5">
        <f>IFERROR(_xlfn.XLOOKUP(TransactionsLog[[#This Row],[Category]],CategoryList,CategoryTypeList),"")</f>
        <v>0</v>
      </c>
      <c r="D129" s="134"/>
      <c r="E129" s="141"/>
    </row>
    <row r="130" spans="1:5" x14ac:dyDescent="0.25">
      <c r="A130" s="155"/>
      <c r="B130" s="141"/>
      <c r="C130" s="5">
        <f>IFERROR(_xlfn.XLOOKUP(TransactionsLog[[#This Row],[Category]],CategoryList,CategoryTypeList),"")</f>
        <v>0</v>
      </c>
      <c r="D130" s="134"/>
      <c r="E130" s="141"/>
    </row>
    <row r="131" spans="1:5" x14ac:dyDescent="0.25">
      <c r="A131" s="155"/>
      <c r="B131" s="141"/>
      <c r="C131" s="5">
        <f>IFERROR(_xlfn.XLOOKUP(TransactionsLog[[#This Row],[Category]],CategoryList,CategoryTypeList),"")</f>
        <v>0</v>
      </c>
      <c r="D131" s="134"/>
      <c r="E131" s="141"/>
    </row>
    <row r="132" spans="1:5" x14ac:dyDescent="0.25">
      <c r="A132" s="155"/>
      <c r="B132" s="141"/>
      <c r="C132" s="5">
        <f>IFERROR(_xlfn.XLOOKUP(TransactionsLog[[#This Row],[Category]],CategoryList,CategoryTypeList),"")</f>
        <v>0</v>
      </c>
      <c r="D132" s="134"/>
      <c r="E132" s="141"/>
    </row>
    <row r="133" spans="1:5" x14ac:dyDescent="0.25">
      <c r="A133" s="155"/>
      <c r="B133" s="141"/>
      <c r="C133" s="5">
        <f>IFERROR(_xlfn.XLOOKUP(TransactionsLog[[#This Row],[Category]],CategoryList,CategoryTypeList),"")</f>
        <v>0</v>
      </c>
      <c r="D133" s="134"/>
      <c r="E133" s="141"/>
    </row>
    <row r="134" spans="1:5" x14ac:dyDescent="0.25">
      <c r="A134" s="155"/>
      <c r="B134" s="141"/>
      <c r="C134" s="5">
        <f>IFERROR(_xlfn.XLOOKUP(TransactionsLog[[#This Row],[Category]],CategoryList,CategoryTypeList),"")</f>
        <v>0</v>
      </c>
      <c r="D134" s="134"/>
      <c r="E134" s="141"/>
    </row>
    <row r="135" spans="1:5" x14ac:dyDescent="0.25">
      <c r="A135" s="155"/>
      <c r="B135" s="141"/>
      <c r="C135" s="5">
        <f>IFERROR(_xlfn.XLOOKUP(TransactionsLog[[#This Row],[Category]],CategoryList,CategoryTypeList),"")</f>
        <v>0</v>
      </c>
      <c r="D135" s="134"/>
      <c r="E135" s="141"/>
    </row>
    <row r="136" spans="1:5" x14ac:dyDescent="0.25">
      <c r="A136" s="155"/>
      <c r="B136" s="141"/>
      <c r="C136" s="5">
        <f>IFERROR(_xlfn.XLOOKUP(TransactionsLog[[#This Row],[Category]],CategoryList,CategoryTypeList),"")</f>
        <v>0</v>
      </c>
      <c r="D136" s="134"/>
      <c r="E136" s="141"/>
    </row>
    <row r="137" spans="1:5" x14ac:dyDescent="0.25">
      <c r="A137" s="155"/>
      <c r="B137" s="141"/>
      <c r="C137" s="5">
        <f>IFERROR(_xlfn.XLOOKUP(TransactionsLog[[#This Row],[Category]],CategoryList,CategoryTypeList),"")</f>
        <v>0</v>
      </c>
      <c r="D137" s="134"/>
      <c r="E137" s="141"/>
    </row>
    <row r="138" spans="1:5" x14ac:dyDescent="0.25">
      <c r="A138" s="155"/>
      <c r="B138" s="141"/>
      <c r="C138" s="5">
        <f>IFERROR(_xlfn.XLOOKUP(TransactionsLog[[#This Row],[Category]],CategoryList,CategoryTypeList),"")</f>
        <v>0</v>
      </c>
      <c r="D138" s="134"/>
      <c r="E138" s="141"/>
    </row>
    <row r="139" spans="1:5" x14ac:dyDescent="0.25">
      <c r="A139" s="155"/>
      <c r="B139" s="141"/>
      <c r="C139" s="5">
        <f>IFERROR(_xlfn.XLOOKUP(TransactionsLog[[#This Row],[Category]],CategoryList,CategoryTypeList),"")</f>
        <v>0</v>
      </c>
      <c r="D139" s="134"/>
      <c r="E139" s="141"/>
    </row>
    <row r="140" spans="1:5" x14ac:dyDescent="0.25">
      <c r="A140" s="155"/>
      <c r="B140" s="141"/>
      <c r="C140" s="5">
        <f>IFERROR(_xlfn.XLOOKUP(TransactionsLog[[#This Row],[Category]],CategoryList,CategoryTypeList),"")</f>
        <v>0</v>
      </c>
      <c r="D140" s="134"/>
      <c r="E140" s="141"/>
    </row>
    <row r="141" spans="1:5" x14ac:dyDescent="0.25">
      <c r="A141" s="155"/>
      <c r="B141" s="141"/>
      <c r="C141" s="5">
        <f>IFERROR(_xlfn.XLOOKUP(TransactionsLog[[#This Row],[Category]],CategoryList,CategoryTypeList),"")</f>
        <v>0</v>
      </c>
      <c r="D141" s="134"/>
      <c r="E141" s="141"/>
    </row>
    <row r="142" spans="1:5" x14ac:dyDescent="0.25">
      <c r="A142" s="155"/>
      <c r="B142" s="141"/>
      <c r="C142" s="5">
        <f>IFERROR(_xlfn.XLOOKUP(TransactionsLog[[#This Row],[Category]],CategoryList,CategoryTypeList),"")</f>
        <v>0</v>
      </c>
      <c r="D142" s="134"/>
      <c r="E142" s="141"/>
    </row>
    <row r="143" spans="1:5" x14ac:dyDescent="0.25">
      <c r="A143" s="155"/>
      <c r="B143" s="141"/>
      <c r="C143" s="5">
        <f>IFERROR(_xlfn.XLOOKUP(TransactionsLog[[#This Row],[Category]],CategoryList,CategoryTypeList),"")</f>
        <v>0</v>
      </c>
      <c r="D143" s="134"/>
      <c r="E143" s="141"/>
    </row>
    <row r="144" spans="1:5" x14ac:dyDescent="0.25">
      <c r="A144" s="155"/>
      <c r="B144" s="141"/>
      <c r="C144" s="5">
        <f>IFERROR(_xlfn.XLOOKUP(TransactionsLog[[#This Row],[Category]],CategoryList,CategoryTypeList),"")</f>
        <v>0</v>
      </c>
      <c r="D144" s="134"/>
      <c r="E144" s="141"/>
    </row>
    <row r="145" spans="1:5" x14ac:dyDescent="0.25">
      <c r="A145" s="155"/>
      <c r="B145" s="141"/>
      <c r="C145" s="5">
        <f>IFERROR(_xlfn.XLOOKUP(TransactionsLog[[#This Row],[Category]],CategoryList,CategoryTypeList),"")</f>
        <v>0</v>
      </c>
      <c r="D145" s="134"/>
      <c r="E145" s="141"/>
    </row>
    <row r="146" spans="1:5" x14ac:dyDescent="0.25">
      <c r="A146" s="155"/>
      <c r="B146" s="141"/>
      <c r="C146" s="5">
        <f>IFERROR(_xlfn.XLOOKUP(TransactionsLog[[#This Row],[Category]],CategoryList,CategoryTypeList),"")</f>
        <v>0</v>
      </c>
      <c r="D146" s="134"/>
      <c r="E146" s="141"/>
    </row>
    <row r="147" spans="1:5" x14ac:dyDescent="0.25">
      <c r="A147" s="155"/>
      <c r="B147" s="141"/>
      <c r="C147" s="5">
        <f>IFERROR(_xlfn.XLOOKUP(TransactionsLog[[#This Row],[Category]],CategoryList,CategoryTypeList),"")</f>
        <v>0</v>
      </c>
      <c r="D147" s="134"/>
      <c r="E147" s="141"/>
    </row>
    <row r="148" spans="1:5" x14ac:dyDescent="0.25">
      <c r="A148" s="155"/>
      <c r="B148" s="141"/>
      <c r="C148" s="5">
        <f>IFERROR(_xlfn.XLOOKUP(TransactionsLog[[#This Row],[Category]],CategoryList,CategoryTypeList),"")</f>
        <v>0</v>
      </c>
      <c r="D148" s="134"/>
      <c r="E148" s="141"/>
    </row>
    <row r="149" spans="1:5" x14ac:dyDescent="0.25">
      <c r="A149" s="155"/>
      <c r="B149" s="141"/>
      <c r="C149" s="5">
        <f>IFERROR(_xlfn.XLOOKUP(TransactionsLog[[#This Row],[Category]],CategoryList,CategoryTypeList),"")</f>
        <v>0</v>
      </c>
      <c r="D149" s="134"/>
      <c r="E149" s="141"/>
    </row>
    <row r="150" spans="1:5" x14ac:dyDescent="0.25">
      <c r="A150" s="155"/>
      <c r="B150" s="141"/>
      <c r="C150" s="5">
        <f>IFERROR(_xlfn.XLOOKUP(TransactionsLog[[#This Row],[Category]],CategoryList,CategoryTypeList),"")</f>
        <v>0</v>
      </c>
      <c r="D150" s="134"/>
      <c r="E150" s="141"/>
    </row>
    <row r="151" spans="1:5" x14ac:dyDescent="0.25">
      <c r="A151" s="155"/>
      <c r="B151" s="141"/>
      <c r="C151" s="5">
        <f>IFERROR(_xlfn.XLOOKUP(TransactionsLog[[#This Row],[Category]],CategoryList,CategoryTypeList),"")</f>
        <v>0</v>
      </c>
      <c r="D151" s="134"/>
      <c r="E151" s="141"/>
    </row>
    <row r="152" spans="1:5" x14ac:dyDescent="0.25">
      <c r="A152" s="155"/>
      <c r="B152" s="141"/>
      <c r="C152" s="5">
        <f>IFERROR(_xlfn.XLOOKUP(TransactionsLog[[#This Row],[Category]],CategoryList,CategoryTypeList),"")</f>
        <v>0</v>
      </c>
      <c r="D152" s="134"/>
      <c r="E152" s="141"/>
    </row>
    <row r="153" spans="1:5" x14ac:dyDescent="0.25">
      <c r="A153" s="155"/>
      <c r="B153" s="141"/>
      <c r="C153" s="5">
        <f>IFERROR(_xlfn.XLOOKUP(TransactionsLog[[#This Row],[Category]],CategoryList,CategoryTypeList),"")</f>
        <v>0</v>
      </c>
      <c r="D153" s="134"/>
      <c r="E153" s="141"/>
    </row>
    <row r="154" spans="1:5" x14ac:dyDescent="0.25">
      <c r="A154" s="155"/>
      <c r="B154" s="141"/>
      <c r="C154" s="5">
        <f>IFERROR(_xlfn.XLOOKUP(TransactionsLog[[#This Row],[Category]],CategoryList,CategoryTypeList),"")</f>
        <v>0</v>
      </c>
      <c r="D154" s="134"/>
      <c r="E154" s="141"/>
    </row>
    <row r="155" spans="1:5" x14ac:dyDescent="0.25">
      <c r="A155" s="155"/>
      <c r="B155" s="141"/>
      <c r="C155" s="5">
        <f>IFERROR(_xlfn.XLOOKUP(TransactionsLog[[#This Row],[Category]],CategoryList,CategoryTypeList),"")</f>
        <v>0</v>
      </c>
      <c r="D155" s="134"/>
      <c r="E155" s="141"/>
    </row>
    <row r="156" spans="1:5" x14ac:dyDescent="0.25">
      <c r="A156" s="155"/>
      <c r="B156" s="141"/>
      <c r="C156" s="5">
        <f>IFERROR(_xlfn.XLOOKUP(TransactionsLog[[#This Row],[Category]],CategoryList,CategoryTypeList),"")</f>
        <v>0</v>
      </c>
      <c r="D156" s="134"/>
      <c r="E156" s="141"/>
    </row>
    <row r="157" spans="1:5" x14ac:dyDescent="0.25">
      <c r="A157" s="155"/>
      <c r="B157" s="141"/>
      <c r="C157" s="5">
        <f>IFERROR(_xlfn.XLOOKUP(TransactionsLog[[#This Row],[Category]],CategoryList,CategoryTypeList),"")</f>
        <v>0</v>
      </c>
      <c r="D157" s="134"/>
      <c r="E157" s="141"/>
    </row>
    <row r="158" spans="1:5" x14ac:dyDescent="0.25">
      <c r="A158" s="155"/>
      <c r="B158" s="141"/>
      <c r="C158" s="5">
        <f>IFERROR(_xlfn.XLOOKUP(TransactionsLog[[#This Row],[Category]],CategoryList,CategoryTypeList),"")</f>
        <v>0</v>
      </c>
      <c r="D158" s="134"/>
      <c r="E158" s="141"/>
    </row>
    <row r="159" spans="1:5" x14ac:dyDescent="0.25">
      <c r="A159" s="155"/>
      <c r="B159" s="141"/>
      <c r="C159" s="5">
        <f>IFERROR(_xlfn.XLOOKUP(TransactionsLog[[#This Row],[Category]],CategoryList,CategoryTypeList),"")</f>
        <v>0</v>
      </c>
      <c r="D159" s="134"/>
      <c r="E159" s="141"/>
    </row>
    <row r="160" spans="1:5" x14ac:dyDescent="0.25">
      <c r="A160" s="155"/>
      <c r="B160" s="141"/>
      <c r="C160" s="5">
        <f>IFERROR(_xlfn.XLOOKUP(TransactionsLog[[#This Row],[Category]],CategoryList,CategoryTypeList),"")</f>
        <v>0</v>
      </c>
      <c r="D160" s="134"/>
      <c r="E160" s="141"/>
    </row>
    <row r="161" spans="1:5" x14ac:dyDescent="0.25">
      <c r="A161" s="155"/>
      <c r="B161" s="141"/>
      <c r="C161" s="5">
        <f>IFERROR(_xlfn.XLOOKUP(TransactionsLog[[#This Row],[Category]],CategoryList,CategoryTypeList),"")</f>
        <v>0</v>
      </c>
      <c r="D161" s="134"/>
      <c r="E161" s="141"/>
    </row>
    <row r="162" spans="1:5" x14ac:dyDescent="0.25">
      <c r="A162" s="155"/>
      <c r="B162" s="141"/>
      <c r="C162" s="5">
        <f>IFERROR(_xlfn.XLOOKUP(TransactionsLog[[#This Row],[Category]],CategoryList,CategoryTypeList),"")</f>
        <v>0</v>
      </c>
      <c r="D162" s="134"/>
      <c r="E162" s="141"/>
    </row>
    <row r="163" spans="1:5" x14ac:dyDescent="0.25">
      <c r="A163" s="155"/>
      <c r="B163" s="141"/>
      <c r="C163" s="5">
        <f>IFERROR(_xlfn.XLOOKUP(TransactionsLog[[#This Row],[Category]],CategoryList,CategoryTypeList),"")</f>
        <v>0</v>
      </c>
      <c r="D163" s="134"/>
      <c r="E163" s="141"/>
    </row>
    <row r="164" spans="1:5" x14ac:dyDescent="0.25">
      <c r="A164" s="155"/>
      <c r="B164" s="141"/>
      <c r="C164" s="5">
        <f>IFERROR(_xlfn.XLOOKUP(TransactionsLog[[#This Row],[Category]],CategoryList,CategoryTypeList),"")</f>
        <v>0</v>
      </c>
      <c r="D164" s="134"/>
      <c r="E164" s="141"/>
    </row>
    <row r="165" spans="1:5" x14ac:dyDescent="0.25">
      <c r="A165" s="155"/>
      <c r="B165" s="141"/>
      <c r="C165" s="5">
        <f>IFERROR(_xlfn.XLOOKUP(TransactionsLog[[#This Row],[Category]],CategoryList,CategoryTypeList),"")</f>
        <v>0</v>
      </c>
      <c r="D165" s="134"/>
      <c r="E165" s="141"/>
    </row>
    <row r="166" spans="1:5" x14ac:dyDescent="0.25">
      <c r="A166" s="155"/>
      <c r="B166" s="141"/>
      <c r="C166" s="5">
        <f>IFERROR(_xlfn.XLOOKUP(TransactionsLog[[#This Row],[Category]],CategoryList,CategoryTypeList),"")</f>
        <v>0</v>
      </c>
      <c r="D166" s="134"/>
      <c r="E166" s="141"/>
    </row>
    <row r="167" spans="1:5" x14ac:dyDescent="0.25">
      <c r="A167" s="155"/>
      <c r="B167" s="141"/>
      <c r="C167" s="5">
        <f>IFERROR(_xlfn.XLOOKUP(TransactionsLog[[#This Row],[Category]],CategoryList,CategoryTypeList),"")</f>
        <v>0</v>
      </c>
      <c r="D167" s="134"/>
      <c r="E167" s="141"/>
    </row>
    <row r="168" spans="1:5" x14ac:dyDescent="0.25">
      <c r="A168" s="155"/>
      <c r="B168" s="141"/>
      <c r="C168" s="5">
        <f>IFERROR(_xlfn.XLOOKUP(TransactionsLog[[#This Row],[Category]],CategoryList,CategoryTypeList),"")</f>
        <v>0</v>
      </c>
      <c r="D168" s="134"/>
      <c r="E168" s="141"/>
    </row>
    <row r="169" spans="1:5" x14ac:dyDescent="0.25">
      <c r="A169" s="155"/>
      <c r="B169" s="141"/>
      <c r="C169" s="5">
        <f>IFERROR(_xlfn.XLOOKUP(TransactionsLog[[#This Row],[Category]],CategoryList,CategoryTypeList),"")</f>
        <v>0</v>
      </c>
      <c r="D169" s="134"/>
      <c r="E169" s="141"/>
    </row>
    <row r="170" spans="1:5" x14ac:dyDescent="0.25">
      <c r="A170" s="155"/>
      <c r="B170" s="141"/>
      <c r="C170" s="5">
        <f>IFERROR(_xlfn.XLOOKUP(TransactionsLog[[#This Row],[Category]],CategoryList,CategoryTypeList),"")</f>
        <v>0</v>
      </c>
      <c r="D170" s="134"/>
      <c r="E170" s="141"/>
    </row>
    <row r="171" spans="1:5" x14ac:dyDescent="0.25">
      <c r="A171" s="155"/>
      <c r="B171" s="141"/>
      <c r="C171" s="5">
        <f>IFERROR(_xlfn.XLOOKUP(TransactionsLog[[#This Row],[Category]],CategoryList,CategoryTypeList),"")</f>
        <v>0</v>
      </c>
      <c r="D171" s="134"/>
      <c r="E171" s="141"/>
    </row>
    <row r="172" spans="1:5" x14ac:dyDescent="0.25">
      <c r="A172" s="155"/>
      <c r="B172" s="141"/>
      <c r="C172" s="5">
        <f>IFERROR(_xlfn.XLOOKUP(TransactionsLog[[#This Row],[Category]],CategoryList,CategoryTypeList),"")</f>
        <v>0</v>
      </c>
      <c r="D172" s="134"/>
      <c r="E172" s="141"/>
    </row>
    <row r="173" spans="1:5" x14ac:dyDescent="0.25">
      <c r="A173" s="155"/>
      <c r="B173" s="141"/>
      <c r="C173" s="5">
        <f>IFERROR(_xlfn.XLOOKUP(TransactionsLog[[#This Row],[Category]],CategoryList,CategoryTypeList),"")</f>
        <v>0</v>
      </c>
      <c r="D173" s="134"/>
      <c r="E173" s="141"/>
    </row>
    <row r="174" spans="1:5" x14ac:dyDescent="0.25">
      <c r="A174" s="155"/>
      <c r="B174" s="141"/>
      <c r="C174" s="5">
        <f>IFERROR(_xlfn.XLOOKUP(TransactionsLog[[#This Row],[Category]],CategoryList,CategoryTypeList),"")</f>
        <v>0</v>
      </c>
      <c r="D174" s="134"/>
      <c r="E174" s="141"/>
    </row>
    <row r="175" spans="1:5" x14ac:dyDescent="0.25">
      <c r="A175" s="155"/>
      <c r="B175" s="141"/>
      <c r="C175" s="5">
        <f>IFERROR(_xlfn.XLOOKUP(TransactionsLog[[#This Row],[Category]],CategoryList,CategoryTypeList),"")</f>
        <v>0</v>
      </c>
      <c r="D175" s="134"/>
      <c r="E175" s="141"/>
    </row>
    <row r="176" spans="1:5" x14ac:dyDescent="0.25">
      <c r="A176" s="155"/>
      <c r="B176" s="141"/>
      <c r="C176" s="5">
        <f>IFERROR(_xlfn.XLOOKUP(TransactionsLog[[#This Row],[Category]],CategoryList,CategoryTypeList),"")</f>
        <v>0</v>
      </c>
      <c r="D176" s="134"/>
      <c r="E176" s="141"/>
    </row>
    <row r="177" spans="1:5" x14ac:dyDescent="0.25">
      <c r="A177" s="155"/>
      <c r="B177" s="141"/>
      <c r="C177" s="5">
        <f>IFERROR(_xlfn.XLOOKUP(TransactionsLog[[#This Row],[Category]],CategoryList,CategoryTypeList),"")</f>
        <v>0</v>
      </c>
      <c r="D177" s="134"/>
      <c r="E177" s="141"/>
    </row>
    <row r="178" spans="1:5" x14ac:dyDescent="0.25">
      <c r="A178" s="155"/>
      <c r="B178" s="141"/>
      <c r="C178" s="5">
        <f>IFERROR(_xlfn.XLOOKUP(TransactionsLog[[#This Row],[Category]],CategoryList,CategoryTypeList),"")</f>
        <v>0</v>
      </c>
      <c r="D178" s="134"/>
      <c r="E178" s="141"/>
    </row>
    <row r="179" spans="1:5" x14ac:dyDescent="0.25">
      <c r="A179" s="155"/>
      <c r="B179" s="141"/>
      <c r="C179" s="5">
        <f>IFERROR(_xlfn.XLOOKUP(TransactionsLog[[#This Row],[Category]],CategoryList,CategoryTypeList),"")</f>
        <v>0</v>
      </c>
      <c r="D179" s="134"/>
      <c r="E179" s="141"/>
    </row>
    <row r="180" spans="1:5" x14ac:dyDescent="0.25">
      <c r="A180" s="155"/>
      <c r="B180" s="141"/>
      <c r="C180" s="5">
        <f>IFERROR(_xlfn.XLOOKUP(TransactionsLog[[#This Row],[Category]],CategoryList,CategoryTypeList),"")</f>
        <v>0</v>
      </c>
      <c r="D180" s="134"/>
      <c r="E180" s="141"/>
    </row>
    <row r="181" spans="1:5" x14ac:dyDescent="0.25">
      <c r="A181" s="155"/>
      <c r="B181" s="141"/>
      <c r="C181" s="5">
        <f>IFERROR(_xlfn.XLOOKUP(TransactionsLog[[#This Row],[Category]],CategoryList,CategoryTypeList),"")</f>
        <v>0</v>
      </c>
      <c r="D181" s="134"/>
      <c r="E181" s="141"/>
    </row>
    <row r="182" spans="1:5" x14ac:dyDescent="0.25">
      <c r="A182" s="155"/>
      <c r="B182" s="141"/>
      <c r="C182" s="5">
        <f>IFERROR(_xlfn.XLOOKUP(TransactionsLog[[#This Row],[Category]],CategoryList,CategoryTypeList),"")</f>
        <v>0</v>
      </c>
      <c r="D182" s="134"/>
      <c r="E182" s="141"/>
    </row>
    <row r="183" spans="1:5" x14ac:dyDescent="0.25">
      <c r="A183" s="155"/>
      <c r="B183" s="141"/>
      <c r="C183" s="5">
        <f>IFERROR(_xlfn.XLOOKUP(TransactionsLog[[#This Row],[Category]],CategoryList,CategoryTypeList),"")</f>
        <v>0</v>
      </c>
      <c r="D183" s="134"/>
      <c r="E183" s="141"/>
    </row>
    <row r="184" spans="1:5" x14ac:dyDescent="0.25">
      <c r="A184" s="155"/>
      <c r="B184" s="141"/>
      <c r="C184" s="5">
        <f>IFERROR(_xlfn.XLOOKUP(TransactionsLog[[#This Row],[Category]],CategoryList,CategoryTypeList),"")</f>
        <v>0</v>
      </c>
      <c r="D184" s="134"/>
      <c r="E184" s="141"/>
    </row>
    <row r="185" spans="1:5" x14ac:dyDescent="0.25">
      <c r="A185" s="155"/>
      <c r="B185" s="141"/>
      <c r="C185" s="5">
        <f>IFERROR(_xlfn.XLOOKUP(TransactionsLog[[#This Row],[Category]],CategoryList,CategoryTypeList),"")</f>
        <v>0</v>
      </c>
      <c r="D185" s="134"/>
      <c r="E185" s="141"/>
    </row>
    <row r="186" spans="1:5" x14ac:dyDescent="0.25">
      <c r="A186" s="155"/>
      <c r="B186" s="141"/>
      <c r="C186" s="5">
        <f>IFERROR(_xlfn.XLOOKUP(TransactionsLog[[#This Row],[Category]],CategoryList,CategoryTypeList),"")</f>
        <v>0</v>
      </c>
      <c r="D186" s="134"/>
      <c r="E186" s="141"/>
    </row>
    <row r="187" spans="1:5" x14ac:dyDescent="0.25">
      <c r="A187" s="155"/>
      <c r="B187" s="141"/>
      <c r="C187" s="5">
        <f>IFERROR(_xlfn.XLOOKUP(TransactionsLog[[#This Row],[Category]],CategoryList,CategoryTypeList),"")</f>
        <v>0</v>
      </c>
      <c r="D187" s="134"/>
      <c r="E187" s="141"/>
    </row>
    <row r="188" spans="1:5" x14ac:dyDescent="0.25">
      <c r="A188" s="155"/>
      <c r="B188" s="141"/>
      <c r="C188" s="5">
        <f>IFERROR(_xlfn.XLOOKUP(TransactionsLog[[#This Row],[Category]],CategoryList,CategoryTypeList),"")</f>
        <v>0</v>
      </c>
      <c r="D188" s="134"/>
      <c r="E188" s="141"/>
    </row>
    <row r="189" spans="1:5" x14ac:dyDescent="0.25">
      <c r="A189" s="155"/>
      <c r="B189" s="141"/>
      <c r="C189" s="5">
        <f>IFERROR(_xlfn.XLOOKUP(TransactionsLog[[#This Row],[Category]],CategoryList,CategoryTypeList),"")</f>
        <v>0</v>
      </c>
      <c r="D189" s="134"/>
      <c r="E189" s="141"/>
    </row>
    <row r="190" spans="1:5" x14ac:dyDescent="0.25">
      <c r="A190" s="155"/>
      <c r="B190" s="141"/>
      <c r="C190" s="5">
        <f>IFERROR(_xlfn.XLOOKUP(TransactionsLog[[#This Row],[Category]],CategoryList,CategoryTypeList),"")</f>
        <v>0</v>
      </c>
      <c r="D190" s="134"/>
      <c r="E190" s="141"/>
    </row>
    <row r="191" spans="1:5" x14ac:dyDescent="0.25">
      <c r="A191" s="155"/>
      <c r="B191" s="141"/>
      <c r="C191" s="5">
        <f>IFERROR(_xlfn.XLOOKUP(TransactionsLog[[#This Row],[Category]],CategoryList,CategoryTypeList),"")</f>
        <v>0</v>
      </c>
      <c r="D191" s="134"/>
      <c r="E191" s="141"/>
    </row>
    <row r="192" spans="1:5" x14ac:dyDescent="0.25">
      <c r="A192" s="155"/>
      <c r="B192" s="141"/>
      <c r="C192" s="5">
        <f>IFERROR(_xlfn.XLOOKUP(TransactionsLog[[#This Row],[Category]],CategoryList,CategoryTypeList),"")</f>
        <v>0</v>
      </c>
      <c r="D192" s="134"/>
      <c r="E192" s="141"/>
    </row>
    <row r="193" spans="1:5" x14ac:dyDescent="0.25">
      <c r="A193" s="155"/>
      <c r="B193" s="141"/>
      <c r="C193" s="5">
        <f>IFERROR(_xlfn.XLOOKUP(TransactionsLog[[#This Row],[Category]],CategoryList,CategoryTypeList),"")</f>
        <v>0</v>
      </c>
      <c r="D193" s="134"/>
      <c r="E193" s="141"/>
    </row>
    <row r="194" spans="1:5" x14ac:dyDescent="0.25">
      <c r="A194" s="155"/>
      <c r="B194" s="141"/>
      <c r="C194" s="5">
        <f>IFERROR(_xlfn.XLOOKUP(TransactionsLog[[#This Row],[Category]],CategoryList,CategoryTypeList),"")</f>
        <v>0</v>
      </c>
      <c r="D194" s="134"/>
      <c r="E194" s="141"/>
    </row>
    <row r="195" spans="1:5" x14ac:dyDescent="0.25">
      <c r="A195" s="155"/>
      <c r="B195" s="141"/>
      <c r="C195" s="5">
        <f>IFERROR(_xlfn.XLOOKUP(TransactionsLog[[#This Row],[Category]],CategoryList,CategoryTypeList),"")</f>
        <v>0</v>
      </c>
      <c r="D195" s="134"/>
      <c r="E195" s="141"/>
    </row>
    <row r="196" spans="1:5" x14ac:dyDescent="0.25">
      <c r="A196" s="155"/>
      <c r="B196" s="141"/>
      <c r="C196" s="5">
        <f>IFERROR(_xlfn.XLOOKUP(TransactionsLog[[#This Row],[Category]],CategoryList,CategoryTypeList),"")</f>
        <v>0</v>
      </c>
      <c r="D196" s="134"/>
      <c r="E196" s="141"/>
    </row>
    <row r="197" spans="1:5" x14ac:dyDescent="0.25">
      <c r="A197" s="155"/>
      <c r="B197" s="141"/>
      <c r="C197" s="5">
        <f>IFERROR(_xlfn.XLOOKUP(TransactionsLog[[#This Row],[Category]],CategoryList,CategoryTypeList),"")</f>
        <v>0</v>
      </c>
      <c r="D197" s="134"/>
      <c r="E197" s="141"/>
    </row>
    <row r="198" spans="1:5" x14ac:dyDescent="0.25">
      <c r="A198" s="155"/>
      <c r="B198" s="141"/>
      <c r="C198" s="5">
        <f>IFERROR(_xlfn.XLOOKUP(TransactionsLog[[#This Row],[Category]],CategoryList,CategoryTypeList),"")</f>
        <v>0</v>
      </c>
      <c r="D198" s="134"/>
      <c r="E198" s="141"/>
    </row>
    <row r="199" spans="1:5" x14ac:dyDescent="0.25">
      <c r="A199" s="155"/>
      <c r="B199" s="141"/>
      <c r="C199" s="5">
        <f>IFERROR(_xlfn.XLOOKUP(TransactionsLog[[#This Row],[Category]],CategoryList,CategoryTypeList),"")</f>
        <v>0</v>
      </c>
      <c r="D199" s="134"/>
      <c r="E199" s="141"/>
    </row>
    <row r="200" spans="1:5" x14ac:dyDescent="0.25">
      <c r="A200" s="155"/>
      <c r="B200" s="141"/>
      <c r="C200" s="5">
        <f>IFERROR(_xlfn.XLOOKUP(TransactionsLog[[#This Row],[Category]],CategoryList,CategoryTypeList),"")</f>
        <v>0</v>
      </c>
      <c r="D200" s="134"/>
      <c r="E200" s="141"/>
    </row>
    <row r="201" spans="1:5" x14ac:dyDescent="0.25">
      <c r="A201" s="155"/>
      <c r="B201" s="141"/>
      <c r="C201" s="5">
        <f>IFERROR(_xlfn.XLOOKUP(TransactionsLog[[#This Row],[Category]],CategoryList,CategoryTypeList),"")</f>
        <v>0</v>
      </c>
      <c r="D201" s="134"/>
      <c r="E201" s="141"/>
    </row>
    <row r="202" spans="1:5" x14ac:dyDescent="0.25">
      <c r="A202" s="155"/>
      <c r="B202" s="141"/>
      <c r="C202" s="5">
        <f>IFERROR(_xlfn.XLOOKUP(TransactionsLog[[#This Row],[Category]],CategoryList,CategoryTypeList),"")</f>
        <v>0</v>
      </c>
      <c r="D202" s="134"/>
      <c r="E202" s="141"/>
    </row>
    <row r="203" spans="1:5" x14ac:dyDescent="0.25">
      <c r="A203" s="155"/>
      <c r="B203" s="141"/>
      <c r="C203" s="5">
        <f>IFERROR(_xlfn.XLOOKUP(TransactionsLog[[#This Row],[Category]],CategoryList,CategoryTypeList),"")</f>
        <v>0</v>
      </c>
      <c r="D203" s="134"/>
      <c r="E203" s="141"/>
    </row>
    <row r="204" spans="1:5" x14ac:dyDescent="0.25">
      <c r="A204" s="155"/>
      <c r="B204" s="141"/>
      <c r="C204" s="5">
        <f>IFERROR(_xlfn.XLOOKUP(TransactionsLog[[#This Row],[Category]],CategoryList,CategoryTypeList),"")</f>
        <v>0</v>
      </c>
      <c r="D204" s="134"/>
      <c r="E204" s="141"/>
    </row>
    <row r="205" spans="1:5" x14ac:dyDescent="0.25">
      <c r="A205" s="155"/>
      <c r="B205" s="141"/>
      <c r="C205" s="5">
        <f>IFERROR(_xlfn.XLOOKUP(TransactionsLog[[#This Row],[Category]],CategoryList,CategoryTypeList),"")</f>
        <v>0</v>
      </c>
      <c r="D205" s="134"/>
      <c r="E205" s="141"/>
    </row>
    <row r="206" spans="1:5" x14ac:dyDescent="0.25">
      <c r="A206" s="155"/>
      <c r="B206" s="141"/>
      <c r="C206" s="5">
        <f>IFERROR(_xlfn.XLOOKUP(TransactionsLog[[#This Row],[Category]],CategoryList,CategoryTypeList),"")</f>
        <v>0</v>
      </c>
      <c r="D206" s="134"/>
      <c r="E206" s="141"/>
    </row>
    <row r="207" spans="1:5" x14ac:dyDescent="0.25">
      <c r="A207" s="155"/>
      <c r="B207" s="141"/>
      <c r="C207" s="5">
        <f>IFERROR(_xlfn.XLOOKUP(TransactionsLog[[#This Row],[Category]],CategoryList,CategoryTypeList),"")</f>
        <v>0</v>
      </c>
      <c r="D207" s="134"/>
      <c r="E207" s="141"/>
    </row>
    <row r="208" spans="1:5" x14ac:dyDescent="0.25">
      <c r="A208" s="155"/>
      <c r="B208" s="141"/>
      <c r="C208" s="5">
        <f>IFERROR(_xlfn.XLOOKUP(TransactionsLog[[#This Row],[Category]],CategoryList,CategoryTypeList),"")</f>
        <v>0</v>
      </c>
      <c r="D208" s="134"/>
      <c r="E208" s="141"/>
    </row>
    <row r="209" spans="1:5" x14ac:dyDescent="0.25">
      <c r="A209" s="155"/>
      <c r="B209" s="141"/>
      <c r="C209" s="5">
        <f>IFERROR(_xlfn.XLOOKUP(TransactionsLog[[#This Row],[Category]],CategoryList,CategoryTypeList),"")</f>
        <v>0</v>
      </c>
      <c r="D209" s="134"/>
      <c r="E209" s="141"/>
    </row>
    <row r="210" spans="1:5" x14ac:dyDescent="0.25">
      <c r="A210" s="155"/>
      <c r="B210" s="141"/>
      <c r="C210" s="5">
        <f>IFERROR(_xlfn.XLOOKUP(TransactionsLog[[#This Row],[Category]],CategoryList,CategoryTypeList),"")</f>
        <v>0</v>
      </c>
      <c r="D210" s="134"/>
      <c r="E210" s="141"/>
    </row>
    <row r="211" spans="1:5" x14ac:dyDescent="0.25">
      <c r="A211" s="155"/>
      <c r="B211" s="141"/>
      <c r="C211" s="5">
        <f>IFERROR(_xlfn.XLOOKUP(TransactionsLog[[#This Row],[Category]],CategoryList,CategoryTypeList),"")</f>
        <v>0</v>
      </c>
      <c r="D211" s="134"/>
      <c r="E211" s="141"/>
    </row>
    <row r="212" spans="1:5" x14ac:dyDescent="0.25">
      <c r="A212" s="155"/>
      <c r="B212" s="141"/>
      <c r="C212" s="5">
        <f>IFERROR(_xlfn.XLOOKUP(TransactionsLog[[#This Row],[Category]],CategoryList,CategoryTypeList),"")</f>
        <v>0</v>
      </c>
      <c r="D212" s="134"/>
      <c r="E212" s="141"/>
    </row>
    <row r="213" spans="1:5" x14ac:dyDescent="0.25">
      <c r="A213" s="155"/>
      <c r="B213" s="141"/>
      <c r="C213" s="5">
        <f>IFERROR(_xlfn.XLOOKUP(TransactionsLog[[#This Row],[Category]],CategoryList,CategoryTypeList),"")</f>
        <v>0</v>
      </c>
      <c r="D213" s="134"/>
      <c r="E213" s="141"/>
    </row>
    <row r="214" spans="1:5" x14ac:dyDescent="0.25">
      <c r="A214" s="155"/>
      <c r="B214" s="141"/>
      <c r="C214" s="5">
        <f>IFERROR(_xlfn.XLOOKUP(TransactionsLog[[#This Row],[Category]],CategoryList,CategoryTypeList),"")</f>
        <v>0</v>
      </c>
      <c r="D214" s="134"/>
      <c r="E214" s="141"/>
    </row>
    <row r="215" spans="1:5" x14ac:dyDescent="0.25">
      <c r="A215" s="155"/>
      <c r="B215" s="141"/>
      <c r="C215" s="5">
        <f>IFERROR(_xlfn.XLOOKUP(TransactionsLog[[#This Row],[Category]],CategoryList,CategoryTypeList),"")</f>
        <v>0</v>
      </c>
      <c r="D215" s="134"/>
      <c r="E215" s="141"/>
    </row>
    <row r="216" spans="1:5" x14ac:dyDescent="0.25">
      <c r="A216" s="155"/>
      <c r="B216" s="141"/>
      <c r="C216" s="5">
        <f>IFERROR(_xlfn.XLOOKUP(TransactionsLog[[#This Row],[Category]],CategoryList,CategoryTypeList),"")</f>
        <v>0</v>
      </c>
      <c r="D216" s="134"/>
      <c r="E216" s="141"/>
    </row>
    <row r="217" spans="1:5" x14ac:dyDescent="0.25">
      <c r="A217" s="155"/>
      <c r="B217" s="141"/>
      <c r="C217" s="5">
        <f>IFERROR(_xlfn.XLOOKUP(TransactionsLog[[#This Row],[Category]],CategoryList,CategoryTypeList),"")</f>
        <v>0</v>
      </c>
      <c r="D217" s="134"/>
      <c r="E217" s="141"/>
    </row>
    <row r="218" spans="1:5" x14ac:dyDescent="0.25">
      <c r="A218" s="155"/>
      <c r="B218" s="141"/>
      <c r="C218" s="5">
        <f>IFERROR(_xlfn.XLOOKUP(TransactionsLog[[#This Row],[Category]],CategoryList,CategoryTypeList),"")</f>
        <v>0</v>
      </c>
      <c r="D218" s="134"/>
      <c r="E218" s="141"/>
    </row>
    <row r="219" spans="1:5" x14ac:dyDescent="0.25">
      <c r="A219" s="155"/>
      <c r="B219" s="141"/>
      <c r="C219" s="5">
        <f>IFERROR(_xlfn.XLOOKUP(TransactionsLog[[#This Row],[Category]],CategoryList,CategoryTypeList),"")</f>
        <v>0</v>
      </c>
      <c r="D219" s="134"/>
      <c r="E219" s="141"/>
    </row>
    <row r="220" spans="1:5" x14ac:dyDescent="0.25">
      <c r="A220" s="155"/>
      <c r="B220" s="141"/>
      <c r="C220" s="5">
        <f>IFERROR(_xlfn.XLOOKUP(TransactionsLog[[#This Row],[Category]],CategoryList,CategoryTypeList),"")</f>
        <v>0</v>
      </c>
      <c r="D220" s="134"/>
      <c r="E220" s="141"/>
    </row>
    <row r="221" spans="1:5" x14ac:dyDescent="0.25">
      <c r="A221" s="155"/>
      <c r="B221" s="141"/>
      <c r="C221" s="5">
        <f>IFERROR(_xlfn.XLOOKUP(TransactionsLog[[#This Row],[Category]],CategoryList,CategoryTypeList),"")</f>
        <v>0</v>
      </c>
      <c r="D221" s="134"/>
      <c r="E221" s="141"/>
    </row>
    <row r="222" spans="1:5" x14ac:dyDescent="0.25">
      <c r="A222" s="155"/>
      <c r="B222" s="141"/>
      <c r="C222" s="5">
        <f>IFERROR(_xlfn.XLOOKUP(TransactionsLog[[#This Row],[Category]],CategoryList,CategoryTypeList),"")</f>
        <v>0</v>
      </c>
      <c r="D222" s="134"/>
      <c r="E222" s="141"/>
    </row>
    <row r="223" spans="1:5" x14ac:dyDescent="0.25">
      <c r="A223" s="155"/>
      <c r="B223" s="141"/>
      <c r="C223" s="5">
        <f>IFERROR(_xlfn.XLOOKUP(TransactionsLog[[#This Row],[Category]],CategoryList,CategoryTypeList),"")</f>
        <v>0</v>
      </c>
      <c r="D223" s="134"/>
      <c r="E223" s="141"/>
    </row>
    <row r="224" spans="1:5" x14ac:dyDescent="0.25">
      <c r="A224" s="155"/>
      <c r="B224" s="141"/>
      <c r="C224" s="5">
        <f>IFERROR(_xlfn.XLOOKUP(TransactionsLog[[#This Row],[Category]],CategoryList,CategoryTypeList),"")</f>
        <v>0</v>
      </c>
      <c r="D224" s="134"/>
      <c r="E224" s="141"/>
    </row>
    <row r="225" spans="1:5" x14ac:dyDescent="0.25">
      <c r="A225" s="155"/>
      <c r="B225" s="141"/>
      <c r="C225" s="5">
        <f>IFERROR(_xlfn.XLOOKUP(TransactionsLog[[#This Row],[Category]],CategoryList,CategoryTypeList),"")</f>
        <v>0</v>
      </c>
      <c r="D225" s="134"/>
      <c r="E225" s="141"/>
    </row>
    <row r="226" spans="1:5" x14ac:dyDescent="0.25">
      <c r="A226" s="155"/>
      <c r="B226" s="141"/>
      <c r="C226" s="5">
        <f>IFERROR(_xlfn.XLOOKUP(TransactionsLog[[#This Row],[Category]],CategoryList,CategoryTypeList),"")</f>
        <v>0</v>
      </c>
      <c r="D226" s="134"/>
      <c r="E226" s="141"/>
    </row>
    <row r="227" spans="1:5" x14ac:dyDescent="0.25">
      <c r="A227" s="155"/>
      <c r="B227" s="141"/>
      <c r="C227" s="5">
        <f>IFERROR(_xlfn.XLOOKUP(TransactionsLog[[#This Row],[Category]],CategoryList,CategoryTypeList),"")</f>
        <v>0</v>
      </c>
      <c r="D227" s="134"/>
      <c r="E227" s="141"/>
    </row>
    <row r="228" spans="1:5" x14ac:dyDescent="0.25">
      <c r="A228" s="155"/>
      <c r="B228" s="141"/>
      <c r="C228" s="5">
        <f>IFERROR(_xlfn.XLOOKUP(TransactionsLog[[#This Row],[Category]],CategoryList,CategoryTypeList),"")</f>
        <v>0</v>
      </c>
      <c r="D228" s="134"/>
      <c r="E228" s="141"/>
    </row>
    <row r="229" spans="1:5" x14ac:dyDescent="0.25">
      <c r="A229" s="155"/>
      <c r="B229" s="141"/>
      <c r="C229" s="5">
        <f>IFERROR(_xlfn.XLOOKUP(TransactionsLog[[#This Row],[Category]],CategoryList,CategoryTypeList),"")</f>
        <v>0</v>
      </c>
      <c r="D229" s="134"/>
      <c r="E229" s="141"/>
    </row>
    <row r="230" spans="1:5" x14ac:dyDescent="0.25">
      <c r="A230" s="155"/>
      <c r="B230" s="141"/>
      <c r="C230" s="5">
        <f>IFERROR(_xlfn.XLOOKUP(TransactionsLog[[#This Row],[Category]],CategoryList,CategoryTypeList),"")</f>
        <v>0</v>
      </c>
      <c r="D230" s="134"/>
      <c r="E230" s="141"/>
    </row>
    <row r="231" spans="1:5" x14ac:dyDescent="0.25">
      <c r="A231" s="155"/>
      <c r="B231" s="141"/>
      <c r="C231" s="5">
        <f>IFERROR(_xlfn.XLOOKUP(TransactionsLog[[#This Row],[Category]],CategoryList,CategoryTypeList),"")</f>
        <v>0</v>
      </c>
      <c r="D231" s="134"/>
      <c r="E231" s="141"/>
    </row>
    <row r="232" spans="1:5" x14ac:dyDescent="0.25">
      <c r="A232" s="155"/>
      <c r="B232" s="141"/>
      <c r="C232" s="5">
        <f>IFERROR(_xlfn.XLOOKUP(TransactionsLog[[#This Row],[Category]],CategoryList,CategoryTypeList),"")</f>
        <v>0</v>
      </c>
      <c r="D232" s="134"/>
      <c r="E232" s="141"/>
    </row>
    <row r="233" spans="1:5" x14ac:dyDescent="0.25">
      <c r="A233" s="155"/>
      <c r="B233" s="141"/>
      <c r="C233" s="5">
        <f>IFERROR(_xlfn.XLOOKUP(TransactionsLog[[#This Row],[Category]],CategoryList,CategoryTypeList),"")</f>
        <v>0</v>
      </c>
      <c r="D233" s="134"/>
      <c r="E233" s="141"/>
    </row>
    <row r="234" spans="1:5" x14ac:dyDescent="0.25">
      <c r="A234" s="155"/>
      <c r="B234" s="141"/>
      <c r="C234" s="5">
        <f>IFERROR(_xlfn.XLOOKUP(TransactionsLog[[#This Row],[Category]],CategoryList,CategoryTypeList),"")</f>
        <v>0</v>
      </c>
      <c r="D234" s="134"/>
      <c r="E234" s="141"/>
    </row>
    <row r="235" spans="1:5" x14ac:dyDescent="0.25">
      <c r="A235" s="155"/>
      <c r="B235" s="141"/>
      <c r="C235" s="5">
        <f>IFERROR(_xlfn.XLOOKUP(TransactionsLog[[#This Row],[Category]],CategoryList,CategoryTypeList),"")</f>
        <v>0</v>
      </c>
      <c r="D235" s="134"/>
      <c r="E235" s="141"/>
    </row>
    <row r="236" spans="1:5" x14ac:dyDescent="0.25">
      <c r="A236" s="155"/>
      <c r="B236" s="141"/>
      <c r="C236" s="5">
        <f>IFERROR(_xlfn.XLOOKUP(TransactionsLog[[#This Row],[Category]],CategoryList,CategoryTypeList),"")</f>
        <v>0</v>
      </c>
      <c r="D236" s="134"/>
      <c r="E236" s="141"/>
    </row>
    <row r="237" spans="1:5" x14ac:dyDescent="0.25">
      <c r="A237" s="155"/>
      <c r="B237" s="141"/>
      <c r="C237" s="5">
        <f>IFERROR(_xlfn.XLOOKUP(TransactionsLog[[#This Row],[Category]],CategoryList,CategoryTypeList),"")</f>
        <v>0</v>
      </c>
      <c r="D237" s="134"/>
      <c r="E237" s="141"/>
    </row>
    <row r="238" spans="1:5" x14ac:dyDescent="0.25">
      <c r="A238" s="155"/>
      <c r="B238" s="141"/>
      <c r="C238" s="5">
        <f>IFERROR(_xlfn.XLOOKUP(TransactionsLog[[#This Row],[Category]],CategoryList,CategoryTypeList),"")</f>
        <v>0</v>
      </c>
      <c r="D238" s="134"/>
      <c r="E238" s="141"/>
    </row>
    <row r="239" spans="1:5" x14ac:dyDescent="0.25">
      <c r="A239" s="155"/>
      <c r="B239" s="141"/>
      <c r="C239" s="5">
        <f>IFERROR(_xlfn.XLOOKUP(TransactionsLog[[#This Row],[Category]],CategoryList,CategoryTypeList),"")</f>
        <v>0</v>
      </c>
      <c r="D239" s="134"/>
      <c r="E239" s="141"/>
    </row>
    <row r="240" spans="1:5" x14ac:dyDescent="0.25">
      <c r="A240" s="155"/>
      <c r="B240" s="141"/>
      <c r="C240" s="5">
        <f>IFERROR(_xlfn.XLOOKUP(TransactionsLog[[#This Row],[Category]],CategoryList,CategoryTypeList),"")</f>
        <v>0</v>
      </c>
      <c r="D240" s="134"/>
      <c r="E240" s="141"/>
    </row>
    <row r="241" spans="1:5" x14ac:dyDescent="0.25">
      <c r="A241" s="155"/>
      <c r="B241" s="141"/>
      <c r="C241" s="5">
        <f>IFERROR(_xlfn.XLOOKUP(TransactionsLog[[#This Row],[Category]],CategoryList,CategoryTypeList),"")</f>
        <v>0</v>
      </c>
      <c r="D241" s="134"/>
      <c r="E241" s="141"/>
    </row>
    <row r="242" spans="1:5" x14ac:dyDescent="0.25">
      <c r="A242" s="155"/>
      <c r="B242" s="141"/>
      <c r="C242" s="5">
        <f>IFERROR(_xlfn.XLOOKUP(TransactionsLog[[#This Row],[Category]],CategoryList,CategoryTypeList),"")</f>
        <v>0</v>
      </c>
      <c r="D242" s="134"/>
      <c r="E242" s="141"/>
    </row>
    <row r="243" spans="1:5" x14ac:dyDescent="0.25">
      <c r="A243" s="155"/>
      <c r="B243" s="141"/>
      <c r="C243" s="5">
        <f>IFERROR(_xlfn.XLOOKUP(TransactionsLog[[#This Row],[Category]],CategoryList,CategoryTypeList),"")</f>
        <v>0</v>
      </c>
      <c r="D243" s="134"/>
      <c r="E243" s="141"/>
    </row>
    <row r="244" spans="1:5" x14ac:dyDescent="0.25">
      <c r="A244" s="155"/>
      <c r="B244" s="141"/>
      <c r="C244" s="5">
        <f>IFERROR(_xlfn.XLOOKUP(TransactionsLog[[#This Row],[Category]],CategoryList,CategoryTypeList),"")</f>
        <v>0</v>
      </c>
      <c r="D244" s="134"/>
      <c r="E244" s="141"/>
    </row>
    <row r="245" spans="1:5" x14ac:dyDescent="0.25">
      <c r="A245" s="155"/>
      <c r="B245" s="141"/>
      <c r="C245" s="5">
        <f>IFERROR(_xlfn.XLOOKUP(TransactionsLog[[#This Row],[Category]],CategoryList,CategoryTypeList),"")</f>
        <v>0</v>
      </c>
      <c r="D245" s="134"/>
      <c r="E245" s="141"/>
    </row>
    <row r="246" spans="1:5" x14ac:dyDescent="0.25">
      <c r="A246" s="155"/>
      <c r="B246" s="141"/>
      <c r="C246" s="5">
        <f>IFERROR(_xlfn.XLOOKUP(TransactionsLog[[#This Row],[Category]],CategoryList,CategoryTypeList),"")</f>
        <v>0</v>
      </c>
      <c r="D246" s="134"/>
      <c r="E246" s="141"/>
    </row>
    <row r="247" spans="1:5" x14ac:dyDescent="0.25">
      <c r="A247" s="155"/>
      <c r="B247" s="141"/>
      <c r="C247" s="5">
        <f>IFERROR(_xlfn.XLOOKUP(TransactionsLog[[#This Row],[Category]],CategoryList,CategoryTypeList),"")</f>
        <v>0</v>
      </c>
      <c r="D247" s="134"/>
      <c r="E247" s="141"/>
    </row>
    <row r="248" spans="1:5" x14ac:dyDescent="0.25">
      <c r="A248" s="155"/>
      <c r="B248" s="141"/>
      <c r="C248" s="5">
        <f>IFERROR(_xlfn.XLOOKUP(TransactionsLog[[#This Row],[Category]],CategoryList,CategoryTypeList),"")</f>
        <v>0</v>
      </c>
      <c r="D248" s="134"/>
      <c r="E248" s="141"/>
    </row>
    <row r="249" spans="1:5" x14ac:dyDescent="0.25">
      <c r="A249" s="155"/>
      <c r="B249" s="141"/>
      <c r="C249" s="5">
        <f>IFERROR(_xlfn.XLOOKUP(TransactionsLog[[#This Row],[Category]],CategoryList,CategoryTypeList),"")</f>
        <v>0</v>
      </c>
      <c r="D249" s="134"/>
      <c r="E249" s="141"/>
    </row>
    <row r="250" spans="1:5" x14ac:dyDescent="0.25">
      <c r="A250" s="155"/>
      <c r="B250" s="141"/>
      <c r="C250" s="5">
        <f>IFERROR(_xlfn.XLOOKUP(TransactionsLog[[#This Row],[Category]],CategoryList,CategoryTypeList),"")</f>
        <v>0</v>
      </c>
      <c r="D250" s="134"/>
      <c r="E250" s="141"/>
    </row>
    <row r="251" spans="1:5" x14ac:dyDescent="0.25">
      <c r="A251" s="155"/>
      <c r="B251" s="141"/>
      <c r="C251" s="5">
        <f>IFERROR(_xlfn.XLOOKUP(TransactionsLog[[#This Row],[Category]],CategoryList,CategoryTypeList),"")</f>
        <v>0</v>
      </c>
      <c r="D251" s="134"/>
      <c r="E251" s="141"/>
    </row>
    <row r="252" spans="1:5" x14ac:dyDescent="0.25">
      <c r="A252" s="155"/>
      <c r="B252" s="141"/>
      <c r="C252" s="5">
        <f>IFERROR(_xlfn.XLOOKUP(TransactionsLog[[#This Row],[Category]],CategoryList,CategoryTypeList),"")</f>
        <v>0</v>
      </c>
      <c r="D252" s="134"/>
      <c r="E252" s="141"/>
    </row>
    <row r="253" spans="1:5" x14ac:dyDescent="0.25">
      <c r="A253" s="155"/>
      <c r="B253" s="141"/>
      <c r="C253" s="5">
        <f>IFERROR(_xlfn.XLOOKUP(TransactionsLog[[#This Row],[Category]],CategoryList,CategoryTypeList),"")</f>
        <v>0</v>
      </c>
      <c r="D253" s="134"/>
      <c r="E253" s="141"/>
    </row>
    <row r="254" spans="1:5" x14ac:dyDescent="0.25">
      <c r="A254" s="155"/>
      <c r="B254" s="141"/>
      <c r="C254" s="5">
        <f>IFERROR(_xlfn.XLOOKUP(TransactionsLog[[#This Row],[Category]],CategoryList,CategoryTypeList),"")</f>
        <v>0</v>
      </c>
      <c r="D254" s="134"/>
      <c r="E254" s="141"/>
    </row>
    <row r="255" spans="1:5" x14ac:dyDescent="0.25">
      <c r="A255" s="155"/>
      <c r="B255" s="141"/>
      <c r="C255" s="5">
        <f>IFERROR(_xlfn.XLOOKUP(TransactionsLog[[#This Row],[Category]],CategoryList,CategoryTypeList),"")</f>
        <v>0</v>
      </c>
      <c r="D255" s="134"/>
      <c r="E255" s="141"/>
    </row>
    <row r="256" spans="1:5" x14ac:dyDescent="0.25">
      <c r="A256" s="155"/>
      <c r="B256" s="141"/>
      <c r="C256" s="5">
        <f>IFERROR(_xlfn.XLOOKUP(TransactionsLog[[#This Row],[Category]],CategoryList,CategoryTypeList),"")</f>
        <v>0</v>
      </c>
      <c r="D256" s="134"/>
      <c r="E256" s="141"/>
    </row>
    <row r="257" spans="1:5" x14ac:dyDescent="0.25">
      <c r="A257" s="155"/>
      <c r="B257" s="141"/>
      <c r="C257" s="5">
        <f>IFERROR(_xlfn.XLOOKUP(TransactionsLog[[#This Row],[Category]],CategoryList,CategoryTypeList),"")</f>
        <v>0</v>
      </c>
      <c r="D257" s="134"/>
      <c r="E257" s="141"/>
    </row>
    <row r="258" spans="1:5" x14ac:dyDescent="0.25">
      <c r="A258" s="155"/>
      <c r="B258" s="141"/>
      <c r="C258" s="5">
        <f>IFERROR(_xlfn.XLOOKUP(TransactionsLog[[#This Row],[Category]],CategoryList,CategoryTypeList),"")</f>
        <v>0</v>
      </c>
      <c r="D258" s="134"/>
      <c r="E258" s="141"/>
    </row>
    <row r="259" spans="1:5" x14ac:dyDescent="0.25">
      <c r="A259" s="155"/>
      <c r="B259" s="141"/>
      <c r="C259" s="5">
        <f>IFERROR(_xlfn.XLOOKUP(TransactionsLog[[#This Row],[Category]],CategoryList,CategoryTypeList),"")</f>
        <v>0</v>
      </c>
      <c r="D259" s="134"/>
      <c r="E259" s="141"/>
    </row>
    <row r="260" spans="1:5" x14ac:dyDescent="0.25">
      <c r="A260" s="155"/>
      <c r="B260" s="141"/>
      <c r="C260" s="5">
        <f>IFERROR(_xlfn.XLOOKUP(TransactionsLog[[#This Row],[Category]],CategoryList,CategoryTypeList),"")</f>
        <v>0</v>
      </c>
      <c r="D260" s="134"/>
      <c r="E260" s="141"/>
    </row>
    <row r="261" spans="1:5" x14ac:dyDescent="0.25">
      <c r="A261" s="155"/>
      <c r="B261" s="141"/>
      <c r="C261" s="5">
        <f>IFERROR(_xlfn.XLOOKUP(TransactionsLog[[#This Row],[Category]],CategoryList,CategoryTypeList),"")</f>
        <v>0</v>
      </c>
      <c r="D261" s="134"/>
      <c r="E261" s="141"/>
    </row>
    <row r="262" spans="1:5" x14ac:dyDescent="0.25">
      <c r="A262" s="155"/>
      <c r="B262" s="141"/>
      <c r="C262" s="5">
        <f>IFERROR(_xlfn.XLOOKUP(TransactionsLog[[#This Row],[Category]],CategoryList,CategoryTypeList),"")</f>
        <v>0</v>
      </c>
      <c r="D262" s="134"/>
      <c r="E262" s="141"/>
    </row>
    <row r="263" spans="1:5" x14ac:dyDescent="0.25">
      <c r="A263" s="155"/>
      <c r="B263" s="141"/>
      <c r="C263" s="5">
        <f>IFERROR(_xlfn.XLOOKUP(TransactionsLog[[#This Row],[Category]],CategoryList,CategoryTypeList),"")</f>
        <v>0</v>
      </c>
      <c r="D263" s="134"/>
      <c r="E263" s="141"/>
    </row>
    <row r="264" spans="1:5" x14ac:dyDescent="0.25">
      <c r="A264" s="155"/>
      <c r="B264" s="141"/>
      <c r="C264" s="5">
        <f>IFERROR(_xlfn.XLOOKUP(TransactionsLog[[#This Row],[Category]],CategoryList,CategoryTypeList),"")</f>
        <v>0</v>
      </c>
      <c r="D264" s="134"/>
      <c r="E264" s="141"/>
    </row>
    <row r="265" spans="1:5" x14ac:dyDescent="0.25">
      <c r="A265" s="155"/>
      <c r="B265" s="141"/>
      <c r="C265" s="5">
        <f>IFERROR(_xlfn.XLOOKUP(TransactionsLog[[#This Row],[Category]],CategoryList,CategoryTypeList),"")</f>
        <v>0</v>
      </c>
      <c r="D265" s="134"/>
      <c r="E265" s="141"/>
    </row>
    <row r="266" spans="1:5" x14ac:dyDescent="0.25">
      <c r="A266" s="155"/>
      <c r="B266" s="141"/>
      <c r="C266" s="5">
        <f>IFERROR(_xlfn.XLOOKUP(TransactionsLog[[#This Row],[Category]],CategoryList,CategoryTypeList),"")</f>
        <v>0</v>
      </c>
      <c r="D266" s="134"/>
      <c r="E266" s="141"/>
    </row>
    <row r="267" spans="1:5" x14ac:dyDescent="0.25">
      <c r="A267" s="155"/>
      <c r="B267" s="141"/>
      <c r="C267" s="5">
        <f>IFERROR(_xlfn.XLOOKUP(TransactionsLog[[#This Row],[Category]],CategoryList,CategoryTypeList),"")</f>
        <v>0</v>
      </c>
      <c r="D267" s="134"/>
      <c r="E267" s="141"/>
    </row>
    <row r="268" spans="1:5" x14ac:dyDescent="0.25">
      <c r="A268" s="155"/>
      <c r="B268" s="141"/>
      <c r="C268" s="5">
        <f>IFERROR(_xlfn.XLOOKUP(TransactionsLog[[#This Row],[Category]],CategoryList,CategoryTypeList),"")</f>
        <v>0</v>
      </c>
      <c r="D268" s="134"/>
      <c r="E268" s="141"/>
    </row>
    <row r="269" spans="1:5" x14ac:dyDescent="0.25">
      <c r="A269" s="155"/>
      <c r="B269" s="141"/>
      <c r="C269" s="5">
        <f>IFERROR(_xlfn.XLOOKUP(TransactionsLog[[#This Row],[Category]],CategoryList,CategoryTypeList),"")</f>
        <v>0</v>
      </c>
      <c r="D269" s="134"/>
      <c r="E269" s="141"/>
    </row>
    <row r="270" spans="1:5" x14ac:dyDescent="0.25">
      <c r="A270" s="155"/>
      <c r="B270" s="141"/>
      <c r="C270" s="5">
        <f>IFERROR(_xlfn.XLOOKUP(TransactionsLog[[#This Row],[Category]],CategoryList,CategoryTypeList),"")</f>
        <v>0</v>
      </c>
      <c r="D270" s="134"/>
      <c r="E270" s="141"/>
    </row>
    <row r="271" spans="1:5" x14ac:dyDescent="0.25">
      <c r="A271" s="155"/>
      <c r="B271" s="141"/>
      <c r="C271" s="5">
        <f>IFERROR(_xlfn.XLOOKUP(TransactionsLog[[#This Row],[Category]],CategoryList,CategoryTypeList),"")</f>
        <v>0</v>
      </c>
      <c r="D271" s="134"/>
      <c r="E271" s="141"/>
    </row>
    <row r="272" spans="1:5" x14ac:dyDescent="0.25">
      <c r="A272" s="155"/>
      <c r="B272" s="141"/>
      <c r="C272" s="5">
        <f>IFERROR(_xlfn.XLOOKUP(TransactionsLog[[#This Row],[Category]],CategoryList,CategoryTypeList),"")</f>
        <v>0</v>
      </c>
      <c r="D272" s="134"/>
      <c r="E272" s="141"/>
    </row>
    <row r="273" spans="1:5" x14ac:dyDescent="0.25">
      <c r="A273" s="155"/>
      <c r="B273" s="141"/>
      <c r="C273" s="5">
        <f>IFERROR(_xlfn.XLOOKUP(TransactionsLog[[#This Row],[Category]],CategoryList,CategoryTypeList),"")</f>
        <v>0</v>
      </c>
      <c r="D273" s="134"/>
      <c r="E273" s="141"/>
    </row>
    <row r="274" spans="1:5" x14ac:dyDescent="0.25">
      <c r="A274" s="155"/>
      <c r="B274" s="141"/>
      <c r="C274" s="5">
        <f>IFERROR(_xlfn.XLOOKUP(TransactionsLog[[#This Row],[Category]],CategoryList,CategoryTypeList),"")</f>
        <v>0</v>
      </c>
      <c r="D274" s="134"/>
      <c r="E274" s="141"/>
    </row>
    <row r="275" spans="1:5" x14ac:dyDescent="0.25">
      <c r="A275" s="155"/>
      <c r="B275" s="141"/>
      <c r="C275" s="5">
        <f>IFERROR(_xlfn.XLOOKUP(TransactionsLog[[#This Row],[Category]],CategoryList,CategoryTypeList),"")</f>
        <v>0</v>
      </c>
      <c r="D275" s="134"/>
      <c r="E275" s="141"/>
    </row>
    <row r="276" spans="1:5" x14ac:dyDescent="0.25">
      <c r="A276" s="155"/>
      <c r="B276" s="141"/>
      <c r="C276" s="5">
        <f>IFERROR(_xlfn.XLOOKUP(TransactionsLog[[#This Row],[Category]],CategoryList,CategoryTypeList),"")</f>
        <v>0</v>
      </c>
      <c r="D276" s="134"/>
      <c r="E276" s="141"/>
    </row>
    <row r="277" spans="1:5" x14ac:dyDescent="0.25">
      <c r="A277" s="155"/>
      <c r="B277" s="141"/>
      <c r="C277" s="5">
        <f>IFERROR(_xlfn.XLOOKUP(TransactionsLog[[#This Row],[Category]],CategoryList,CategoryTypeList),"")</f>
        <v>0</v>
      </c>
      <c r="D277" s="134"/>
      <c r="E277" s="141"/>
    </row>
    <row r="278" spans="1:5" x14ac:dyDescent="0.25">
      <c r="A278" s="155"/>
      <c r="B278" s="141"/>
      <c r="C278" s="5">
        <f>IFERROR(_xlfn.XLOOKUP(TransactionsLog[[#This Row],[Category]],CategoryList,CategoryTypeList),"")</f>
        <v>0</v>
      </c>
      <c r="D278" s="134"/>
      <c r="E278" s="141"/>
    </row>
    <row r="279" spans="1:5" x14ac:dyDescent="0.25">
      <c r="A279" s="155"/>
      <c r="B279" s="141"/>
      <c r="C279" s="5">
        <f>IFERROR(_xlfn.XLOOKUP(TransactionsLog[[#This Row],[Category]],CategoryList,CategoryTypeList),"")</f>
        <v>0</v>
      </c>
      <c r="D279" s="134"/>
      <c r="E279" s="141"/>
    </row>
    <row r="280" spans="1:5" x14ac:dyDescent="0.25">
      <c r="A280" s="155"/>
      <c r="B280" s="141"/>
      <c r="C280" s="5">
        <f>IFERROR(_xlfn.XLOOKUP(TransactionsLog[[#This Row],[Category]],CategoryList,CategoryTypeList),"")</f>
        <v>0</v>
      </c>
      <c r="D280" s="134"/>
      <c r="E280" s="141"/>
    </row>
    <row r="281" spans="1:5" x14ac:dyDescent="0.25">
      <c r="A281" s="155"/>
      <c r="B281" s="141"/>
      <c r="C281" s="5">
        <f>IFERROR(_xlfn.XLOOKUP(TransactionsLog[[#This Row],[Category]],CategoryList,CategoryTypeList),"")</f>
        <v>0</v>
      </c>
      <c r="D281" s="134"/>
      <c r="E281" s="141"/>
    </row>
    <row r="282" spans="1:5" x14ac:dyDescent="0.25">
      <c r="A282" s="155"/>
      <c r="B282" s="141"/>
      <c r="C282" s="5">
        <f>IFERROR(_xlfn.XLOOKUP(TransactionsLog[[#This Row],[Category]],CategoryList,CategoryTypeList),"")</f>
        <v>0</v>
      </c>
      <c r="D282" s="134"/>
      <c r="E282" s="141"/>
    </row>
    <row r="283" spans="1:5" x14ac:dyDescent="0.25">
      <c r="A283" s="155"/>
      <c r="B283" s="141"/>
      <c r="C283" s="5">
        <f>IFERROR(_xlfn.XLOOKUP(TransactionsLog[[#This Row],[Category]],CategoryList,CategoryTypeList),"")</f>
        <v>0</v>
      </c>
      <c r="D283" s="134"/>
      <c r="E283" s="141"/>
    </row>
    <row r="284" spans="1:5" x14ac:dyDescent="0.25">
      <c r="A284" s="155"/>
      <c r="B284" s="141"/>
      <c r="C284" s="5">
        <f>IFERROR(_xlfn.XLOOKUP(TransactionsLog[[#This Row],[Category]],CategoryList,CategoryTypeList),"")</f>
        <v>0</v>
      </c>
      <c r="D284" s="134"/>
      <c r="E284" s="141"/>
    </row>
    <row r="285" spans="1:5" x14ac:dyDescent="0.25">
      <c r="A285" s="155"/>
      <c r="B285" s="141"/>
      <c r="C285" s="5">
        <f>IFERROR(_xlfn.XLOOKUP(TransactionsLog[[#This Row],[Category]],CategoryList,CategoryTypeList),"")</f>
        <v>0</v>
      </c>
      <c r="D285" s="134"/>
      <c r="E285" s="141"/>
    </row>
    <row r="286" spans="1:5" x14ac:dyDescent="0.25">
      <c r="A286" s="155"/>
      <c r="B286" s="141"/>
      <c r="C286" s="5">
        <f>IFERROR(_xlfn.XLOOKUP(TransactionsLog[[#This Row],[Category]],CategoryList,CategoryTypeList),"")</f>
        <v>0</v>
      </c>
      <c r="D286" s="134"/>
      <c r="E286" s="141"/>
    </row>
    <row r="287" spans="1:5" x14ac:dyDescent="0.25">
      <c r="A287" s="155"/>
      <c r="B287" s="141"/>
      <c r="C287" s="5">
        <f>IFERROR(_xlfn.XLOOKUP(TransactionsLog[[#This Row],[Category]],CategoryList,CategoryTypeList),"")</f>
        <v>0</v>
      </c>
      <c r="D287" s="134"/>
      <c r="E287" s="141"/>
    </row>
    <row r="288" spans="1:5" x14ac:dyDescent="0.25">
      <c r="A288" s="155"/>
      <c r="B288" s="141"/>
      <c r="C288" s="5">
        <f>IFERROR(_xlfn.XLOOKUP(TransactionsLog[[#This Row],[Category]],CategoryList,CategoryTypeList),"")</f>
        <v>0</v>
      </c>
      <c r="D288" s="134"/>
      <c r="E288" s="141"/>
    </row>
    <row r="289" spans="1:5" x14ac:dyDescent="0.25">
      <c r="A289" s="155"/>
      <c r="B289" s="141"/>
      <c r="C289" s="5">
        <f>IFERROR(_xlfn.XLOOKUP(TransactionsLog[[#This Row],[Category]],CategoryList,CategoryTypeList),"")</f>
        <v>0</v>
      </c>
      <c r="D289" s="134"/>
      <c r="E289" s="141"/>
    </row>
    <row r="290" spans="1:5" x14ac:dyDescent="0.25">
      <c r="A290" s="155"/>
      <c r="B290" s="141"/>
      <c r="C290" s="5">
        <f>IFERROR(_xlfn.XLOOKUP(TransactionsLog[[#This Row],[Category]],CategoryList,CategoryTypeList),"")</f>
        <v>0</v>
      </c>
      <c r="D290" s="134"/>
      <c r="E290" s="141"/>
    </row>
    <row r="291" spans="1:5" x14ac:dyDescent="0.25">
      <c r="A291" s="155"/>
      <c r="B291" s="141"/>
      <c r="C291" s="5">
        <f>IFERROR(_xlfn.XLOOKUP(TransactionsLog[[#This Row],[Category]],CategoryList,CategoryTypeList),"")</f>
        <v>0</v>
      </c>
      <c r="D291" s="134"/>
      <c r="E291" s="141"/>
    </row>
    <row r="292" spans="1:5" x14ac:dyDescent="0.25">
      <c r="A292" s="155"/>
      <c r="B292" s="141"/>
      <c r="C292" s="5">
        <f>IFERROR(_xlfn.XLOOKUP(TransactionsLog[[#This Row],[Category]],CategoryList,CategoryTypeList),"")</f>
        <v>0</v>
      </c>
      <c r="D292" s="134"/>
      <c r="E292" s="141"/>
    </row>
    <row r="293" spans="1:5" x14ac:dyDescent="0.25">
      <c r="A293" s="155"/>
      <c r="B293" s="141"/>
      <c r="C293" s="5">
        <f>IFERROR(_xlfn.XLOOKUP(TransactionsLog[[#This Row],[Category]],CategoryList,CategoryTypeList),"")</f>
        <v>0</v>
      </c>
      <c r="D293" s="134"/>
      <c r="E293" s="141"/>
    </row>
    <row r="294" spans="1:5" x14ac:dyDescent="0.25">
      <c r="A294" s="155"/>
      <c r="B294" s="141"/>
      <c r="C294" s="5">
        <f>IFERROR(_xlfn.XLOOKUP(TransactionsLog[[#This Row],[Category]],CategoryList,CategoryTypeList),"")</f>
        <v>0</v>
      </c>
      <c r="D294" s="134"/>
      <c r="E294" s="141"/>
    </row>
    <row r="295" spans="1:5" x14ac:dyDescent="0.25">
      <c r="A295" s="155"/>
      <c r="B295" s="141"/>
      <c r="C295" s="5">
        <f>IFERROR(_xlfn.XLOOKUP(TransactionsLog[[#This Row],[Category]],CategoryList,CategoryTypeList),"")</f>
        <v>0</v>
      </c>
      <c r="D295" s="134"/>
      <c r="E295" s="141"/>
    </row>
    <row r="296" spans="1:5" x14ac:dyDescent="0.25">
      <c r="A296" s="155"/>
      <c r="B296" s="141"/>
      <c r="C296" s="5">
        <f>IFERROR(_xlfn.XLOOKUP(TransactionsLog[[#This Row],[Category]],CategoryList,CategoryTypeList),"")</f>
        <v>0</v>
      </c>
      <c r="D296" s="134"/>
      <c r="E296" s="141"/>
    </row>
    <row r="297" spans="1:5" x14ac:dyDescent="0.25">
      <c r="A297" s="155"/>
      <c r="B297" s="141"/>
      <c r="C297" s="5">
        <f>IFERROR(_xlfn.XLOOKUP(TransactionsLog[[#This Row],[Category]],CategoryList,CategoryTypeList),"")</f>
        <v>0</v>
      </c>
      <c r="D297" s="134"/>
      <c r="E297" s="141"/>
    </row>
    <row r="298" spans="1:5" x14ac:dyDescent="0.25">
      <c r="A298" s="155"/>
      <c r="B298" s="141"/>
      <c r="C298" s="5">
        <f>IFERROR(_xlfn.XLOOKUP(TransactionsLog[[#This Row],[Category]],CategoryList,CategoryTypeList),"")</f>
        <v>0</v>
      </c>
      <c r="D298" s="134"/>
      <c r="E298" s="141"/>
    </row>
    <row r="299" spans="1:5" x14ac:dyDescent="0.25">
      <c r="A299" s="155"/>
      <c r="B299" s="141"/>
      <c r="C299" s="5">
        <f>IFERROR(_xlfn.XLOOKUP(TransactionsLog[[#This Row],[Category]],CategoryList,CategoryTypeList),"")</f>
        <v>0</v>
      </c>
      <c r="D299" s="134"/>
      <c r="E299" s="141"/>
    </row>
    <row r="300" spans="1:5" x14ac:dyDescent="0.25">
      <c r="A300" s="155"/>
      <c r="B300" s="141"/>
      <c r="C300" s="5">
        <f>IFERROR(_xlfn.XLOOKUP(TransactionsLog[[#This Row],[Category]],CategoryList,CategoryTypeList),"")</f>
        <v>0</v>
      </c>
      <c r="D300" s="134"/>
      <c r="E300" s="141"/>
    </row>
    <row r="301" spans="1:5" x14ac:dyDescent="0.25">
      <c r="A301" s="155"/>
      <c r="B301" s="141"/>
      <c r="C301" s="5">
        <f>IFERROR(_xlfn.XLOOKUP(TransactionsLog[[#This Row],[Category]],CategoryList,CategoryTypeList),"")</f>
        <v>0</v>
      </c>
      <c r="D301" s="134"/>
      <c r="E301" s="141"/>
    </row>
    <row r="302" spans="1:5" x14ac:dyDescent="0.25">
      <c r="A302" s="155"/>
      <c r="B302" s="141"/>
      <c r="C302" s="5">
        <f>IFERROR(_xlfn.XLOOKUP(TransactionsLog[[#This Row],[Category]],CategoryList,CategoryTypeList),"")</f>
        <v>0</v>
      </c>
      <c r="D302" s="134"/>
      <c r="E302" s="141"/>
    </row>
    <row r="303" spans="1:5" x14ac:dyDescent="0.25">
      <c r="A303" s="155"/>
      <c r="B303" s="141"/>
      <c r="C303" s="5">
        <f>IFERROR(_xlfn.XLOOKUP(TransactionsLog[[#This Row],[Category]],CategoryList,CategoryTypeList),"")</f>
        <v>0</v>
      </c>
      <c r="D303" s="134"/>
      <c r="E303" s="141"/>
    </row>
    <row r="304" spans="1:5" x14ac:dyDescent="0.25">
      <c r="A304" s="155"/>
      <c r="B304" s="141"/>
      <c r="C304" s="5">
        <f>IFERROR(_xlfn.XLOOKUP(TransactionsLog[[#This Row],[Category]],CategoryList,CategoryTypeList),"")</f>
        <v>0</v>
      </c>
      <c r="D304" s="134"/>
      <c r="E304" s="141"/>
    </row>
  </sheetData>
  <sheetProtection sheet="1" objects="1" scenarios="1"/>
  <conditionalFormatting sqref="D5:D304">
    <cfRule type="expression" dxfId="7" priority="1">
      <formula>AND(D5&lt;&gt;"",D5&gt;3*AVERAGEIF($D$5:$D$304,"&lt;&gt;"))</formula>
    </cfRule>
  </conditionalFormatting>
  <dataValidations count="1">
    <dataValidation type="list" allowBlank="1" showInputMessage="1" showErrorMessage="1" sqref="B5:B304" xr:uid="{849719DD-54D4-411C-8732-D61DE58B85A1}">
      <formula1>CategoryList</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E898B-1F22-45E5-9E03-DEDD76B7CDE4}">
  <dimension ref="A1:Z320"/>
  <sheetViews>
    <sheetView workbookViewId="0">
      <selection activeCell="A4" sqref="A4"/>
    </sheetView>
  </sheetViews>
  <sheetFormatPr defaultRowHeight="15" x14ac:dyDescent="0.25"/>
  <cols>
    <col min="1" max="1" width="19" style="78" customWidth="1"/>
    <col min="2" max="2" width="38.140625" style="78" customWidth="1"/>
    <col min="3" max="3" width="19" style="78" customWidth="1"/>
    <col min="4" max="4" width="30.42578125" style="78" customWidth="1"/>
    <col min="5" max="5" width="19" style="78" customWidth="1"/>
    <col min="6" max="6" width="28.5703125" style="78" customWidth="1"/>
    <col min="7" max="8" width="19" style="78" customWidth="1"/>
    <col min="9" max="9" width="30.42578125" style="78" customWidth="1"/>
    <col min="10" max="10" width="3.85546875" style="78" customWidth="1"/>
    <col min="11" max="12" width="28.5703125" style="78" customWidth="1"/>
    <col min="13" max="16384" width="9.140625" style="78"/>
  </cols>
  <sheetData>
    <row r="1" spans="1:26" ht="37.5" x14ac:dyDescent="0.5">
      <c r="A1" s="120" t="s">
        <v>223</v>
      </c>
      <c r="B1" s="64"/>
      <c r="C1" s="64"/>
      <c r="D1" s="64"/>
      <c r="E1" s="64"/>
      <c r="F1" s="64"/>
      <c r="G1" s="64"/>
      <c r="H1" s="64"/>
      <c r="I1" s="64"/>
      <c r="J1" s="193"/>
      <c r="K1" s="193"/>
      <c r="L1" s="193"/>
      <c r="M1" s="193"/>
      <c r="N1" s="193"/>
      <c r="O1" s="193"/>
      <c r="P1" s="193"/>
      <c r="Q1" s="193"/>
      <c r="R1" s="193"/>
      <c r="S1" s="193"/>
      <c r="T1" s="193"/>
      <c r="U1" s="193"/>
      <c r="V1" s="193"/>
      <c r="W1" s="193"/>
      <c r="X1" s="193"/>
      <c r="Y1" s="193"/>
      <c r="Z1" s="193"/>
    </row>
    <row r="2" spans="1:26" ht="62.1" customHeight="1" x14ac:dyDescent="0.25">
      <c r="A2" s="225" t="s">
        <v>224</v>
      </c>
      <c r="B2" s="225"/>
      <c r="C2" s="225"/>
      <c r="D2" s="225"/>
      <c r="E2" s="225"/>
      <c r="F2" s="225"/>
      <c r="G2" s="225"/>
      <c r="H2" s="225"/>
      <c r="I2" s="225"/>
      <c r="J2" s="193"/>
      <c r="K2" s="193"/>
      <c r="L2" s="193"/>
      <c r="M2" s="193"/>
      <c r="N2" s="193"/>
      <c r="O2" s="193"/>
      <c r="P2" s="193"/>
      <c r="Q2" s="193"/>
      <c r="R2" s="193"/>
      <c r="S2" s="193"/>
      <c r="T2" s="193"/>
      <c r="U2" s="193"/>
      <c r="V2" s="193"/>
      <c r="W2" s="193"/>
      <c r="X2" s="193"/>
      <c r="Y2" s="193"/>
      <c r="Z2" s="193"/>
    </row>
    <row r="3" spans="1:26" ht="18" customHeight="1" x14ac:dyDescent="0.25">
      <c r="A3" s="226" t="s">
        <v>225</v>
      </c>
      <c r="B3" s="226"/>
      <c r="C3" s="226"/>
      <c r="D3" s="226"/>
      <c r="E3" s="226"/>
      <c r="F3" s="226"/>
      <c r="G3" s="226"/>
      <c r="H3" s="226"/>
      <c r="I3" s="226"/>
      <c r="J3" s="193"/>
      <c r="K3" s="227" t="s">
        <v>230</v>
      </c>
      <c r="L3" s="227"/>
      <c r="M3" s="193"/>
      <c r="N3" s="193"/>
      <c r="O3" s="193"/>
      <c r="P3" s="193"/>
      <c r="Q3" s="193"/>
      <c r="R3" s="193"/>
      <c r="S3" s="193"/>
      <c r="T3" s="193"/>
      <c r="U3" s="193"/>
      <c r="V3" s="193"/>
      <c r="W3" s="193"/>
      <c r="X3" s="193"/>
      <c r="Y3" s="193"/>
      <c r="Z3" s="193"/>
    </row>
    <row r="4" spans="1:26" ht="62.1" customHeight="1" x14ac:dyDescent="0.25">
      <c r="A4" s="192" t="s">
        <v>228</v>
      </c>
      <c r="B4" s="194"/>
      <c r="C4" s="194"/>
      <c r="D4" s="192" t="s">
        <v>229</v>
      </c>
      <c r="E4" s="194"/>
      <c r="F4" s="194"/>
      <c r="G4" s="194"/>
      <c r="H4" s="194"/>
      <c r="I4" s="194"/>
      <c r="J4" s="193"/>
      <c r="K4" s="228" t="s">
        <v>231</v>
      </c>
      <c r="L4" s="228"/>
      <c r="M4" s="193"/>
      <c r="N4" s="193"/>
      <c r="O4" s="193"/>
      <c r="P4" s="193"/>
      <c r="Q4" s="193"/>
      <c r="R4" s="193"/>
      <c r="S4" s="193"/>
      <c r="T4" s="193"/>
      <c r="U4" s="193"/>
      <c r="V4" s="193"/>
      <c r="W4" s="193"/>
      <c r="X4" s="193"/>
      <c r="Y4" s="193"/>
      <c r="Z4" s="193"/>
    </row>
    <row r="5" spans="1:26" x14ac:dyDescent="0.25">
      <c r="A5" s="2" t="s">
        <v>74</v>
      </c>
      <c r="B5" s="2" t="s">
        <v>226</v>
      </c>
      <c r="C5" s="2" t="s">
        <v>75</v>
      </c>
      <c r="D5" s="2" t="s">
        <v>227</v>
      </c>
      <c r="E5" s="2" t="s">
        <v>74</v>
      </c>
      <c r="F5" s="2" t="s">
        <v>1</v>
      </c>
      <c r="G5" s="2" t="s">
        <v>2</v>
      </c>
      <c r="H5" s="2" t="s">
        <v>75</v>
      </c>
      <c r="I5" s="2" t="s">
        <v>76</v>
      </c>
      <c r="J5" s="193"/>
      <c r="K5" s="2" t="s">
        <v>232</v>
      </c>
      <c r="L5" s="2" t="s">
        <v>1</v>
      </c>
      <c r="M5" s="193"/>
      <c r="N5" s="193"/>
      <c r="O5" s="193"/>
      <c r="P5" s="193"/>
      <c r="Q5" s="193"/>
      <c r="R5" s="193"/>
      <c r="S5" s="193"/>
      <c r="T5" s="193"/>
      <c r="U5" s="193"/>
      <c r="V5" s="193"/>
      <c r="W5" s="193"/>
      <c r="X5" s="193"/>
      <c r="Y5" s="193"/>
      <c r="Z5" s="193"/>
    </row>
    <row r="6" spans="1:26" x14ac:dyDescent="0.25">
      <c r="A6" s="195"/>
      <c r="B6" s="193"/>
      <c r="C6" s="196"/>
      <c r="D6" s="197" t="str" cm="1">
        <f t="array" ref="D6">IF(B6="","",IFERROR(INDEX($L$6:$L$33,MATCH(TRUE,ISNUMBER(SEARCH($K$6:$K$33,B6)),0)),"Review Manually"))</f>
        <v/>
      </c>
      <c r="E6" s="198" t="str">
        <f>IF(A6="","",A6)</f>
        <v/>
      </c>
      <c r="F6" s="193" t="str">
        <f>IF(B6="","",D6)</f>
        <v/>
      </c>
      <c r="G6" s="199" t="str">
        <f t="shared" ref="G6:G37" si="0">IF(F6="","",IFERROR(_xlfn.XLOOKUP(F6,CategoryList,CategoryTypeList),""))</f>
        <v/>
      </c>
      <c r="H6" s="200" t="str">
        <f>IF(C6="","",C6)</f>
        <v/>
      </c>
      <c r="I6" s="193"/>
      <c r="J6" s="193"/>
      <c r="K6" s="193" t="s">
        <v>233</v>
      </c>
      <c r="L6" s="193" t="s">
        <v>17</v>
      </c>
      <c r="M6" s="193"/>
      <c r="N6" s="193"/>
      <c r="O6" s="193"/>
      <c r="P6" s="193"/>
      <c r="Q6" s="193"/>
      <c r="R6" s="193"/>
      <c r="S6" s="193"/>
      <c r="T6" s="193"/>
      <c r="U6" s="193"/>
      <c r="V6" s="193"/>
      <c r="W6" s="193"/>
      <c r="X6" s="193"/>
      <c r="Y6" s="193"/>
      <c r="Z6" s="193"/>
    </row>
    <row r="7" spans="1:26" x14ac:dyDescent="0.25">
      <c r="A7" s="195"/>
      <c r="B7" s="193"/>
      <c r="C7" s="196"/>
      <c r="D7" s="197" t="str" cm="1">
        <f t="array" ref="D7">IF(B7="","",IFERROR(INDEX($L$6:$L$33,MATCH(TRUE,ISNUMBER(SEARCH($K$6:$K$33,B7)),0)),"Review Manually"))</f>
        <v/>
      </c>
      <c r="E7" s="198" t="str">
        <f t="shared" ref="E7:E70" si="1">IF(A7="","",A7)</f>
        <v/>
      </c>
      <c r="F7" s="193" t="str">
        <f t="shared" ref="F7:F70" si="2">IF(B7="","",D7)</f>
        <v/>
      </c>
      <c r="G7" s="199" t="str">
        <f t="shared" si="0"/>
        <v/>
      </c>
      <c r="H7" s="200" t="str">
        <f t="shared" ref="H7:H70" si="3">IF(C7="","",C7)</f>
        <v/>
      </c>
      <c r="I7" s="193"/>
      <c r="J7" s="193"/>
      <c r="K7" s="193" t="s">
        <v>234</v>
      </c>
      <c r="L7" s="193" t="s">
        <v>17</v>
      </c>
      <c r="M7" s="193"/>
      <c r="N7" s="193"/>
      <c r="O7" s="193"/>
      <c r="P7" s="193"/>
      <c r="Q7" s="193"/>
      <c r="R7" s="193"/>
      <c r="S7" s="193"/>
      <c r="T7" s="193"/>
      <c r="U7" s="193"/>
      <c r="V7" s="193"/>
      <c r="W7" s="193"/>
      <c r="X7" s="193"/>
      <c r="Y7" s="193"/>
      <c r="Z7" s="193"/>
    </row>
    <row r="8" spans="1:26" x14ac:dyDescent="0.25">
      <c r="A8" s="195"/>
      <c r="B8" s="193"/>
      <c r="C8" s="196"/>
      <c r="D8" s="197" t="str" cm="1">
        <f t="array" ref="D8">IF(B8="","",IFERROR(INDEX($L$6:$L$33,MATCH(TRUE,ISNUMBER(SEARCH($K$6:$K$33,B8)),0)),"Review Manually"))</f>
        <v/>
      </c>
      <c r="E8" s="198" t="str">
        <f t="shared" si="1"/>
        <v/>
      </c>
      <c r="F8" s="193" t="str">
        <f t="shared" si="2"/>
        <v/>
      </c>
      <c r="G8" s="199" t="str">
        <f t="shared" si="0"/>
        <v/>
      </c>
      <c r="H8" s="200" t="str">
        <f t="shared" si="3"/>
        <v/>
      </c>
      <c r="I8" s="193"/>
      <c r="J8" s="193"/>
      <c r="K8" s="193" t="s">
        <v>235</v>
      </c>
      <c r="L8" s="193" t="s">
        <v>17</v>
      </c>
      <c r="M8" s="193"/>
      <c r="N8" s="193"/>
      <c r="O8" s="193"/>
      <c r="P8" s="193"/>
      <c r="Q8" s="193"/>
      <c r="R8" s="193"/>
      <c r="S8" s="193"/>
      <c r="T8" s="193"/>
      <c r="U8" s="193"/>
      <c r="V8" s="193"/>
      <c r="W8" s="193"/>
      <c r="X8" s="193"/>
      <c r="Y8" s="193"/>
      <c r="Z8" s="193"/>
    </row>
    <row r="9" spans="1:26" x14ac:dyDescent="0.25">
      <c r="A9" s="195"/>
      <c r="B9" s="193"/>
      <c r="C9" s="196"/>
      <c r="D9" s="197" t="str" cm="1">
        <f t="array" ref="D9">IF(B9="","",IFERROR(INDEX($L$6:$L$33,MATCH(TRUE,ISNUMBER(SEARCH($K$6:$K$33,B9)),0)),"Review Manually"))</f>
        <v/>
      </c>
      <c r="E9" s="198" t="str">
        <f t="shared" si="1"/>
        <v/>
      </c>
      <c r="F9" s="193" t="str">
        <f t="shared" si="2"/>
        <v/>
      </c>
      <c r="G9" s="199" t="str">
        <f t="shared" si="0"/>
        <v/>
      </c>
      <c r="H9" s="200" t="str">
        <f t="shared" si="3"/>
        <v/>
      </c>
      <c r="I9" s="193"/>
      <c r="J9" s="193"/>
      <c r="K9" s="193" t="s">
        <v>236</v>
      </c>
      <c r="L9" s="193" t="s">
        <v>17</v>
      </c>
      <c r="M9" s="193"/>
      <c r="N9" s="193"/>
      <c r="O9" s="193"/>
      <c r="P9" s="193"/>
      <c r="Q9" s="193"/>
      <c r="R9" s="193"/>
      <c r="S9" s="193"/>
      <c r="T9" s="193"/>
      <c r="U9" s="193"/>
      <c r="V9" s="193"/>
      <c r="W9" s="193"/>
      <c r="X9" s="193"/>
      <c r="Y9" s="193"/>
      <c r="Z9" s="193"/>
    </row>
    <row r="10" spans="1:26" x14ac:dyDescent="0.25">
      <c r="A10" s="195"/>
      <c r="B10" s="193"/>
      <c r="C10" s="196"/>
      <c r="D10" s="197" t="str" cm="1">
        <f t="array" ref="D10">IF(B10="","",IFERROR(INDEX($L$6:$L$33,MATCH(TRUE,ISNUMBER(SEARCH($K$6:$K$33,B10)),0)),"Review Manually"))</f>
        <v/>
      </c>
      <c r="E10" s="198" t="str">
        <f t="shared" si="1"/>
        <v/>
      </c>
      <c r="F10" s="193" t="str">
        <f>IF(B10="","",D10)</f>
        <v/>
      </c>
      <c r="G10" s="199" t="str">
        <f t="shared" si="0"/>
        <v/>
      </c>
      <c r="H10" s="200" t="str">
        <f t="shared" si="3"/>
        <v/>
      </c>
      <c r="I10" s="193"/>
      <c r="J10" s="193"/>
      <c r="K10" s="193" t="s">
        <v>237</v>
      </c>
      <c r="L10" s="193" t="s">
        <v>21</v>
      </c>
      <c r="M10" s="193"/>
      <c r="N10" s="193"/>
      <c r="O10" s="193"/>
      <c r="P10" s="193"/>
      <c r="Q10" s="193"/>
      <c r="R10" s="193"/>
      <c r="S10" s="193"/>
      <c r="T10" s="193"/>
      <c r="U10" s="193"/>
      <c r="V10" s="193"/>
      <c r="W10" s="193"/>
      <c r="X10" s="193"/>
      <c r="Y10" s="193"/>
      <c r="Z10" s="193"/>
    </row>
    <row r="11" spans="1:26" x14ac:dyDescent="0.25">
      <c r="A11" s="195"/>
      <c r="B11" s="193"/>
      <c r="C11" s="196"/>
      <c r="D11" s="197" t="str" cm="1">
        <f t="array" ref="D11">IF(B11="","",IFERROR(INDEX($L$6:$L$33,MATCH(TRUE,ISNUMBER(SEARCH($K$6:$K$33,B11)),0)),"Review Manually"))</f>
        <v/>
      </c>
      <c r="E11" s="198" t="str">
        <f t="shared" si="1"/>
        <v/>
      </c>
      <c r="F11" s="193" t="str">
        <f t="shared" si="2"/>
        <v/>
      </c>
      <c r="G11" s="199" t="str">
        <f t="shared" si="0"/>
        <v/>
      </c>
      <c r="H11" s="200" t="str">
        <f t="shared" si="3"/>
        <v/>
      </c>
      <c r="I11" s="193"/>
      <c r="J11" s="193"/>
      <c r="K11" s="193" t="s">
        <v>238</v>
      </c>
      <c r="L11" s="193" t="s">
        <v>21</v>
      </c>
      <c r="M11" s="193"/>
      <c r="N11" s="193"/>
      <c r="O11" s="193"/>
      <c r="P11" s="193"/>
      <c r="Q11" s="193"/>
      <c r="R11" s="193"/>
      <c r="S11" s="193"/>
      <c r="T11" s="193"/>
      <c r="U11" s="193"/>
      <c r="V11" s="193"/>
      <c r="W11" s="193"/>
      <c r="X11" s="193"/>
      <c r="Y11" s="193"/>
      <c r="Z11" s="193"/>
    </row>
    <row r="12" spans="1:26" x14ac:dyDescent="0.25">
      <c r="A12" s="195"/>
      <c r="B12" s="193"/>
      <c r="C12" s="196"/>
      <c r="D12" s="197" t="str" cm="1">
        <f t="array" ref="D12">IF(B12="","",IFERROR(INDEX($L$6:$L$33,MATCH(TRUE,ISNUMBER(SEARCH($K$6:$K$33,B12)),0)),"Review Manually"))</f>
        <v/>
      </c>
      <c r="E12" s="198" t="str">
        <f t="shared" si="1"/>
        <v/>
      </c>
      <c r="F12" s="193" t="str">
        <f t="shared" si="2"/>
        <v/>
      </c>
      <c r="G12" s="199" t="str">
        <f t="shared" si="0"/>
        <v/>
      </c>
      <c r="H12" s="200" t="str">
        <f t="shared" si="3"/>
        <v/>
      </c>
      <c r="I12" s="193"/>
      <c r="J12" s="193"/>
      <c r="K12" s="193" t="s">
        <v>239</v>
      </c>
      <c r="L12" s="193" t="s">
        <v>21</v>
      </c>
      <c r="M12" s="193"/>
      <c r="N12" s="193"/>
      <c r="O12" s="193"/>
      <c r="P12" s="193"/>
      <c r="Q12" s="193"/>
      <c r="R12" s="193"/>
      <c r="S12" s="193"/>
      <c r="T12" s="193"/>
      <c r="U12" s="193"/>
      <c r="V12" s="193"/>
      <c r="W12" s="193"/>
      <c r="X12" s="193"/>
      <c r="Y12" s="193"/>
      <c r="Z12" s="193"/>
    </row>
    <row r="13" spans="1:26" x14ac:dyDescent="0.25">
      <c r="A13" s="195"/>
      <c r="B13" s="193"/>
      <c r="C13" s="196"/>
      <c r="D13" s="197" t="str" cm="1">
        <f t="array" ref="D13">IF(B13="","",IFERROR(INDEX($L$6:$L$33,MATCH(TRUE,ISNUMBER(SEARCH($K$6:$K$33,B13)),0)),"Review Manually"))</f>
        <v/>
      </c>
      <c r="E13" s="198" t="str">
        <f t="shared" si="1"/>
        <v/>
      </c>
      <c r="F13" s="193" t="str">
        <f t="shared" si="2"/>
        <v/>
      </c>
      <c r="G13" s="199" t="str">
        <f t="shared" si="0"/>
        <v/>
      </c>
      <c r="H13" s="200" t="str">
        <f t="shared" si="3"/>
        <v/>
      </c>
      <c r="I13" s="193"/>
      <c r="J13" s="193"/>
      <c r="K13" s="193" t="s">
        <v>240</v>
      </c>
      <c r="L13" s="193" t="s">
        <v>21</v>
      </c>
      <c r="M13" s="193"/>
      <c r="N13" s="193"/>
      <c r="O13" s="193"/>
      <c r="P13" s="193"/>
      <c r="Q13" s="193"/>
      <c r="R13" s="193"/>
      <c r="S13" s="193"/>
      <c r="T13" s="193"/>
      <c r="U13" s="193"/>
      <c r="V13" s="193"/>
      <c r="W13" s="193"/>
      <c r="X13" s="193"/>
      <c r="Y13" s="193"/>
      <c r="Z13" s="193"/>
    </row>
    <row r="14" spans="1:26" x14ac:dyDescent="0.25">
      <c r="A14" s="195"/>
      <c r="B14" s="193"/>
      <c r="C14" s="196"/>
      <c r="D14" s="197" t="str" cm="1">
        <f t="array" ref="D14">IF(B14="","",IFERROR(INDEX($L$6:$L$33,MATCH(TRUE,ISNUMBER(SEARCH($K$6:$K$33,B14)),0)),"Review Manually"))</f>
        <v/>
      </c>
      <c r="E14" s="198" t="str">
        <f t="shared" si="1"/>
        <v/>
      </c>
      <c r="F14" s="193" t="str">
        <f t="shared" si="2"/>
        <v/>
      </c>
      <c r="G14" s="199" t="str">
        <f t="shared" si="0"/>
        <v/>
      </c>
      <c r="H14" s="200" t="str">
        <f t="shared" si="3"/>
        <v/>
      </c>
      <c r="I14" s="193"/>
      <c r="J14" s="193"/>
      <c r="K14" s="193" t="s">
        <v>241</v>
      </c>
      <c r="L14" s="193" t="s">
        <v>18</v>
      </c>
      <c r="M14" s="193"/>
      <c r="N14" s="193"/>
      <c r="O14" s="193"/>
      <c r="P14" s="193"/>
      <c r="Q14" s="193"/>
      <c r="R14" s="193"/>
      <c r="S14" s="193"/>
      <c r="T14" s="193"/>
      <c r="U14" s="193"/>
      <c r="V14" s="193"/>
      <c r="W14" s="193"/>
      <c r="X14" s="193"/>
      <c r="Y14" s="193"/>
      <c r="Z14" s="193"/>
    </row>
    <row r="15" spans="1:26" x14ac:dyDescent="0.25">
      <c r="A15" s="195"/>
      <c r="B15" s="193"/>
      <c r="C15" s="196"/>
      <c r="D15" s="197" t="str" cm="1">
        <f t="array" ref="D15">IF(B15="","",IFERROR(INDEX($L$6:$L$33,MATCH(TRUE,ISNUMBER(SEARCH($K$6:$K$33,B15)),0)),"Review Manually"))</f>
        <v/>
      </c>
      <c r="E15" s="198" t="str">
        <f t="shared" si="1"/>
        <v/>
      </c>
      <c r="F15" s="193" t="str">
        <f t="shared" si="2"/>
        <v/>
      </c>
      <c r="G15" s="199" t="str">
        <f t="shared" si="0"/>
        <v/>
      </c>
      <c r="H15" s="200" t="str">
        <f t="shared" si="3"/>
        <v/>
      </c>
      <c r="I15" s="193"/>
      <c r="J15" s="193"/>
      <c r="K15" s="193" t="s">
        <v>242</v>
      </c>
      <c r="L15" s="193" t="s">
        <v>18</v>
      </c>
      <c r="M15" s="193"/>
      <c r="N15" s="193"/>
      <c r="O15" s="193"/>
      <c r="P15" s="193"/>
      <c r="Q15" s="193"/>
      <c r="R15" s="193"/>
      <c r="S15" s="193"/>
      <c r="T15" s="193"/>
      <c r="U15" s="193"/>
      <c r="V15" s="193"/>
      <c r="W15" s="193"/>
      <c r="X15" s="193"/>
      <c r="Y15" s="193"/>
      <c r="Z15" s="193"/>
    </row>
    <row r="16" spans="1:26" x14ac:dyDescent="0.25">
      <c r="A16" s="195"/>
      <c r="B16" s="193"/>
      <c r="C16" s="196"/>
      <c r="D16" s="197" t="str" cm="1">
        <f t="array" ref="D16">IF(B16="","",IFERROR(INDEX($L$6:$L$33,MATCH(TRUE,ISNUMBER(SEARCH($K$6:$K$33,B16)),0)),"Review Manually"))</f>
        <v/>
      </c>
      <c r="E16" s="198" t="str">
        <f t="shared" si="1"/>
        <v/>
      </c>
      <c r="F16" s="193" t="str">
        <f t="shared" si="2"/>
        <v/>
      </c>
      <c r="G16" s="199" t="str">
        <f t="shared" si="0"/>
        <v/>
      </c>
      <c r="H16" s="200" t="str">
        <f t="shared" si="3"/>
        <v/>
      </c>
      <c r="I16" s="193"/>
      <c r="J16" s="193"/>
      <c r="K16" s="193" t="s">
        <v>243</v>
      </c>
      <c r="L16" s="193" t="s">
        <v>18</v>
      </c>
      <c r="M16" s="193"/>
      <c r="N16" s="193"/>
      <c r="O16" s="193"/>
      <c r="P16" s="193"/>
      <c r="Q16" s="193"/>
      <c r="R16" s="193"/>
      <c r="S16" s="193"/>
      <c r="T16" s="193"/>
      <c r="U16" s="193"/>
      <c r="V16" s="193"/>
      <c r="W16" s="193"/>
      <c r="X16" s="193"/>
      <c r="Y16" s="193"/>
      <c r="Z16" s="193"/>
    </row>
    <row r="17" spans="1:26" x14ac:dyDescent="0.25">
      <c r="A17" s="195"/>
      <c r="B17" s="193"/>
      <c r="C17" s="196"/>
      <c r="D17" s="197" t="str" cm="1">
        <f t="array" ref="D17">IF(B17="","",IFERROR(INDEX($L$6:$L$33,MATCH(TRUE,ISNUMBER(SEARCH($K$6:$K$33,B17)),0)),"Review Manually"))</f>
        <v/>
      </c>
      <c r="E17" s="198" t="str">
        <f t="shared" si="1"/>
        <v/>
      </c>
      <c r="F17" s="193" t="str">
        <f t="shared" si="2"/>
        <v/>
      </c>
      <c r="G17" s="199" t="str">
        <f t="shared" si="0"/>
        <v/>
      </c>
      <c r="H17" s="200" t="str">
        <f t="shared" si="3"/>
        <v/>
      </c>
      <c r="I17" s="193"/>
      <c r="J17" s="193"/>
      <c r="K17" s="193" t="s">
        <v>244</v>
      </c>
      <c r="L17" s="193" t="s">
        <v>18</v>
      </c>
      <c r="M17" s="193"/>
      <c r="N17" s="193"/>
      <c r="O17" s="193"/>
      <c r="P17" s="193"/>
      <c r="Q17" s="193"/>
      <c r="R17" s="193"/>
      <c r="S17" s="193"/>
      <c r="T17" s="193"/>
      <c r="U17" s="193"/>
      <c r="V17" s="193"/>
      <c r="W17" s="193"/>
      <c r="X17" s="193"/>
      <c r="Y17" s="193"/>
      <c r="Z17" s="193"/>
    </row>
    <row r="18" spans="1:26" x14ac:dyDescent="0.25">
      <c r="A18" s="195"/>
      <c r="B18" s="193"/>
      <c r="C18" s="196"/>
      <c r="D18" s="197" t="str" cm="1">
        <f t="array" ref="D18">IF(B18="","",IFERROR(INDEX($L$6:$L$33,MATCH(TRUE,ISNUMBER(SEARCH($K$6:$K$33,B18)),0)),"Review Manually"))</f>
        <v/>
      </c>
      <c r="E18" s="198" t="str">
        <f t="shared" si="1"/>
        <v/>
      </c>
      <c r="F18" s="193" t="str">
        <f t="shared" si="2"/>
        <v/>
      </c>
      <c r="G18" s="199" t="str">
        <f t="shared" si="0"/>
        <v/>
      </c>
      <c r="H18" s="200" t="str">
        <f t="shared" si="3"/>
        <v/>
      </c>
      <c r="I18" s="193"/>
      <c r="J18" s="193"/>
      <c r="K18" s="193" t="s">
        <v>245</v>
      </c>
      <c r="L18" s="193" t="s">
        <v>18</v>
      </c>
      <c r="M18" s="193"/>
      <c r="N18" s="193"/>
      <c r="O18" s="193"/>
      <c r="P18" s="193"/>
      <c r="Q18" s="193"/>
      <c r="R18" s="193"/>
      <c r="S18" s="193"/>
      <c r="T18" s="193"/>
      <c r="U18" s="193"/>
      <c r="V18" s="193"/>
      <c r="W18" s="193"/>
      <c r="X18" s="193"/>
      <c r="Y18" s="193"/>
      <c r="Z18" s="193"/>
    </row>
    <row r="19" spans="1:26" x14ac:dyDescent="0.25">
      <c r="A19" s="195"/>
      <c r="B19" s="193"/>
      <c r="C19" s="196"/>
      <c r="D19" s="197" t="str" cm="1">
        <f t="array" ref="D19">IF(B19="","",IFERROR(INDEX($L$6:$L$33,MATCH(TRUE,ISNUMBER(SEARCH($K$6:$K$33,B19)),0)),"Review Manually"))</f>
        <v/>
      </c>
      <c r="E19" s="198" t="str">
        <f t="shared" si="1"/>
        <v/>
      </c>
      <c r="F19" s="193" t="str">
        <f t="shared" si="2"/>
        <v/>
      </c>
      <c r="G19" s="199" t="str">
        <f t="shared" si="0"/>
        <v/>
      </c>
      <c r="H19" s="200" t="str">
        <f t="shared" si="3"/>
        <v/>
      </c>
      <c r="I19" s="193"/>
      <c r="J19" s="193"/>
      <c r="K19" s="193" t="s">
        <v>246</v>
      </c>
      <c r="L19" s="193" t="s">
        <v>20</v>
      </c>
      <c r="M19" s="193"/>
      <c r="N19" s="193"/>
      <c r="O19" s="193"/>
      <c r="P19" s="193"/>
      <c r="Q19" s="193"/>
      <c r="R19" s="193"/>
      <c r="S19" s="193"/>
      <c r="T19" s="193"/>
      <c r="U19" s="193"/>
      <c r="V19" s="193"/>
      <c r="W19" s="193"/>
      <c r="X19" s="193"/>
      <c r="Y19" s="193"/>
      <c r="Z19" s="193"/>
    </row>
    <row r="20" spans="1:26" x14ac:dyDescent="0.25">
      <c r="A20" s="195"/>
      <c r="B20" s="193"/>
      <c r="C20" s="196"/>
      <c r="D20" s="197" t="str" cm="1">
        <f t="array" ref="D20">IF(B20="","",IFERROR(INDEX($L$6:$L$33,MATCH(TRUE,ISNUMBER(SEARCH($K$6:$K$33,B20)),0)),"Review Manually"))</f>
        <v/>
      </c>
      <c r="E20" s="198" t="str">
        <f t="shared" si="1"/>
        <v/>
      </c>
      <c r="F20" s="193" t="str">
        <f t="shared" si="2"/>
        <v/>
      </c>
      <c r="G20" s="199" t="str">
        <f t="shared" si="0"/>
        <v/>
      </c>
      <c r="H20" s="200" t="str">
        <f t="shared" si="3"/>
        <v/>
      </c>
      <c r="I20" s="193"/>
      <c r="J20" s="193"/>
      <c r="K20" s="193" t="s">
        <v>247</v>
      </c>
      <c r="L20" s="193" t="s">
        <v>20</v>
      </c>
      <c r="M20" s="193"/>
      <c r="N20" s="193"/>
      <c r="O20" s="193"/>
      <c r="P20" s="193"/>
      <c r="Q20" s="193"/>
      <c r="R20" s="193"/>
      <c r="S20" s="193"/>
      <c r="T20" s="193"/>
      <c r="U20" s="193"/>
      <c r="V20" s="193"/>
      <c r="W20" s="193"/>
      <c r="X20" s="193"/>
      <c r="Y20" s="193"/>
      <c r="Z20" s="193"/>
    </row>
    <row r="21" spans="1:26" x14ac:dyDescent="0.25">
      <c r="A21" s="195"/>
      <c r="B21" s="193"/>
      <c r="C21" s="196"/>
      <c r="D21" s="197" t="str" cm="1">
        <f t="array" ref="D21">IF(B21="","",IFERROR(INDEX($L$6:$L$33,MATCH(TRUE,ISNUMBER(SEARCH($K$6:$K$33,B21)),0)),"Review Manually"))</f>
        <v/>
      </c>
      <c r="E21" s="198" t="str">
        <f t="shared" si="1"/>
        <v/>
      </c>
      <c r="F21" s="193" t="str">
        <f t="shared" si="2"/>
        <v/>
      </c>
      <c r="G21" s="199" t="str">
        <f t="shared" si="0"/>
        <v/>
      </c>
      <c r="H21" s="200" t="str">
        <f t="shared" si="3"/>
        <v/>
      </c>
      <c r="I21" s="193"/>
      <c r="J21" s="193"/>
      <c r="K21" s="193" t="s">
        <v>248</v>
      </c>
      <c r="L21" s="193" t="s">
        <v>23</v>
      </c>
      <c r="M21" s="193"/>
      <c r="N21" s="193"/>
      <c r="O21" s="193"/>
      <c r="P21" s="193"/>
      <c r="Q21" s="193"/>
      <c r="R21" s="193"/>
      <c r="S21" s="193"/>
      <c r="T21" s="193"/>
      <c r="U21" s="193"/>
      <c r="V21" s="193"/>
      <c r="W21" s="193"/>
      <c r="X21" s="193"/>
      <c r="Y21" s="193"/>
      <c r="Z21" s="193"/>
    </row>
    <row r="22" spans="1:26" x14ac:dyDescent="0.25">
      <c r="A22" s="195"/>
      <c r="B22" s="193"/>
      <c r="C22" s="196"/>
      <c r="D22" s="197" t="str" cm="1">
        <f t="array" ref="D22">IF(B22="","",IFERROR(INDEX($L$6:$L$33,MATCH(TRUE,ISNUMBER(SEARCH($K$6:$K$33,B22)),0)),"Review Manually"))</f>
        <v/>
      </c>
      <c r="E22" s="198" t="str">
        <f t="shared" si="1"/>
        <v/>
      </c>
      <c r="F22" s="193" t="str">
        <f t="shared" si="2"/>
        <v/>
      </c>
      <c r="G22" s="199" t="str">
        <f t="shared" si="0"/>
        <v/>
      </c>
      <c r="H22" s="200" t="str">
        <f t="shared" si="3"/>
        <v/>
      </c>
      <c r="I22" s="193"/>
      <c r="J22" s="193"/>
      <c r="K22" s="193" t="s">
        <v>249</v>
      </c>
      <c r="L22" s="193" t="s">
        <v>23</v>
      </c>
      <c r="M22" s="193"/>
      <c r="N22" s="193"/>
      <c r="O22" s="193"/>
      <c r="P22" s="193"/>
      <c r="Q22" s="193"/>
      <c r="R22" s="193"/>
      <c r="S22" s="193"/>
      <c r="T22" s="193"/>
      <c r="U22" s="193"/>
      <c r="V22" s="193"/>
      <c r="W22" s="193"/>
      <c r="X22" s="193"/>
      <c r="Y22" s="193"/>
      <c r="Z22" s="193"/>
    </row>
    <row r="23" spans="1:26" x14ac:dyDescent="0.25">
      <c r="A23" s="195"/>
      <c r="B23" s="193"/>
      <c r="C23" s="196"/>
      <c r="D23" s="197" t="str" cm="1">
        <f t="array" ref="D23">IF(B23="","",IFERROR(INDEX($L$6:$L$33,MATCH(TRUE,ISNUMBER(SEARCH($K$6:$K$33,B23)),0)),"Review Manually"))</f>
        <v/>
      </c>
      <c r="E23" s="198" t="str">
        <f t="shared" si="1"/>
        <v/>
      </c>
      <c r="F23" s="193" t="str">
        <f t="shared" si="2"/>
        <v/>
      </c>
      <c r="G23" s="199" t="str">
        <f t="shared" si="0"/>
        <v/>
      </c>
      <c r="H23" s="200" t="str">
        <f t="shared" si="3"/>
        <v/>
      </c>
      <c r="I23" s="193"/>
      <c r="J23" s="193"/>
      <c r="K23" s="193" t="s">
        <v>250</v>
      </c>
      <c r="L23" s="193" t="s">
        <v>9</v>
      </c>
      <c r="M23" s="193"/>
      <c r="N23" s="193"/>
      <c r="O23" s="193"/>
      <c r="P23" s="193"/>
      <c r="Q23" s="193"/>
      <c r="R23" s="193"/>
      <c r="S23" s="193"/>
      <c r="T23" s="193"/>
      <c r="U23" s="193"/>
      <c r="V23" s="193"/>
      <c r="W23" s="193"/>
      <c r="X23" s="193"/>
      <c r="Y23" s="193"/>
      <c r="Z23" s="193"/>
    </row>
    <row r="24" spans="1:26" x14ac:dyDescent="0.25">
      <c r="A24" s="195"/>
      <c r="B24" s="193"/>
      <c r="C24" s="196"/>
      <c r="D24" s="197" t="str" cm="1">
        <f t="array" ref="D24">IF(B24="","",IFERROR(INDEX($L$6:$L$33,MATCH(TRUE,ISNUMBER(SEARCH($K$6:$K$33,B24)),0)),"Review Manually"))</f>
        <v/>
      </c>
      <c r="E24" s="198" t="str">
        <f t="shared" si="1"/>
        <v/>
      </c>
      <c r="F24" s="193" t="str">
        <f t="shared" si="2"/>
        <v/>
      </c>
      <c r="G24" s="199" t="str">
        <f t="shared" si="0"/>
        <v/>
      </c>
      <c r="H24" s="200" t="str">
        <f t="shared" si="3"/>
        <v/>
      </c>
      <c r="I24" s="193"/>
      <c r="J24" s="193"/>
      <c r="K24" s="193" t="s">
        <v>251</v>
      </c>
      <c r="L24" s="193" t="s">
        <v>9</v>
      </c>
      <c r="M24" s="193"/>
      <c r="N24" s="193"/>
      <c r="O24" s="193"/>
      <c r="P24" s="193"/>
      <c r="Q24" s="193"/>
      <c r="R24" s="193"/>
      <c r="S24" s="193"/>
      <c r="T24" s="193"/>
      <c r="U24" s="193"/>
      <c r="V24" s="193"/>
      <c r="W24" s="193"/>
      <c r="X24" s="193"/>
      <c r="Y24" s="193"/>
      <c r="Z24" s="193"/>
    </row>
    <row r="25" spans="1:26" x14ac:dyDescent="0.25">
      <c r="A25" s="195"/>
      <c r="B25" s="193"/>
      <c r="C25" s="196"/>
      <c r="D25" s="197" t="str" cm="1">
        <f t="array" ref="D25">IF(B25="","",IFERROR(INDEX($L$6:$L$33,MATCH(TRUE,ISNUMBER(SEARCH($K$6:$K$33,B25)),0)),"Review Manually"))</f>
        <v/>
      </c>
      <c r="E25" s="198" t="str">
        <f t="shared" si="1"/>
        <v/>
      </c>
      <c r="F25" s="193" t="str">
        <f t="shared" si="2"/>
        <v/>
      </c>
      <c r="G25" s="199" t="str">
        <f t="shared" si="0"/>
        <v/>
      </c>
      <c r="H25" s="200" t="str">
        <f t="shared" si="3"/>
        <v/>
      </c>
      <c r="I25" s="193"/>
      <c r="J25" s="193"/>
      <c r="K25" s="193" t="s">
        <v>252</v>
      </c>
      <c r="L25" s="193" t="s">
        <v>11</v>
      </c>
      <c r="M25" s="193"/>
      <c r="N25" s="193"/>
      <c r="O25" s="193"/>
      <c r="P25" s="193"/>
      <c r="Q25" s="193"/>
      <c r="R25" s="193"/>
      <c r="S25" s="193"/>
      <c r="T25" s="193"/>
      <c r="U25" s="193"/>
      <c r="V25" s="193"/>
      <c r="W25" s="193"/>
      <c r="X25" s="193"/>
      <c r="Y25" s="193"/>
      <c r="Z25" s="193"/>
    </row>
    <row r="26" spans="1:26" x14ac:dyDescent="0.25">
      <c r="A26" s="195"/>
      <c r="B26" s="193"/>
      <c r="C26" s="196"/>
      <c r="D26" s="197" t="str" cm="1">
        <f t="array" ref="D26">IF(B26="","",IFERROR(INDEX($L$6:$L$33,MATCH(TRUE,ISNUMBER(SEARCH($K$6:$K$33,B26)),0)),"Review Manually"))</f>
        <v/>
      </c>
      <c r="E26" s="198" t="str">
        <f t="shared" si="1"/>
        <v/>
      </c>
      <c r="F26" s="193" t="str">
        <f t="shared" si="2"/>
        <v/>
      </c>
      <c r="G26" s="199" t="str">
        <f t="shared" si="0"/>
        <v/>
      </c>
      <c r="H26" s="200" t="str">
        <f t="shared" si="3"/>
        <v/>
      </c>
      <c r="I26" s="193"/>
      <c r="J26" s="193"/>
      <c r="K26" s="193" t="s">
        <v>253</v>
      </c>
      <c r="L26" s="193" t="s">
        <v>12</v>
      </c>
      <c r="M26" s="193"/>
      <c r="N26" s="193"/>
      <c r="O26" s="193"/>
      <c r="P26" s="193"/>
      <c r="Q26" s="193"/>
      <c r="R26" s="193"/>
      <c r="S26" s="193"/>
      <c r="T26" s="193"/>
      <c r="U26" s="193"/>
      <c r="V26" s="193"/>
      <c r="W26" s="193"/>
      <c r="X26" s="193"/>
      <c r="Y26" s="193"/>
      <c r="Z26" s="193"/>
    </row>
    <row r="27" spans="1:26" x14ac:dyDescent="0.25">
      <c r="A27" s="195"/>
      <c r="B27" s="193"/>
      <c r="C27" s="196"/>
      <c r="D27" s="197" t="str" cm="1">
        <f t="array" ref="D27">IF(B27="","",IFERROR(INDEX($L$6:$L$33,MATCH(TRUE,ISNUMBER(SEARCH($K$6:$K$33,B27)),0)),"Review Manually"))</f>
        <v/>
      </c>
      <c r="E27" s="198" t="str">
        <f t="shared" si="1"/>
        <v/>
      </c>
      <c r="F27" s="193" t="str">
        <f t="shared" si="2"/>
        <v/>
      </c>
      <c r="G27" s="199" t="str">
        <f t="shared" si="0"/>
        <v/>
      </c>
      <c r="H27" s="200" t="str">
        <f t="shared" si="3"/>
        <v/>
      </c>
      <c r="I27" s="193"/>
      <c r="J27" s="193"/>
      <c r="K27" s="193" t="s">
        <v>254</v>
      </c>
      <c r="L27" s="193" t="s">
        <v>13</v>
      </c>
      <c r="M27" s="193"/>
      <c r="N27" s="193"/>
      <c r="O27" s="193"/>
      <c r="P27" s="193"/>
      <c r="Q27" s="193"/>
      <c r="R27" s="193"/>
      <c r="S27" s="193"/>
      <c r="T27" s="193"/>
      <c r="U27" s="193"/>
      <c r="V27" s="193"/>
      <c r="W27" s="193"/>
      <c r="X27" s="193"/>
      <c r="Y27" s="193"/>
      <c r="Z27" s="193"/>
    </row>
    <row r="28" spans="1:26" x14ac:dyDescent="0.25">
      <c r="A28" s="195"/>
      <c r="B28" s="193"/>
      <c r="C28" s="196"/>
      <c r="D28" s="197" t="str" cm="1">
        <f t="array" ref="D28">IF(B28="","",IFERROR(INDEX($L$6:$L$33,MATCH(TRUE,ISNUMBER(SEARCH($K$6:$K$33,B28)),0)),"Review Manually"))</f>
        <v/>
      </c>
      <c r="E28" s="198" t="str">
        <f t="shared" si="1"/>
        <v/>
      </c>
      <c r="F28" s="193" t="str">
        <f t="shared" si="2"/>
        <v/>
      </c>
      <c r="G28" s="199" t="str">
        <f t="shared" si="0"/>
        <v/>
      </c>
      <c r="H28" s="200" t="str">
        <f t="shared" si="3"/>
        <v/>
      </c>
      <c r="I28" s="193"/>
      <c r="J28" s="193"/>
      <c r="K28" s="193" t="s">
        <v>255</v>
      </c>
      <c r="L28" s="193" t="s">
        <v>14</v>
      </c>
      <c r="M28" s="193"/>
      <c r="N28" s="193"/>
      <c r="O28" s="193"/>
      <c r="P28" s="193"/>
      <c r="Q28" s="193"/>
      <c r="R28" s="193"/>
      <c r="S28" s="193"/>
      <c r="T28" s="193"/>
      <c r="U28" s="193"/>
      <c r="V28" s="193"/>
      <c r="W28" s="193"/>
      <c r="X28" s="193"/>
      <c r="Y28" s="193"/>
      <c r="Z28" s="193"/>
    </row>
    <row r="29" spans="1:26" x14ac:dyDescent="0.25">
      <c r="A29" s="195"/>
      <c r="B29" s="193"/>
      <c r="C29" s="196"/>
      <c r="D29" s="197" t="str" cm="1">
        <f t="array" ref="D29">IF(B29="","",IFERROR(INDEX($L$6:$L$33,MATCH(TRUE,ISNUMBER(SEARCH($K$6:$K$33,B29)),0)),"Review Manually"))</f>
        <v/>
      </c>
      <c r="E29" s="198" t="str">
        <f t="shared" si="1"/>
        <v/>
      </c>
      <c r="F29" s="193" t="str">
        <f t="shared" si="2"/>
        <v/>
      </c>
      <c r="G29" s="199" t="str">
        <f t="shared" si="0"/>
        <v/>
      </c>
      <c r="H29" s="200" t="str">
        <f t="shared" si="3"/>
        <v/>
      </c>
      <c r="I29" s="193"/>
      <c r="J29" s="193"/>
      <c r="K29" s="193" t="s">
        <v>256</v>
      </c>
      <c r="L29" s="193" t="s">
        <v>16</v>
      </c>
      <c r="M29" s="193"/>
      <c r="N29" s="193"/>
      <c r="O29" s="193"/>
      <c r="P29" s="193"/>
      <c r="Q29" s="193"/>
      <c r="R29" s="193"/>
      <c r="S29" s="193"/>
      <c r="T29" s="193"/>
      <c r="U29" s="193"/>
      <c r="V29" s="193"/>
      <c r="W29" s="193"/>
      <c r="X29" s="193"/>
      <c r="Y29" s="193"/>
      <c r="Z29" s="193"/>
    </row>
    <row r="30" spans="1:26" x14ac:dyDescent="0.25">
      <c r="A30" s="195"/>
      <c r="B30" s="193"/>
      <c r="C30" s="196"/>
      <c r="D30" s="197" t="str" cm="1">
        <f t="array" ref="D30">IF(B30="","",IFERROR(INDEX($L$6:$L$33,MATCH(TRUE,ISNUMBER(SEARCH($K$6:$K$33,B30)),0)),"Review Manually"))</f>
        <v/>
      </c>
      <c r="E30" s="198" t="str">
        <f t="shared" si="1"/>
        <v/>
      </c>
      <c r="F30" s="193" t="str">
        <f t="shared" si="2"/>
        <v/>
      </c>
      <c r="G30" s="199" t="str">
        <f t="shared" si="0"/>
        <v/>
      </c>
      <c r="H30" s="200" t="str">
        <f t="shared" si="3"/>
        <v/>
      </c>
      <c r="I30" s="193"/>
      <c r="J30" s="193"/>
      <c r="K30" s="193" t="s">
        <v>257</v>
      </c>
      <c r="L30" s="193" t="s">
        <v>25</v>
      </c>
      <c r="M30" s="193"/>
      <c r="N30" s="193"/>
      <c r="O30" s="193"/>
      <c r="P30" s="193"/>
      <c r="Q30" s="193"/>
      <c r="R30" s="193"/>
      <c r="S30" s="193"/>
      <c r="T30" s="193"/>
      <c r="U30" s="193"/>
      <c r="V30" s="193"/>
      <c r="W30" s="193"/>
      <c r="X30" s="193"/>
      <c r="Y30" s="193"/>
      <c r="Z30" s="193"/>
    </row>
    <row r="31" spans="1:26" x14ac:dyDescent="0.25">
      <c r="A31" s="195"/>
      <c r="B31" s="193"/>
      <c r="C31" s="196"/>
      <c r="D31" s="197" t="str" cm="1">
        <f t="array" ref="D31">IF(B31="","",IFERROR(INDEX($L$6:$L$33,MATCH(TRUE,ISNUMBER(SEARCH($K$6:$K$33,B31)),0)),"Review Manually"))</f>
        <v/>
      </c>
      <c r="E31" s="198" t="str">
        <f t="shared" si="1"/>
        <v/>
      </c>
      <c r="F31" s="193" t="str">
        <f t="shared" si="2"/>
        <v/>
      </c>
      <c r="G31" s="199" t="str">
        <f t="shared" si="0"/>
        <v/>
      </c>
      <c r="H31" s="200" t="str">
        <f t="shared" si="3"/>
        <v/>
      </c>
      <c r="I31" s="193"/>
      <c r="J31" s="193"/>
      <c r="K31" s="193" t="s">
        <v>258</v>
      </c>
      <c r="L31" s="193" t="s">
        <v>24</v>
      </c>
      <c r="M31" s="193"/>
      <c r="N31" s="193"/>
      <c r="O31" s="193"/>
      <c r="P31" s="193"/>
      <c r="Q31" s="193"/>
      <c r="R31" s="193"/>
      <c r="S31" s="193"/>
      <c r="T31" s="193"/>
      <c r="U31" s="193"/>
      <c r="V31" s="193"/>
      <c r="W31" s="193"/>
      <c r="X31" s="193"/>
      <c r="Y31" s="193"/>
      <c r="Z31" s="193"/>
    </row>
    <row r="32" spans="1:26" x14ac:dyDescent="0.25">
      <c r="A32" s="195"/>
      <c r="B32" s="193"/>
      <c r="C32" s="196"/>
      <c r="D32" s="197" t="str" cm="1">
        <f t="array" ref="D32">IF(B32="","",IFERROR(INDEX($L$6:$L$33,MATCH(TRUE,ISNUMBER(SEARCH($K$6:$K$33,B32)),0)),"Review Manually"))</f>
        <v/>
      </c>
      <c r="E32" s="198" t="str">
        <f t="shared" si="1"/>
        <v/>
      </c>
      <c r="F32" s="193" t="str">
        <f t="shared" si="2"/>
        <v/>
      </c>
      <c r="G32" s="199" t="str">
        <f t="shared" si="0"/>
        <v/>
      </c>
      <c r="H32" s="200" t="str">
        <f t="shared" si="3"/>
        <v/>
      </c>
      <c r="I32" s="193"/>
      <c r="J32" s="193"/>
      <c r="K32" s="193" t="s">
        <v>259</v>
      </c>
      <c r="L32" s="193" t="s">
        <v>3</v>
      </c>
      <c r="M32" s="193"/>
      <c r="N32" s="193"/>
      <c r="O32" s="193"/>
      <c r="P32" s="193"/>
      <c r="Q32" s="193"/>
      <c r="R32" s="193"/>
      <c r="S32" s="193"/>
      <c r="T32" s="193"/>
      <c r="U32" s="193"/>
      <c r="V32" s="193"/>
      <c r="W32" s="193"/>
      <c r="X32" s="193"/>
      <c r="Y32" s="193"/>
      <c r="Z32" s="193"/>
    </row>
    <row r="33" spans="1:26" x14ac:dyDescent="0.25">
      <c r="A33" s="195"/>
      <c r="B33" s="193"/>
      <c r="C33" s="196"/>
      <c r="D33" s="197" t="str" cm="1">
        <f t="array" ref="D33">IF(B33="","",IFERROR(INDEX($L$6:$L$33,MATCH(TRUE,ISNUMBER(SEARCH($K$6:$K$33,B33)),0)),"Review Manually"))</f>
        <v/>
      </c>
      <c r="E33" s="198" t="str">
        <f t="shared" si="1"/>
        <v/>
      </c>
      <c r="F33" s="193" t="str">
        <f t="shared" si="2"/>
        <v/>
      </c>
      <c r="G33" s="199" t="str">
        <f t="shared" si="0"/>
        <v/>
      </c>
      <c r="H33" s="200" t="str">
        <f t="shared" si="3"/>
        <v/>
      </c>
      <c r="I33" s="193"/>
      <c r="J33" s="193"/>
      <c r="K33" s="193" t="s">
        <v>260</v>
      </c>
      <c r="L33" s="193" t="s">
        <v>3</v>
      </c>
      <c r="M33" s="193"/>
      <c r="N33" s="193"/>
      <c r="O33" s="193"/>
      <c r="P33" s="193"/>
      <c r="Q33" s="193"/>
      <c r="R33" s="193"/>
      <c r="S33" s="193"/>
      <c r="T33" s="193"/>
      <c r="U33" s="193"/>
      <c r="V33" s="193"/>
      <c r="W33" s="193"/>
      <c r="X33" s="193"/>
      <c r="Y33" s="193"/>
      <c r="Z33" s="193"/>
    </row>
    <row r="34" spans="1:26" x14ac:dyDescent="0.25">
      <c r="A34" s="195"/>
      <c r="B34" s="193"/>
      <c r="C34" s="196"/>
      <c r="D34" s="197" t="str" cm="1">
        <f t="array" ref="D34">IF(B34="","",IFERROR(INDEX($L$6:$L$33,MATCH(TRUE,ISNUMBER(SEARCH($K$6:$K$33,B34)),0)),"Review Manually"))</f>
        <v/>
      </c>
      <c r="E34" s="198" t="str">
        <f t="shared" si="1"/>
        <v/>
      </c>
      <c r="F34" s="193" t="str">
        <f t="shared" si="2"/>
        <v/>
      </c>
      <c r="G34" s="199" t="str">
        <f t="shared" si="0"/>
        <v/>
      </c>
      <c r="H34" s="200" t="str">
        <f t="shared" si="3"/>
        <v/>
      </c>
      <c r="I34" s="193"/>
      <c r="J34" s="193"/>
      <c r="K34" s="193"/>
      <c r="L34" s="193"/>
      <c r="M34" s="193"/>
      <c r="N34" s="193"/>
      <c r="O34" s="193"/>
      <c r="P34" s="193"/>
      <c r="Q34" s="193"/>
      <c r="R34" s="193"/>
      <c r="S34" s="193"/>
      <c r="T34" s="193"/>
      <c r="U34" s="193"/>
      <c r="V34" s="193"/>
      <c r="W34" s="193"/>
      <c r="X34" s="193"/>
      <c r="Y34" s="193"/>
      <c r="Z34" s="193"/>
    </row>
    <row r="35" spans="1:26" x14ac:dyDescent="0.25">
      <c r="A35" s="195"/>
      <c r="B35" s="193"/>
      <c r="C35" s="196"/>
      <c r="D35" s="197" t="str" cm="1">
        <f t="array" ref="D35">IF(B35="","",IFERROR(INDEX($L$6:$L$33,MATCH(TRUE,ISNUMBER(SEARCH($K$6:$K$33,B35)),0)),"Review Manually"))</f>
        <v/>
      </c>
      <c r="E35" s="198" t="str">
        <f t="shared" si="1"/>
        <v/>
      </c>
      <c r="F35" s="193" t="str">
        <f t="shared" si="2"/>
        <v/>
      </c>
      <c r="G35" s="199" t="str">
        <f t="shared" si="0"/>
        <v/>
      </c>
      <c r="H35" s="200" t="str">
        <f t="shared" si="3"/>
        <v/>
      </c>
      <c r="I35" s="193"/>
      <c r="J35" s="193"/>
      <c r="K35" s="193"/>
      <c r="L35" s="193"/>
      <c r="M35" s="193"/>
      <c r="N35" s="193"/>
      <c r="O35" s="193"/>
      <c r="P35" s="193"/>
      <c r="Q35" s="193"/>
      <c r="R35" s="193"/>
      <c r="S35" s="193"/>
      <c r="T35" s="193"/>
      <c r="U35" s="193"/>
      <c r="V35" s="193"/>
      <c r="W35" s="193"/>
      <c r="X35" s="193"/>
      <c r="Y35" s="193"/>
      <c r="Z35" s="193"/>
    </row>
    <row r="36" spans="1:26" x14ac:dyDescent="0.25">
      <c r="A36" s="195"/>
      <c r="B36" s="193"/>
      <c r="C36" s="196"/>
      <c r="D36" s="197" t="str" cm="1">
        <f t="array" ref="D36">IF(B36="","",IFERROR(INDEX($L$6:$L$33,MATCH(TRUE,ISNUMBER(SEARCH($K$6:$K$33,B36)),0)),"Review Manually"))</f>
        <v/>
      </c>
      <c r="E36" s="198" t="str">
        <f t="shared" si="1"/>
        <v/>
      </c>
      <c r="F36" s="193" t="str">
        <f t="shared" si="2"/>
        <v/>
      </c>
      <c r="G36" s="199" t="str">
        <f t="shared" si="0"/>
        <v/>
      </c>
      <c r="H36" s="200" t="str">
        <f t="shared" si="3"/>
        <v/>
      </c>
      <c r="I36" s="193"/>
      <c r="J36" s="193"/>
      <c r="K36" s="193"/>
      <c r="L36" s="193"/>
      <c r="M36" s="193"/>
      <c r="N36" s="193"/>
      <c r="O36" s="193"/>
      <c r="P36" s="193"/>
      <c r="Q36" s="193"/>
      <c r="R36" s="193"/>
      <c r="S36" s="193"/>
      <c r="T36" s="193"/>
      <c r="U36" s="193"/>
      <c r="V36" s="193"/>
      <c r="W36" s="193"/>
      <c r="X36" s="193"/>
      <c r="Y36" s="193"/>
      <c r="Z36" s="193"/>
    </row>
    <row r="37" spans="1:26" x14ac:dyDescent="0.25">
      <c r="A37" s="195"/>
      <c r="B37" s="193"/>
      <c r="C37" s="196"/>
      <c r="D37" s="197" t="str" cm="1">
        <f t="array" ref="D37">IF(B37="","",IFERROR(INDEX($L$6:$L$33,MATCH(TRUE,ISNUMBER(SEARCH($K$6:$K$33,B37)),0)),"Review Manually"))</f>
        <v/>
      </c>
      <c r="E37" s="198" t="str">
        <f t="shared" si="1"/>
        <v/>
      </c>
      <c r="F37" s="193" t="str">
        <f t="shared" si="2"/>
        <v/>
      </c>
      <c r="G37" s="199" t="str">
        <f t="shared" si="0"/>
        <v/>
      </c>
      <c r="H37" s="200" t="str">
        <f t="shared" si="3"/>
        <v/>
      </c>
      <c r="I37" s="193"/>
      <c r="J37" s="193"/>
      <c r="K37" s="193"/>
      <c r="L37" s="193"/>
      <c r="M37" s="193"/>
      <c r="N37" s="193"/>
      <c r="O37" s="193"/>
      <c r="P37" s="193"/>
      <c r="Q37" s="193"/>
      <c r="R37" s="193"/>
      <c r="S37" s="193"/>
      <c r="T37" s="193"/>
      <c r="U37" s="193"/>
      <c r="V37" s="193"/>
      <c r="W37" s="193"/>
      <c r="X37" s="193"/>
      <c r="Y37" s="193"/>
      <c r="Z37" s="193"/>
    </row>
    <row r="38" spans="1:26" x14ac:dyDescent="0.25">
      <c r="A38" s="195"/>
      <c r="B38" s="193"/>
      <c r="C38" s="196"/>
      <c r="D38" s="197" t="str" cm="1">
        <f t="array" ref="D38">IF(B38="","",IFERROR(INDEX($L$6:$L$33,MATCH(TRUE,ISNUMBER(SEARCH($K$6:$K$33,B38)),0)),"Review Manually"))</f>
        <v/>
      </c>
      <c r="E38" s="198" t="str">
        <f t="shared" si="1"/>
        <v/>
      </c>
      <c r="F38" s="193" t="str">
        <f t="shared" si="2"/>
        <v/>
      </c>
      <c r="G38" s="199" t="str">
        <f t="shared" ref="G38:G69" si="4">IF(F38="","",IFERROR(_xlfn.XLOOKUP(F38,CategoryList,CategoryTypeList),""))</f>
        <v/>
      </c>
      <c r="H38" s="200" t="str">
        <f t="shared" si="3"/>
        <v/>
      </c>
      <c r="I38" s="193"/>
      <c r="J38" s="193"/>
      <c r="K38" s="193"/>
      <c r="L38" s="193"/>
      <c r="M38" s="193"/>
      <c r="N38" s="193"/>
      <c r="O38" s="193"/>
      <c r="P38" s="193"/>
      <c r="Q38" s="193"/>
      <c r="R38" s="193"/>
      <c r="S38" s="193"/>
      <c r="T38" s="193"/>
      <c r="U38" s="193"/>
      <c r="V38" s="193"/>
      <c r="W38" s="193"/>
      <c r="X38" s="193"/>
      <c r="Y38" s="193"/>
      <c r="Z38" s="193"/>
    </row>
    <row r="39" spans="1:26" x14ac:dyDescent="0.25">
      <c r="A39" s="195"/>
      <c r="B39" s="193"/>
      <c r="C39" s="196"/>
      <c r="D39" s="197" t="str" cm="1">
        <f t="array" ref="D39">IF(B39="","",IFERROR(INDEX($L$6:$L$33,MATCH(TRUE,ISNUMBER(SEARCH($K$6:$K$33,B39)),0)),"Review Manually"))</f>
        <v/>
      </c>
      <c r="E39" s="198" t="str">
        <f t="shared" si="1"/>
        <v/>
      </c>
      <c r="F39" s="193" t="str">
        <f t="shared" si="2"/>
        <v/>
      </c>
      <c r="G39" s="199" t="str">
        <f t="shared" si="4"/>
        <v/>
      </c>
      <c r="H39" s="200" t="str">
        <f t="shared" si="3"/>
        <v/>
      </c>
      <c r="I39" s="193"/>
      <c r="J39" s="193"/>
      <c r="K39" s="193"/>
      <c r="L39" s="193"/>
      <c r="M39" s="193"/>
      <c r="N39" s="193"/>
      <c r="O39" s="193"/>
      <c r="P39" s="193"/>
      <c r="Q39" s="193"/>
      <c r="R39" s="193"/>
      <c r="S39" s="193"/>
      <c r="T39" s="193"/>
      <c r="U39" s="193"/>
      <c r="V39" s="193"/>
      <c r="W39" s="193"/>
      <c r="X39" s="193"/>
      <c r="Y39" s="193"/>
      <c r="Z39" s="193"/>
    </row>
    <row r="40" spans="1:26" x14ac:dyDescent="0.25">
      <c r="A40" s="195"/>
      <c r="B40" s="193"/>
      <c r="C40" s="196"/>
      <c r="D40" s="197" t="str" cm="1">
        <f t="array" ref="D40">IF(B40="","",IFERROR(INDEX($L$6:$L$33,MATCH(TRUE,ISNUMBER(SEARCH($K$6:$K$33,B40)),0)),"Review Manually"))</f>
        <v/>
      </c>
      <c r="E40" s="198" t="str">
        <f t="shared" si="1"/>
        <v/>
      </c>
      <c r="F40" s="193" t="str">
        <f t="shared" si="2"/>
        <v/>
      </c>
      <c r="G40" s="199" t="str">
        <f t="shared" si="4"/>
        <v/>
      </c>
      <c r="H40" s="200" t="str">
        <f t="shared" si="3"/>
        <v/>
      </c>
      <c r="I40" s="193"/>
      <c r="J40" s="193"/>
      <c r="K40" s="193"/>
      <c r="L40" s="193"/>
      <c r="M40" s="193"/>
      <c r="N40" s="193"/>
      <c r="O40" s="193"/>
      <c r="P40" s="193"/>
      <c r="Q40" s="193"/>
      <c r="R40" s="193"/>
      <c r="S40" s="193"/>
      <c r="T40" s="193"/>
      <c r="U40" s="193"/>
      <c r="V40" s="193"/>
      <c r="W40" s="193"/>
      <c r="X40" s="193"/>
      <c r="Y40" s="193"/>
      <c r="Z40" s="193"/>
    </row>
    <row r="41" spans="1:26" x14ac:dyDescent="0.25">
      <c r="A41" s="195"/>
      <c r="B41" s="193"/>
      <c r="C41" s="196"/>
      <c r="D41" s="197" t="str" cm="1">
        <f t="array" ref="D41">IF(B41="","",IFERROR(INDEX($L$6:$L$33,MATCH(TRUE,ISNUMBER(SEARCH($K$6:$K$33,B41)),0)),"Review Manually"))</f>
        <v/>
      </c>
      <c r="E41" s="198" t="str">
        <f t="shared" si="1"/>
        <v/>
      </c>
      <c r="F41" s="193" t="str">
        <f t="shared" si="2"/>
        <v/>
      </c>
      <c r="G41" s="199" t="str">
        <f t="shared" si="4"/>
        <v/>
      </c>
      <c r="H41" s="200" t="str">
        <f t="shared" si="3"/>
        <v/>
      </c>
      <c r="I41" s="193"/>
      <c r="J41" s="193"/>
      <c r="K41" s="193"/>
      <c r="L41" s="193"/>
      <c r="M41" s="193"/>
      <c r="N41" s="193"/>
      <c r="O41" s="193"/>
      <c r="P41" s="193"/>
      <c r="Q41" s="193"/>
      <c r="R41" s="193"/>
      <c r="S41" s="193"/>
      <c r="T41" s="193"/>
      <c r="U41" s="193"/>
      <c r="V41" s="193"/>
      <c r="W41" s="193"/>
      <c r="X41" s="193"/>
      <c r="Y41" s="193"/>
      <c r="Z41" s="193"/>
    </row>
    <row r="42" spans="1:26" x14ac:dyDescent="0.25">
      <c r="A42" s="195"/>
      <c r="B42" s="193"/>
      <c r="C42" s="196"/>
      <c r="D42" s="197" t="str" cm="1">
        <f t="array" ref="D42">IF(B42="","",IFERROR(INDEX($L$6:$L$33,MATCH(TRUE,ISNUMBER(SEARCH($K$6:$K$33,B42)),0)),"Review Manually"))</f>
        <v/>
      </c>
      <c r="E42" s="198" t="str">
        <f t="shared" si="1"/>
        <v/>
      </c>
      <c r="F42" s="193" t="str">
        <f t="shared" si="2"/>
        <v/>
      </c>
      <c r="G42" s="199" t="str">
        <f t="shared" si="4"/>
        <v/>
      </c>
      <c r="H42" s="200" t="str">
        <f t="shared" si="3"/>
        <v/>
      </c>
      <c r="I42" s="193"/>
      <c r="J42" s="193"/>
      <c r="K42" s="193"/>
      <c r="L42" s="193"/>
      <c r="M42" s="193"/>
      <c r="N42" s="193"/>
      <c r="O42" s="193"/>
      <c r="P42" s="193"/>
      <c r="Q42" s="193"/>
      <c r="R42" s="193"/>
      <c r="S42" s="193"/>
      <c r="T42" s="193"/>
      <c r="U42" s="193"/>
      <c r="V42" s="193"/>
      <c r="W42" s="193"/>
      <c r="X42" s="193"/>
      <c r="Y42" s="193"/>
      <c r="Z42" s="193"/>
    </row>
    <row r="43" spans="1:26" x14ac:dyDescent="0.25">
      <c r="A43" s="195"/>
      <c r="B43" s="193"/>
      <c r="C43" s="196"/>
      <c r="D43" s="197" t="str" cm="1">
        <f t="array" ref="D43">IF(B43="","",IFERROR(INDEX($L$6:$L$33,MATCH(TRUE,ISNUMBER(SEARCH($K$6:$K$33,B43)),0)),"Review Manually"))</f>
        <v/>
      </c>
      <c r="E43" s="198" t="str">
        <f t="shared" si="1"/>
        <v/>
      </c>
      <c r="F43" s="193" t="str">
        <f t="shared" si="2"/>
        <v/>
      </c>
      <c r="G43" s="199" t="str">
        <f t="shared" si="4"/>
        <v/>
      </c>
      <c r="H43" s="200" t="str">
        <f t="shared" si="3"/>
        <v/>
      </c>
      <c r="I43" s="193"/>
      <c r="J43" s="193"/>
      <c r="K43" s="193"/>
      <c r="L43" s="193"/>
      <c r="M43" s="193"/>
      <c r="N43" s="193"/>
      <c r="O43" s="193"/>
      <c r="P43" s="193"/>
      <c r="Q43" s="193"/>
      <c r="R43" s="193"/>
      <c r="S43" s="193"/>
      <c r="T43" s="193"/>
      <c r="U43" s="193"/>
      <c r="V43" s="193"/>
      <c r="W43" s="193"/>
      <c r="X43" s="193"/>
      <c r="Y43" s="193"/>
      <c r="Z43" s="193"/>
    </row>
    <row r="44" spans="1:26" x14ac:dyDescent="0.25">
      <c r="A44" s="195"/>
      <c r="B44" s="193"/>
      <c r="C44" s="196"/>
      <c r="D44" s="197" t="str" cm="1">
        <f t="array" ref="D44">IF(B44="","",IFERROR(INDEX($L$6:$L$33,MATCH(TRUE,ISNUMBER(SEARCH($K$6:$K$33,B44)),0)),"Review Manually"))</f>
        <v/>
      </c>
      <c r="E44" s="198" t="str">
        <f t="shared" si="1"/>
        <v/>
      </c>
      <c r="F44" s="193" t="str">
        <f t="shared" si="2"/>
        <v/>
      </c>
      <c r="G44" s="199" t="str">
        <f t="shared" si="4"/>
        <v/>
      </c>
      <c r="H44" s="200" t="str">
        <f t="shared" si="3"/>
        <v/>
      </c>
      <c r="I44" s="193"/>
      <c r="J44" s="193"/>
      <c r="K44" s="193"/>
      <c r="L44" s="193"/>
      <c r="M44" s="193"/>
      <c r="N44" s="193"/>
      <c r="O44" s="193"/>
      <c r="P44" s="193"/>
      <c r="Q44" s="193"/>
      <c r="R44" s="193"/>
      <c r="S44" s="193"/>
      <c r="T44" s="193"/>
      <c r="U44" s="193"/>
      <c r="V44" s="193"/>
      <c r="W44" s="193"/>
      <c r="X44" s="193"/>
      <c r="Y44" s="193"/>
      <c r="Z44" s="193"/>
    </row>
    <row r="45" spans="1:26" x14ac:dyDescent="0.25">
      <c r="A45" s="195"/>
      <c r="B45" s="193"/>
      <c r="C45" s="196"/>
      <c r="D45" s="197" t="str" cm="1">
        <f t="array" ref="D45">IF(B45="","",IFERROR(INDEX($L$6:$L$33,MATCH(TRUE,ISNUMBER(SEARCH($K$6:$K$33,B45)),0)),"Review Manually"))</f>
        <v/>
      </c>
      <c r="E45" s="198" t="str">
        <f t="shared" si="1"/>
        <v/>
      </c>
      <c r="F45" s="193" t="str">
        <f t="shared" si="2"/>
        <v/>
      </c>
      <c r="G45" s="199" t="str">
        <f t="shared" si="4"/>
        <v/>
      </c>
      <c r="H45" s="200" t="str">
        <f t="shared" si="3"/>
        <v/>
      </c>
      <c r="I45" s="193"/>
      <c r="J45" s="193"/>
      <c r="K45" s="193"/>
      <c r="L45" s="193"/>
      <c r="M45" s="193"/>
      <c r="N45" s="193"/>
      <c r="O45" s="193"/>
      <c r="P45" s="193"/>
      <c r="Q45" s="193"/>
      <c r="R45" s="193"/>
      <c r="S45" s="193"/>
      <c r="T45" s="193"/>
      <c r="U45" s="193"/>
      <c r="V45" s="193"/>
      <c r="W45" s="193"/>
      <c r="X45" s="193"/>
      <c r="Y45" s="193"/>
      <c r="Z45" s="193"/>
    </row>
    <row r="46" spans="1:26" x14ac:dyDescent="0.25">
      <c r="A46" s="195"/>
      <c r="B46" s="193"/>
      <c r="C46" s="196"/>
      <c r="D46" s="197" t="str" cm="1">
        <f t="array" ref="D46">IF(B46="","",IFERROR(INDEX($L$6:$L$33,MATCH(TRUE,ISNUMBER(SEARCH($K$6:$K$33,B46)),0)),"Review Manually"))</f>
        <v/>
      </c>
      <c r="E46" s="198" t="str">
        <f t="shared" si="1"/>
        <v/>
      </c>
      <c r="F46" s="193" t="str">
        <f t="shared" si="2"/>
        <v/>
      </c>
      <c r="G46" s="199" t="str">
        <f t="shared" si="4"/>
        <v/>
      </c>
      <c r="H46" s="200" t="str">
        <f t="shared" si="3"/>
        <v/>
      </c>
      <c r="I46" s="193"/>
      <c r="J46" s="193"/>
      <c r="K46" s="193"/>
      <c r="L46" s="193"/>
      <c r="M46" s="193"/>
      <c r="N46" s="193"/>
      <c r="O46" s="193"/>
      <c r="P46" s="193"/>
      <c r="Q46" s="193"/>
      <c r="R46" s="193"/>
      <c r="S46" s="193"/>
      <c r="T46" s="193"/>
      <c r="U46" s="193"/>
      <c r="V46" s="193"/>
      <c r="W46" s="193"/>
      <c r="X46" s="193"/>
      <c r="Y46" s="193"/>
      <c r="Z46" s="193"/>
    </row>
    <row r="47" spans="1:26" x14ac:dyDescent="0.25">
      <c r="A47" s="195"/>
      <c r="B47" s="193"/>
      <c r="C47" s="196"/>
      <c r="D47" s="197" t="str" cm="1">
        <f t="array" ref="D47">IF(B47="","",IFERROR(INDEX($L$6:$L$33,MATCH(TRUE,ISNUMBER(SEARCH($K$6:$K$33,B47)),0)),"Review Manually"))</f>
        <v/>
      </c>
      <c r="E47" s="198" t="str">
        <f t="shared" si="1"/>
        <v/>
      </c>
      <c r="F47" s="193" t="str">
        <f t="shared" si="2"/>
        <v/>
      </c>
      <c r="G47" s="199" t="str">
        <f t="shared" si="4"/>
        <v/>
      </c>
      <c r="H47" s="200" t="str">
        <f t="shared" si="3"/>
        <v/>
      </c>
      <c r="I47" s="193"/>
      <c r="J47" s="193"/>
      <c r="K47" s="193"/>
      <c r="L47" s="193"/>
      <c r="M47" s="193"/>
      <c r="N47" s="193"/>
      <c r="O47" s="193"/>
      <c r="P47" s="193"/>
      <c r="Q47" s="193"/>
      <c r="R47" s="193"/>
      <c r="S47" s="193"/>
      <c r="T47" s="193"/>
      <c r="U47" s="193"/>
      <c r="V47" s="193"/>
      <c r="W47" s="193"/>
      <c r="X47" s="193"/>
      <c r="Y47" s="193"/>
      <c r="Z47" s="193"/>
    </row>
    <row r="48" spans="1:26" x14ac:dyDescent="0.25">
      <c r="A48" s="195"/>
      <c r="B48" s="193"/>
      <c r="C48" s="196"/>
      <c r="D48" s="197" t="str" cm="1">
        <f t="array" ref="D48">IF(B48="","",IFERROR(INDEX($L$6:$L$33,MATCH(TRUE,ISNUMBER(SEARCH($K$6:$K$33,B48)),0)),"Review Manually"))</f>
        <v/>
      </c>
      <c r="E48" s="198" t="str">
        <f t="shared" si="1"/>
        <v/>
      </c>
      <c r="F48" s="193" t="str">
        <f t="shared" si="2"/>
        <v/>
      </c>
      <c r="G48" s="199" t="str">
        <f t="shared" si="4"/>
        <v/>
      </c>
      <c r="H48" s="200" t="str">
        <f t="shared" si="3"/>
        <v/>
      </c>
      <c r="I48" s="193"/>
      <c r="J48" s="193"/>
      <c r="K48" s="193"/>
      <c r="L48" s="193"/>
      <c r="M48" s="193"/>
      <c r="N48" s="193"/>
      <c r="O48" s="193"/>
      <c r="P48" s="193"/>
      <c r="Q48" s="193"/>
      <c r="R48" s="193"/>
      <c r="S48" s="193"/>
      <c r="T48" s="193"/>
      <c r="U48" s="193"/>
      <c r="V48" s="193"/>
      <c r="W48" s="193"/>
      <c r="X48" s="193"/>
      <c r="Y48" s="193"/>
      <c r="Z48" s="193"/>
    </row>
    <row r="49" spans="1:26" x14ac:dyDescent="0.25">
      <c r="A49" s="195"/>
      <c r="B49" s="193"/>
      <c r="C49" s="196"/>
      <c r="D49" s="197" t="str" cm="1">
        <f t="array" ref="D49">IF(B49="","",IFERROR(INDEX($L$6:$L$33,MATCH(TRUE,ISNUMBER(SEARCH($K$6:$K$33,B49)),0)),"Review Manually"))</f>
        <v/>
      </c>
      <c r="E49" s="198" t="str">
        <f t="shared" si="1"/>
        <v/>
      </c>
      <c r="F49" s="193" t="str">
        <f t="shared" si="2"/>
        <v/>
      </c>
      <c r="G49" s="199" t="str">
        <f t="shared" si="4"/>
        <v/>
      </c>
      <c r="H49" s="200" t="str">
        <f t="shared" si="3"/>
        <v/>
      </c>
      <c r="I49" s="193"/>
      <c r="J49" s="193"/>
      <c r="K49" s="193"/>
      <c r="L49" s="193"/>
      <c r="M49" s="193"/>
      <c r="N49" s="193"/>
      <c r="O49" s="193"/>
      <c r="P49" s="193"/>
      <c r="Q49" s="193"/>
      <c r="R49" s="193"/>
      <c r="S49" s="193"/>
      <c r="T49" s="193"/>
      <c r="U49" s="193"/>
      <c r="V49" s="193"/>
      <c r="W49" s="193"/>
      <c r="X49" s="193"/>
      <c r="Y49" s="193"/>
      <c r="Z49" s="193"/>
    </row>
    <row r="50" spans="1:26" x14ac:dyDescent="0.25">
      <c r="A50" s="195"/>
      <c r="B50" s="193"/>
      <c r="C50" s="196"/>
      <c r="D50" s="197" t="str" cm="1">
        <f t="array" ref="D50">IF(B50="","",IFERROR(INDEX($L$6:$L$33,MATCH(TRUE,ISNUMBER(SEARCH($K$6:$K$33,B50)),0)),"Review Manually"))</f>
        <v/>
      </c>
      <c r="E50" s="198" t="str">
        <f t="shared" si="1"/>
        <v/>
      </c>
      <c r="F50" s="193" t="str">
        <f t="shared" si="2"/>
        <v/>
      </c>
      <c r="G50" s="199" t="str">
        <f t="shared" si="4"/>
        <v/>
      </c>
      <c r="H50" s="200" t="str">
        <f t="shared" si="3"/>
        <v/>
      </c>
      <c r="I50" s="193"/>
      <c r="J50" s="193"/>
      <c r="K50" s="193"/>
      <c r="L50" s="193"/>
      <c r="M50" s="193"/>
      <c r="N50" s="193"/>
      <c r="O50" s="193"/>
      <c r="P50" s="193"/>
      <c r="Q50" s="193"/>
      <c r="R50" s="193"/>
      <c r="S50" s="193"/>
      <c r="T50" s="193"/>
      <c r="U50" s="193"/>
      <c r="V50" s="193"/>
      <c r="W50" s="193"/>
      <c r="X50" s="193"/>
      <c r="Y50" s="193"/>
      <c r="Z50" s="193"/>
    </row>
    <row r="51" spans="1:26" x14ac:dyDescent="0.25">
      <c r="A51" s="195"/>
      <c r="B51" s="193"/>
      <c r="C51" s="196"/>
      <c r="D51" s="197" t="str" cm="1">
        <f t="array" ref="D51">IF(B51="","",IFERROR(INDEX($L$6:$L$33,MATCH(TRUE,ISNUMBER(SEARCH($K$6:$K$33,B51)),0)),"Review Manually"))</f>
        <v/>
      </c>
      <c r="E51" s="198" t="str">
        <f t="shared" si="1"/>
        <v/>
      </c>
      <c r="F51" s="193" t="str">
        <f t="shared" si="2"/>
        <v/>
      </c>
      <c r="G51" s="199" t="str">
        <f t="shared" si="4"/>
        <v/>
      </c>
      <c r="H51" s="200" t="str">
        <f t="shared" si="3"/>
        <v/>
      </c>
      <c r="I51" s="193"/>
      <c r="J51" s="193"/>
      <c r="K51" s="193"/>
      <c r="L51" s="193"/>
      <c r="M51" s="193"/>
      <c r="N51" s="193"/>
      <c r="O51" s="193"/>
      <c r="P51" s="193"/>
      <c r="Q51" s="193"/>
      <c r="R51" s="193"/>
      <c r="S51" s="193"/>
      <c r="T51" s="193"/>
      <c r="U51" s="193"/>
      <c r="V51" s="193"/>
      <c r="W51" s="193"/>
      <c r="X51" s="193"/>
      <c r="Y51" s="193"/>
      <c r="Z51" s="193"/>
    </row>
    <row r="52" spans="1:26" x14ac:dyDescent="0.25">
      <c r="A52" s="195"/>
      <c r="B52" s="193"/>
      <c r="C52" s="196"/>
      <c r="D52" s="197" t="str" cm="1">
        <f t="array" ref="D52">IF(B52="","",IFERROR(INDEX($L$6:$L$33,MATCH(TRUE,ISNUMBER(SEARCH($K$6:$K$33,B52)),0)),"Review Manually"))</f>
        <v/>
      </c>
      <c r="E52" s="198" t="str">
        <f t="shared" si="1"/>
        <v/>
      </c>
      <c r="F52" s="193" t="str">
        <f t="shared" si="2"/>
        <v/>
      </c>
      <c r="G52" s="199" t="str">
        <f t="shared" si="4"/>
        <v/>
      </c>
      <c r="H52" s="200" t="str">
        <f t="shared" si="3"/>
        <v/>
      </c>
      <c r="I52" s="193"/>
      <c r="J52" s="193"/>
      <c r="K52" s="193"/>
      <c r="L52" s="193"/>
      <c r="M52" s="193"/>
      <c r="N52" s="193"/>
      <c r="O52" s="193"/>
      <c r="P52" s="193"/>
      <c r="Q52" s="193"/>
      <c r="R52" s="193"/>
      <c r="S52" s="193"/>
      <c r="T52" s="193"/>
      <c r="U52" s="193"/>
      <c r="V52" s="193"/>
      <c r="W52" s="193"/>
      <c r="X52" s="193"/>
      <c r="Y52" s="193"/>
      <c r="Z52" s="193"/>
    </row>
    <row r="53" spans="1:26" x14ac:dyDescent="0.25">
      <c r="A53" s="195"/>
      <c r="B53" s="193"/>
      <c r="C53" s="196"/>
      <c r="D53" s="197" t="str" cm="1">
        <f t="array" ref="D53">IF(B53="","",IFERROR(INDEX($L$6:$L$33,MATCH(TRUE,ISNUMBER(SEARCH($K$6:$K$33,B53)),0)),"Review Manually"))</f>
        <v/>
      </c>
      <c r="E53" s="198" t="str">
        <f t="shared" si="1"/>
        <v/>
      </c>
      <c r="F53" s="193" t="str">
        <f t="shared" si="2"/>
        <v/>
      </c>
      <c r="G53" s="199" t="str">
        <f t="shared" si="4"/>
        <v/>
      </c>
      <c r="H53" s="200" t="str">
        <f t="shared" si="3"/>
        <v/>
      </c>
      <c r="I53" s="193"/>
      <c r="J53" s="193"/>
      <c r="K53" s="193"/>
      <c r="L53" s="193"/>
      <c r="M53" s="193"/>
      <c r="N53" s="193"/>
      <c r="O53" s="193"/>
      <c r="P53" s="193"/>
      <c r="Q53" s="193"/>
      <c r="R53" s="193"/>
      <c r="S53" s="193"/>
      <c r="T53" s="193"/>
      <c r="U53" s="193"/>
      <c r="V53" s="193"/>
      <c r="W53" s="193"/>
      <c r="X53" s="193"/>
      <c r="Y53" s="193"/>
      <c r="Z53" s="193"/>
    </row>
    <row r="54" spans="1:26" x14ac:dyDescent="0.25">
      <c r="A54" s="195"/>
      <c r="B54" s="193"/>
      <c r="C54" s="196"/>
      <c r="D54" s="197" t="str" cm="1">
        <f t="array" ref="D54">IF(B54="","",IFERROR(INDEX($L$6:$L$33,MATCH(TRUE,ISNUMBER(SEARCH($K$6:$K$33,B54)),0)),"Review Manually"))</f>
        <v/>
      </c>
      <c r="E54" s="198" t="str">
        <f t="shared" si="1"/>
        <v/>
      </c>
      <c r="F54" s="193" t="str">
        <f t="shared" si="2"/>
        <v/>
      </c>
      <c r="G54" s="199" t="str">
        <f t="shared" si="4"/>
        <v/>
      </c>
      <c r="H54" s="200" t="str">
        <f t="shared" si="3"/>
        <v/>
      </c>
      <c r="I54" s="193"/>
      <c r="J54" s="193"/>
      <c r="K54" s="193"/>
      <c r="L54" s="193"/>
      <c r="M54" s="193"/>
      <c r="N54" s="193"/>
      <c r="O54" s="193"/>
      <c r="P54" s="193"/>
      <c r="Q54" s="193"/>
      <c r="R54" s="193"/>
      <c r="S54" s="193"/>
      <c r="T54" s="193"/>
      <c r="U54" s="193"/>
      <c r="V54" s="193"/>
      <c r="W54" s="193"/>
      <c r="X54" s="193"/>
      <c r="Y54" s="193"/>
      <c r="Z54" s="193"/>
    </row>
    <row r="55" spans="1:26" x14ac:dyDescent="0.25">
      <c r="A55" s="195"/>
      <c r="B55" s="193"/>
      <c r="C55" s="196"/>
      <c r="D55" s="197" t="str" cm="1">
        <f t="array" ref="D55">IF(B55="","",IFERROR(INDEX($L$6:$L$33,MATCH(TRUE,ISNUMBER(SEARCH($K$6:$K$33,B55)),0)),"Review Manually"))</f>
        <v/>
      </c>
      <c r="E55" s="198" t="str">
        <f t="shared" si="1"/>
        <v/>
      </c>
      <c r="F55" s="193" t="str">
        <f t="shared" si="2"/>
        <v/>
      </c>
      <c r="G55" s="199" t="str">
        <f t="shared" si="4"/>
        <v/>
      </c>
      <c r="H55" s="200" t="str">
        <f t="shared" si="3"/>
        <v/>
      </c>
      <c r="I55" s="193"/>
      <c r="J55" s="193"/>
      <c r="K55" s="193"/>
      <c r="L55" s="193"/>
      <c r="M55" s="193"/>
      <c r="N55" s="193"/>
      <c r="O55" s="193"/>
      <c r="P55" s="193"/>
      <c r="Q55" s="193"/>
      <c r="R55" s="193"/>
      <c r="S55" s="193"/>
      <c r="T55" s="193"/>
      <c r="U55" s="193"/>
      <c r="V55" s="193"/>
      <c r="W55" s="193"/>
      <c r="X55" s="193"/>
      <c r="Y55" s="193"/>
      <c r="Z55" s="193"/>
    </row>
    <row r="56" spans="1:26" x14ac:dyDescent="0.25">
      <c r="A56" s="195"/>
      <c r="B56" s="193"/>
      <c r="C56" s="196"/>
      <c r="D56" s="197" t="str" cm="1">
        <f t="array" ref="D56">IF(B56="","",IFERROR(INDEX($L$6:$L$33,MATCH(TRUE,ISNUMBER(SEARCH($K$6:$K$33,B56)),0)),"Review Manually"))</f>
        <v/>
      </c>
      <c r="E56" s="198" t="str">
        <f t="shared" si="1"/>
        <v/>
      </c>
      <c r="F56" s="193" t="str">
        <f t="shared" si="2"/>
        <v/>
      </c>
      <c r="G56" s="199" t="str">
        <f t="shared" si="4"/>
        <v/>
      </c>
      <c r="H56" s="200" t="str">
        <f t="shared" si="3"/>
        <v/>
      </c>
      <c r="I56" s="193"/>
      <c r="J56" s="193"/>
      <c r="K56" s="193"/>
      <c r="L56" s="193"/>
      <c r="M56" s="193"/>
      <c r="N56" s="193"/>
      <c r="O56" s="193"/>
      <c r="P56" s="193"/>
      <c r="Q56" s="193"/>
      <c r="R56" s="193"/>
      <c r="S56" s="193"/>
      <c r="T56" s="193"/>
      <c r="U56" s="193"/>
      <c r="V56" s="193"/>
      <c r="W56" s="193"/>
      <c r="X56" s="193"/>
      <c r="Y56" s="193"/>
      <c r="Z56" s="193"/>
    </row>
    <row r="57" spans="1:26" x14ac:dyDescent="0.25">
      <c r="A57" s="195"/>
      <c r="B57" s="193"/>
      <c r="C57" s="196"/>
      <c r="D57" s="197" t="str" cm="1">
        <f t="array" ref="D57">IF(B57="","",IFERROR(INDEX($L$6:$L$33,MATCH(TRUE,ISNUMBER(SEARCH($K$6:$K$33,B57)),0)),"Review Manually"))</f>
        <v/>
      </c>
      <c r="E57" s="198" t="str">
        <f t="shared" si="1"/>
        <v/>
      </c>
      <c r="F57" s="193" t="str">
        <f t="shared" si="2"/>
        <v/>
      </c>
      <c r="G57" s="199" t="str">
        <f t="shared" si="4"/>
        <v/>
      </c>
      <c r="H57" s="200" t="str">
        <f t="shared" si="3"/>
        <v/>
      </c>
      <c r="I57" s="193"/>
      <c r="J57" s="193"/>
      <c r="K57" s="193"/>
      <c r="L57" s="193"/>
      <c r="M57" s="193"/>
      <c r="N57" s="193"/>
      <c r="O57" s="193"/>
      <c r="P57" s="193"/>
      <c r="Q57" s="193"/>
      <c r="R57" s="193"/>
      <c r="S57" s="193"/>
      <c r="T57" s="193"/>
      <c r="U57" s="193"/>
      <c r="V57" s="193"/>
      <c r="W57" s="193"/>
      <c r="X57" s="193"/>
      <c r="Y57" s="193"/>
      <c r="Z57" s="193"/>
    </row>
    <row r="58" spans="1:26" x14ac:dyDescent="0.25">
      <c r="A58" s="195"/>
      <c r="B58" s="193"/>
      <c r="C58" s="196"/>
      <c r="D58" s="197" t="str" cm="1">
        <f t="array" ref="D58">IF(B58="","",IFERROR(INDEX($L$6:$L$33,MATCH(TRUE,ISNUMBER(SEARCH($K$6:$K$33,B58)),0)),"Review Manually"))</f>
        <v/>
      </c>
      <c r="E58" s="198" t="str">
        <f t="shared" si="1"/>
        <v/>
      </c>
      <c r="F58" s="193" t="str">
        <f t="shared" si="2"/>
        <v/>
      </c>
      <c r="G58" s="199" t="str">
        <f t="shared" si="4"/>
        <v/>
      </c>
      <c r="H58" s="200" t="str">
        <f t="shared" si="3"/>
        <v/>
      </c>
      <c r="I58" s="193"/>
      <c r="J58" s="193"/>
      <c r="K58" s="193"/>
      <c r="L58" s="193"/>
      <c r="M58" s="193"/>
      <c r="N58" s="193"/>
      <c r="O58" s="193"/>
      <c r="P58" s="193"/>
      <c r="Q58" s="193"/>
      <c r="R58" s="193"/>
      <c r="S58" s="193"/>
      <c r="T58" s="193"/>
      <c r="U58" s="193"/>
      <c r="V58" s="193"/>
      <c r="W58" s="193"/>
      <c r="X58" s="193"/>
      <c r="Y58" s="193"/>
      <c r="Z58" s="193"/>
    </row>
    <row r="59" spans="1:26" x14ac:dyDescent="0.25">
      <c r="A59" s="195"/>
      <c r="B59" s="193"/>
      <c r="C59" s="196"/>
      <c r="D59" s="197" t="str" cm="1">
        <f t="array" ref="D59">IF(B59="","",IFERROR(INDEX($L$6:$L$33,MATCH(TRUE,ISNUMBER(SEARCH($K$6:$K$33,B59)),0)),"Review Manually"))</f>
        <v/>
      </c>
      <c r="E59" s="198" t="str">
        <f t="shared" si="1"/>
        <v/>
      </c>
      <c r="F59" s="193" t="str">
        <f t="shared" si="2"/>
        <v/>
      </c>
      <c r="G59" s="199" t="str">
        <f t="shared" si="4"/>
        <v/>
      </c>
      <c r="H59" s="200" t="str">
        <f t="shared" si="3"/>
        <v/>
      </c>
      <c r="I59" s="193"/>
      <c r="J59" s="193"/>
      <c r="K59" s="193"/>
      <c r="L59" s="193"/>
      <c r="M59" s="193"/>
      <c r="N59" s="193"/>
      <c r="O59" s="193"/>
      <c r="P59" s="193"/>
      <c r="Q59" s="193"/>
      <c r="R59" s="193"/>
      <c r="S59" s="193"/>
      <c r="T59" s="193"/>
      <c r="U59" s="193"/>
      <c r="V59" s="193"/>
      <c r="W59" s="193"/>
      <c r="X59" s="193"/>
      <c r="Y59" s="193"/>
      <c r="Z59" s="193"/>
    </row>
    <row r="60" spans="1:26" x14ac:dyDescent="0.25">
      <c r="A60" s="195"/>
      <c r="B60" s="193"/>
      <c r="C60" s="196"/>
      <c r="D60" s="197" t="str" cm="1">
        <f t="array" ref="D60">IF(B60="","",IFERROR(INDEX($L$6:$L$33,MATCH(TRUE,ISNUMBER(SEARCH($K$6:$K$33,B60)),0)),"Review Manually"))</f>
        <v/>
      </c>
      <c r="E60" s="198" t="str">
        <f t="shared" si="1"/>
        <v/>
      </c>
      <c r="F60" s="193" t="str">
        <f t="shared" si="2"/>
        <v/>
      </c>
      <c r="G60" s="199" t="str">
        <f t="shared" si="4"/>
        <v/>
      </c>
      <c r="H60" s="200" t="str">
        <f t="shared" si="3"/>
        <v/>
      </c>
      <c r="I60" s="193"/>
      <c r="J60" s="193"/>
      <c r="K60" s="193"/>
      <c r="L60" s="193"/>
      <c r="M60" s="193"/>
      <c r="N60" s="193"/>
      <c r="O60" s="193"/>
      <c r="P60" s="193"/>
      <c r="Q60" s="193"/>
      <c r="R60" s="193"/>
      <c r="S60" s="193"/>
      <c r="T60" s="193"/>
      <c r="U60" s="193"/>
      <c r="V60" s="193"/>
      <c r="W60" s="193"/>
      <c r="X60" s="193"/>
      <c r="Y60" s="193"/>
      <c r="Z60" s="193"/>
    </row>
    <row r="61" spans="1:26" x14ac:dyDescent="0.25">
      <c r="A61" s="195"/>
      <c r="B61" s="193"/>
      <c r="C61" s="196"/>
      <c r="D61" s="197" t="str" cm="1">
        <f t="array" ref="D61">IF(B61="","",IFERROR(INDEX($L$6:$L$33,MATCH(TRUE,ISNUMBER(SEARCH($K$6:$K$33,B61)),0)),"Review Manually"))</f>
        <v/>
      </c>
      <c r="E61" s="198" t="str">
        <f t="shared" si="1"/>
        <v/>
      </c>
      <c r="F61" s="193" t="str">
        <f t="shared" si="2"/>
        <v/>
      </c>
      <c r="G61" s="199" t="str">
        <f t="shared" si="4"/>
        <v/>
      </c>
      <c r="H61" s="200" t="str">
        <f t="shared" si="3"/>
        <v/>
      </c>
      <c r="I61" s="193"/>
      <c r="J61" s="193"/>
      <c r="K61" s="193"/>
      <c r="L61" s="193"/>
      <c r="M61" s="193"/>
      <c r="N61" s="193"/>
      <c r="O61" s="193"/>
      <c r="P61" s="193"/>
      <c r="Q61" s="193"/>
      <c r="R61" s="193"/>
      <c r="S61" s="193"/>
      <c r="T61" s="193"/>
      <c r="U61" s="193"/>
      <c r="V61" s="193"/>
      <c r="W61" s="193"/>
      <c r="X61" s="193"/>
      <c r="Y61" s="193"/>
      <c r="Z61" s="193"/>
    </row>
    <row r="62" spans="1:26" x14ac:dyDescent="0.25">
      <c r="A62" s="195"/>
      <c r="B62" s="193"/>
      <c r="C62" s="196"/>
      <c r="D62" s="197" t="str" cm="1">
        <f t="array" ref="D62">IF(B62="","",IFERROR(INDEX($L$6:$L$33,MATCH(TRUE,ISNUMBER(SEARCH($K$6:$K$33,B62)),0)),"Review Manually"))</f>
        <v/>
      </c>
      <c r="E62" s="198" t="str">
        <f t="shared" si="1"/>
        <v/>
      </c>
      <c r="F62" s="193" t="str">
        <f t="shared" si="2"/>
        <v/>
      </c>
      <c r="G62" s="199" t="str">
        <f t="shared" si="4"/>
        <v/>
      </c>
      <c r="H62" s="200" t="str">
        <f t="shared" si="3"/>
        <v/>
      </c>
      <c r="I62" s="193"/>
      <c r="J62" s="193"/>
      <c r="K62" s="193"/>
      <c r="L62" s="193"/>
      <c r="M62" s="193"/>
      <c r="N62" s="193"/>
      <c r="O62" s="193"/>
      <c r="P62" s="193"/>
      <c r="Q62" s="193"/>
      <c r="R62" s="193"/>
      <c r="S62" s="193"/>
      <c r="T62" s="193"/>
      <c r="U62" s="193"/>
      <c r="V62" s="193"/>
      <c r="W62" s="193"/>
      <c r="X62" s="193"/>
      <c r="Y62" s="193"/>
      <c r="Z62" s="193"/>
    </row>
    <row r="63" spans="1:26" x14ac:dyDescent="0.25">
      <c r="A63" s="195"/>
      <c r="B63" s="193"/>
      <c r="C63" s="196"/>
      <c r="D63" s="197" t="str" cm="1">
        <f t="array" ref="D63">IF(B63="","",IFERROR(INDEX($L$6:$L$33,MATCH(TRUE,ISNUMBER(SEARCH($K$6:$K$33,B63)),0)),"Review Manually"))</f>
        <v/>
      </c>
      <c r="E63" s="198" t="str">
        <f t="shared" si="1"/>
        <v/>
      </c>
      <c r="F63" s="193" t="str">
        <f t="shared" si="2"/>
        <v/>
      </c>
      <c r="G63" s="199" t="str">
        <f t="shared" si="4"/>
        <v/>
      </c>
      <c r="H63" s="200" t="str">
        <f t="shared" si="3"/>
        <v/>
      </c>
      <c r="I63" s="193"/>
      <c r="J63" s="193"/>
      <c r="K63" s="193"/>
      <c r="L63" s="193"/>
      <c r="M63" s="193"/>
      <c r="N63" s="193"/>
      <c r="O63" s="193"/>
      <c r="P63" s="193"/>
      <c r="Q63" s="193"/>
      <c r="R63" s="193"/>
      <c r="S63" s="193"/>
      <c r="T63" s="193"/>
      <c r="U63" s="193"/>
      <c r="V63" s="193"/>
      <c r="W63" s="193"/>
      <c r="X63" s="193"/>
      <c r="Y63" s="193"/>
      <c r="Z63" s="193"/>
    </row>
    <row r="64" spans="1:26" x14ac:dyDescent="0.25">
      <c r="A64" s="195"/>
      <c r="B64" s="193"/>
      <c r="C64" s="196"/>
      <c r="D64" s="197" t="str" cm="1">
        <f t="array" ref="D64">IF(B64="","",IFERROR(INDEX($L$6:$L$33,MATCH(TRUE,ISNUMBER(SEARCH($K$6:$K$33,B64)),0)),"Review Manually"))</f>
        <v/>
      </c>
      <c r="E64" s="198" t="str">
        <f t="shared" si="1"/>
        <v/>
      </c>
      <c r="F64" s="193" t="str">
        <f t="shared" si="2"/>
        <v/>
      </c>
      <c r="G64" s="199" t="str">
        <f t="shared" si="4"/>
        <v/>
      </c>
      <c r="H64" s="200" t="str">
        <f t="shared" si="3"/>
        <v/>
      </c>
      <c r="I64" s="193"/>
      <c r="J64" s="193"/>
      <c r="K64" s="193"/>
      <c r="L64" s="193"/>
      <c r="M64" s="193"/>
      <c r="N64" s="193"/>
      <c r="O64" s="193"/>
      <c r="P64" s="193"/>
      <c r="Q64" s="193"/>
      <c r="R64" s="193"/>
      <c r="S64" s="193"/>
      <c r="T64" s="193"/>
      <c r="U64" s="193"/>
      <c r="V64" s="193"/>
      <c r="W64" s="193"/>
      <c r="X64" s="193"/>
      <c r="Y64" s="193"/>
      <c r="Z64" s="193"/>
    </row>
    <row r="65" spans="1:26" x14ac:dyDescent="0.25">
      <c r="A65" s="195"/>
      <c r="B65" s="193"/>
      <c r="C65" s="196"/>
      <c r="D65" s="197" t="str" cm="1">
        <f t="array" ref="D65">IF(B65="","",IFERROR(INDEX($L$6:$L$33,MATCH(TRUE,ISNUMBER(SEARCH($K$6:$K$33,B65)),0)),"Review Manually"))</f>
        <v/>
      </c>
      <c r="E65" s="198" t="str">
        <f t="shared" si="1"/>
        <v/>
      </c>
      <c r="F65" s="193" t="str">
        <f t="shared" si="2"/>
        <v/>
      </c>
      <c r="G65" s="199" t="str">
        <f t="shared" si="4"/>
        <v/>
      </c>
      <c r="H65" s="200" t="str">
        <f t="shared" si="3"/>
        <v/>
      </c>
      <c r="I65" s="193"/>
      <c r="J65" s="193"/>
      <c r="K65" s="193"/>
      <c r="L65" s="193"/>
      <c r="M65" s="193"/>
      <c r="N65" s="193"/>
      <c r="O65" s="193"/>
      <c r="P65" s="193"/>
      <c r="Q65" s="193"/>
      <c r="R65" s="193"/>
      <c r="S65" s="193"/>
      <c r="T65" s="193"/>
      <c r="U65" s="193"/>
      <c r="V65" s="193"/>
      <c r="W65" s="193"/>
      <c r="X65" s="193"/>
      <c r="Y65" s="193"/>
      <c r="Z65" s="193"/>
    </row>
    <row r="66" spans="1:26" x14ac:dyDescent="0.25">
      <c r="A66" s="195"/>
      <c r="B66" s="193"/>
      <c r="C66" s="196"/>
      <c r="D66" s="197" t="str" cm="1">
        <f t="array" ref="D66">IF(B66="","",IFERROR(INDEX($L$6:$L$33,MATCH(TRUE,ISNUMBER(SEARCH($K$6:$K$33,B66)),0)),"Review Manually"))</f>
        <v/>
      </c>
      <c r="E66" s="198" t="str">
        <f t="shared" si="1"/>
        <v/>
      </c>
      <c r="F66" s="193" t="str">
        <f t="shared" si="2"/>
        <v/>
      </c>
      <c r="G66" s="199" t="str">
        <f t="shared" si="4"/>
        <v/>
      </c>
      <c r="H66" s="200" t="str">
        <f t="shared" si="3"/>
        <v/>
      </c>
      <c r="I66" s="193"/>
      <c r="J66" s="193"/>
      <c r="K66" s="193"/>
      <c r="L66" s="193"/>
      <c r="M66" s="193"/>
      <c r="N66" s="193"/>
      <c r="O66" s="193"/>
      <c r="P66" s="193"/>
      <c r="Q66" s="193"/>
      <c r="R66" s="193"/>
      <c r="S66" s="193"/>
      <c r="T66" s="193"/>
      <c r="U66" s="193"/>
      <c r="V66" s="193"/>
      <c r="W66" s="193"/>
      <c r="X66" s="193"/>
      <c r="Y66" s="193"/>
      <c r="Z66" s="193"/>
    </row>
    <row r="67" spans="1:26" x14ac:dyDescent="0.25">
      <c r="A67" s="195"/>
      <c r="B67" s="193"/>
      <c r="C67" s="196"/>
      <c r="D67" s="197" t="str" cm="1">
        <f t="array" ref="D67">IF(B67="","",IFERROR(INDEX($L$6:$L$33,MATCH(TRUE,ISNUMBER(SEARCH($K$6:$K$33,B67)),0)),"Review Manually"))</f>
        <v/>
      </c>
      <c r="E67" s="198" t="str">
        <f t="shared" si="1"/>
        <v/>
      </c>
      <c r="F67" s="193" t="str">
        <f t="shared" si="2"/>
        <v/>
      </c>
      <c r="G67" s="199" t="str">
        <f t="shared" si="4"/>
        <v/>
      </c>
      <c r="H67" s="200" t="str">
        <f t="shared" si="3"/>
        <v/>
      </c>
      <c r="I67" s="193"/>
      <c r="J67" s="193"/>
      <c r="K67" s="193"/>
      <c r="L67" s="193"/>
      <c r="M67" s="193"/>
      <c r="N67" s="193"/>
      <c r="O67" s="193"/>
      <c r="P67" s="193"/>
      <c r="Q67" s="193"/>
      <c r="R67" s="193"/>
      <c r="S67" s="193"/>
      <c r="T67" s="193"/>
      <c r="U67" s="193"/>
      <c r="V67" s="193"/>
      <c r="W67" s="193"/>
      <c r="X67" s="193"/>
      <c r="Y67" s="193"/>
      <c r="Z67" s="193"/>
    </row>
    <row r="68" spans="1:26" x14ac:dyDescent="0.25">
      <c r="A68" s="195"/>
      <c r="B68" s="193"/>
      <c r="C68" s="196"/>
      <c r="D68" s="197" t="str" cm="1">
        <f t="array" ref="D68">IF(B68="","",IFERROR(INDEX($L$6:$L$33,MATCH(TRUE,ISNUMBER(SEARCH($K$6:$K$33,B68)),0)),"Review Manually"))</f>
        <v/>
      </c>
      <c r="E68" s="198" t="str">
        <f t="shared" si="1"/>
        <v/>
      </c>
      <c r="F68" s="193" t="str">
        <f t="shared" si="2"/>
        <v/>
      </c>
      <c r="G68" s="199" t="str">
        <f t="shared" si="4"/>
        <v/>
      </c>
      <c r="H68" s="200" t="str">
        <f t="shared" si="3"/>
        <v/>
      </c>
      <c r="I68" s="193"/>
      <c r="J68" s="193"/>
      <c r="K68" s="193"/>
      <c r="L68" s="193"/>
      <c r="M68" s="193"/>
      <c r="N68" s="193"/>
      <c r="O68" s="193"/>
      <c r="P68" s="193"/>
      <c r="Q68" s="193"/>
      <c r="R68" s="193"/>
      <c r="S68" s="193"/>
      <c r="T68" s="193"/>
      <c r="U68" s="193"/>
      <c r="V68" s="193"/>
      <c r="W68" s="193"/>
      <c r="X68" s="193"/>
      <c r="Y68" s="193"/>
      <c r="Z68" s="193"/>
    </row>
    <row r="69" spans="1:26" x14ac:dyDescent="0.25">
      <c r="A69" s="195"/>
      <c r="B69" s="193"/>
      <c r="C69" s="196"/>
      <c r="D69" s="197" t="str" cm="1">
        <f t="array" ref="D69">IF(B69="","",IFERROR(INDEX($L$6:$L$33,MATCH(TRUE,ISNUMBER(SEARCH($K$6:$K$33,B69)),0)),"Review Manually"))</f>
        <v/>
      </c>
      <c r="E69" s="198" t="str">
        <f t="shared" si="1"/>
        <v/>
      </c>
      <c r="F69" s="193" t="str">
        <f t="shared" si="2"/>
        <v/>
      </c>
      <c r="G69" s="199" t="str">
        <f t="shared" si="4"/>
        <v/>
      </c>
      <c r="H69" s="200" t="str">
        <f t="shared" si="3"/>
        <v/>
      </c>
      <c r="I69" s="193"/>
      <c r="J69" s="193"/>
      <c r="K69" s="193"/>
      <c r="L69" s="193"/>
      <c r="M69" s="193"/>
      <c r="N69" s="193"/>
      <c r="O69" s="193"/>
      <c r="P69" s="193"/>
      <c r="Q69" s="193"/>
      <c r="R69" s="193"/>
      <c r="S69" s="193"/>
      <c r="T69" s="193"/>
      <c r="U69" s="193"/>
      <c r="V69" s="193"/>
      <c r="W69" s="193"/>
      <c r="X69" s="193"/>
      <c r="Y69" s="193"/>
      <c r="Z69" s="193"/>
    </row>
    <row r="70" spans="1:26" x14ac:dyDescent="0.25">
      <c r="A70" s="195"/>
      <c r="B70" s="193"/>
      <c r="C70" s="196"/>
      <c r="D70" s="197" t="str" cm="1">
        <f t="array" ref="D70">IF(B70="","",IFERROR(INDEX($L$6:$L$33,MATCH(TRUE,ISNUMBER(SEARCH($K$6:$K$33,B70)),0)),"Review Manually"))</f>
        <v/>
      </c>
      <c r="E70" s="198" t="str">
        <f t="shared" si="1"/>
        <v/>
      </c>
      <c r="F70" s="193" t="str">
        <f t="shared" si="2"/>
        <v/>
      </c>
      <c r="G70" s="199" t="str">
        <f t="shared" ref="G70:G101" si="5">IF(F70="","",IFERROR(_xlfn.XLOOKUP(F70,CategoryList,CategoryTypeList),""))</f>
        <v/>
      </c>
      <c r="H70" s="200" t="str">
        <f t="shared" si="3"/>
        <v/>
      </c>
      <c r="I70" s="193"/>
      <c r="J70" s="193"/>
      <c r="K70" s="193"/>
      <c r="L70" s="193"/>
      <c r="M70" s="193"/>
      <c r="N70" s="193"/>
      <c r="O70" s="193"/>
      <c r="P70" s="193"/>
      <c r="Q70" s="193"/>
      <c r="R70" s="193"/>
      <c r="S70" s="193"/>
      <c r="T70" s="193"/>
      <c r="U70" s="193"/>
      <c r="V70" s="193"/>
      <c r="W70" s="193"/>
      <c r="X70" s="193"/>
      <c r="Y70" s="193"/>
      <c r="Z70" s="193"/>
    </row>
    <row r="71" spans="1:26" x14ac:dyDescent="0.25">
      <c r="A71" s="195"/>
      <c r="B71" s="193"/>
      <c r="C71" s="196"/>
      <c r="D71" s="197" t="str" cm="1">
        <f t="array" ref="D71">IF(B71="","",IFERROR(INDEX($L$6:$L$33,MATCH(TRUE,ISNUMBER(SEARCH($K$6:$K$33,B71)),0)),"Review Manually"))</f>
        <v/>
      </c>
      <c r="E71" s="198" t="str">
        <f t="shared" ref="E71:E105" si="6">IF(A71="","",A71)</f>
        <v/>
      </c>
      <c r="F71" s="193" t="str">
        <f t="shared" ref="F71:F105" si="7">IF(B71="","",D71)</f>
        <v/>
      </c>
      <c r="G71" s="199" t="str">
        <f t="shared" si="5"/>
        <v/>
      </c>
      <c r="H71" s="200" t="str">
        <f t="shared" ref="H71:H105" si="8">IF(C71="","",C71)</f>
        <v/>
      </c>
      <c r="I71" s="193"/>
      <c r="J71" s="193"/>
      <c r="K71" s="193"/>
      <c r="L71" s="193"/>
      <c r="M71" s="193"/>
      <c r="N71" s="193"/>
      <c r="O71" s="193"/>
      <c r="P71" s="193"/>
      <c r="Q71" s="193"/>
      <c r="R71" s="193"/>
      <c r="S71" s="193"/>
      <c r="T71" s="193"/>
      <c r="U71" s="193"/>
      <c r="V71" s="193"/>
      <c r="W71" s="193"/>
      <c r="X71" s="193"/>
      <c r="Y71" s="193"/>
      <c r="Z71" s="193"/>
    </row>
    <row r="72" spans="1:26" x14ac:dyDescent="0.25">
      <c r="A72" s="195"/>
      <c r="B72" s="193"/>
      <c r="C72" s="196"/>
      <c r="D72" s="197" t="str" cm="1">
        <f t="array" ref="D72">IF(B72="","",IFERROR(INDEX($L$6:$L$33,MATCH(TRUE,ISNUMBER(SEARCH($K$6:$K$33,B72)),0)),"Review Manually"))</f>
        <v/>
      </c>
      <c r="E72" s="198" t="str">
        <f t="shared" si="6"/>
        <v/>
      </c>
      <c r="F72" s="193" t="str">
        <f t="shared" si="7"/>
        <v/>
      </c>
      <c r="G72" s="199" t="str">
        <f t="shared" si="5"/>
        <v/>
      </c>
      <c r="H72" s="200" t="str">
        <f t="shared" si="8"/>
        <v/>
      </c>
      <c r="I72" s="193"/>
      <c r="J72" s="193"/>
      <c r="K72" s="193"/>
      <c r="L72" s="193"/>
      <c r="M72" s="193"/>
      <c r="N72" s="193"/>
      <c r="O72" s="193"/>
      <c r="P72" s="193"/>
      <c r="Q72" s="193"/>
      <c r="R72" s="193"/>
      <c r="S72" s="193"/>
      <c r="T72" s="193"/>
      <c r="U72" s="193"/>
      <c r="V72" s="193"/>
      <c r="W72" s="193"/>
      <c r="X72" s="193"/>
      <c r="Y72" s="193"/>
      <c r="Z72" s="193"/>
    </row>
    <row r="73" spans="1:26" x14ac:dyDescent="0.25">
      <c r="A73" s="195"/>
      <c r="B73" s="193"/>
      <c r="C73" s="196"/>
      <c r="D73" s="197" t="str" cm="1">
        <f t="array" ref="D73">IF(B73="","",IFERROR(INDEX($L$6:$L$33,MATCH(TRUE,ISNUMBER(SEARCH($K$6:$K$33,B73)),0)),"Review Manually"))</f>
        <v/>
      </c>
      <c r="E73" s="198" t="str">
        <f t="shared" si="6"/>
        <v/>
      </c>
      <c r="F73" s="193" t="str">
        <f t="shared" si="7"/>
        <v/>
      </c>
      <c r="G73" s="199" t="str">
        <f t="shared" si="5"/>
        <v/>
      </c>
      <c r="H73" s="200" t="str">
        <f t="shared" si="8"/>
        <v/>
      </c>
      <c r="I73" s="193"/>
      <c r="J73" s="193"/>
      <c r="K73" s="193"/>
      <c r="L73" s="193"/>
      <c r="M73" s="193"/>
      <c r="N73" s="193"/>
      <c r="O73" s="193"/>
      <c r="P73" s="193"/>
      <c r="Q73" s="193"/>
      <c r="R73" s="193"/>
      <c r="S73" s="193"/>
      <c r="T73" s="193"/>
      <c r="U73" s="193"/>
      <c r="V73" s="193"/>
      <c r="W73" s="193"/>
      <c r="X73" s="193"/>
      <c r="Y73" s="193"/>
      <c r="Z73" s="193"/>
    </row>
    <row r="74" spans="1:26" x14ac:dyDescent="0.25">
      <c r="A74" s="195"/>
      <c r="B74" s="193"/>
      <c r="C74" s="196"/>
      <c r="D74" s="197" t="str" cm="1">
        <f t="array" ref="D74">IF(B74="","",IFERROR(INDEX($L$6:$L$33,MATCH(TRUE,ISNUMBER(SEARCH($K$6:$K$33,B74)),0)),"Review Manually"))</f>
        <v/>
      </c>
      <c r="E74" s="198" t="str">
        <f t="shared" si="6"/>
        <v/>
      </c>
      <c r="F74" s="193" t="str">
        <f t="shared" si="7"/>
        <v/>
      </c>
      <c r="G74" s="199" t="str">
        <f t="shared" si="5"/>
        <v/>
      </c>
      <c r="H74" s="200" t="str">
        <f t="shared" si="8"/>
        <v/>
      </c>
      <c r="I74" s="193"/>
      <c r="J74" s="193"/>
      <c r="K74" s="193"/>
      <c r="L74" s="193"/>
      <c r="M74" s="193"/>
      <c r="N74" s="193"/>
      <c r="O74" s="193"/>
      <c r="P74" s="193"/>
      <c r="Q74" s="193"/>
      <c r="R74" s="193"/>
      <c r="S74" s="193"/>
      <c r="T74" s="193"/>
      <c r="U74" s="193"/>
      <c r="V74" s="193"/>
      <c r="W74" s="193"/>
      <c r="X74" s="193"/>
      <c r="Y74" s="193"/>
      <c r="Z74" s="193"/>
    </row>
    <row r="75" spans="1:26" x14ac:dyDescent="0.25">
      <c r="A75" s="195"/>
      <c r="B75" s="193"/>
      <c r="C75" s="196"/>
      <c r="D75" s="197" t="str" cm="1">
        <f t="array" ref="D75">IF(B75="","",IFERROR(INDEX($L$6:$L$33,MATCH(TRUE,ISNUMBER(SEARCH($K$6:$K$33,B75)),0)),"Review Manually"))</f>
        <v/>
      </c>
      <c r="E75" s="198" t="str">
        <f t="shared" si="6"/>
        <v/>
      </c>
      <c r="F75" s="193" t="str">
        <f t="shared" si="7"/>
        <v/>
      </c>
      <c r="G75" s="199" t="str">
        <f t="shared" si="5"/>
        <v/>
      </c>
      <c r="H75" s="200" t="str">
        <f t="shared" si="8"/>
        <v/>
      </c>
      <c r="I75" s="193"/>
      <c r="J75" s="193"/>
      <c r="K75" s="193"/>
      <c r="L75" s="193"/>
      <c r="M75" s="193"/>
      <c r="N75" s="193"/>
      <c r="O75" s="193"/>
      <c r="P75" s="193"/>
      <c r="Q75" s="193"/>
      <c r="R75" s="193"/>
      <c r="S75" s="193"/>
      <c r="T75" s="193"/>
      <c r="U75" s="193"/>
      <c r="V75" s="193"/>
      <c r="W75" s="193"/>
      <c r="X75" s="193"/>
      <c r="Y75" s="193"/>
      <c r="Z75" s="193"/>
    </row>
    <row r="76" spans="1:26" x14ac:dyDescent="0.25">
      <c r="A76" s="195"/>
      <c r="B76" s="193"/>
      <c r="C76" s="196"/>
      <c r="D76" s="197" t="str" cm="1">
        <f t="array" ref="D76">IF(B76="","",IFERROR(INDEX($L$6:$L$33,MATCH(TRUE,ISNUMBER(SEARCH($K$6:$K$33,B76)),0)),"Review Manually"))</f>
        <v/>
      </c>
      <c r="E76" s="198" t="str">
        <f t="shared" si="6"/>
        <v/>
      </c>
      <c r="F76" s="193" t="str">
        <f t="shared" si="7"/>
        <v/>
      </c>
      <c r="G76" s="199" t="str">
        <f t="shared" si="5"/>
        <v/>
      </c>
      <c r="H76" s="200" t="str">
        <f t="shared" si="8"/>
        <v/>
      </c>
      <c r="I76" s="193"/>
      <c r="J76" s="193"/>
      <c r="K76" s="193"/>
      <c r="L76" s="193"/>
      <c r="M76" s="193"/>
      <c r="N76" s="193"/>
      <c r="O76" s="193"/>
      <c r="P76" s="193"/>
      <c r="Q76" s="193"/>
      <c r="R76" s="193"/>
      <c r="S76" s="193"/>
      <c r="T76" s="193"/>
      <c r="U76" s="193"/>
      <c r="V76" s="193"/>
      <c r="W76" s="193"/>
      <c r="X76" s="193"/>
      <c r="Y76" s="193"/>
      <c r="Z76" s="193"/>
    </row>
    <row r="77" spans="1:26" x14ac:dyDescent="0.25">
      <c r="A77" s="195"/>
      <c r="B77" s="193"/>
      <c r="C77" s="196"/>
      <c r="D77" s="197" t="str" cm="1">
        <f t="array" ref="D77">IF(B77="","",IFERROR(INDEX($L$6:$L$33,MATCH(TRUE,ISNUMBER(SEARCH($K$6:$K$33,B77)),0)),"Review Manually"))</f>
        <v/>
      </c>
      <c r="E77" s="198" t="str">
        <f t="shared" si="6"/>
        <v/>
      </c>
      <c r="F77" s="193" t="str">
        <f t="shared" si="7"/>
        <v/>
      </c>
      <c r="G77" s="199" t="str">
        <f t="shared" si="5"/>
        <v/>
      </c>
      <c r="H77" s="200" t="str">
        <f t="shared" si="8"/>
        <v/>
      </c>
      <c r="I77" s="193"/>
      <c r="J77" s="193"/>
      <c r="K77" s="193"/>
      <c r="L77" s="193"/>
      <c r="M77" s="193"/>
      <c r="N77" s="193"/>
      <c r="O77" s="193"/>
      <c r="P77" s="193"/>
      <c r="Q77" s="193"/>
      <c r="R77" s="193"/>
      <c r="S77" s="193"/>
      <c r="T77" s="193"/>
      <c r="U77" s="193"/>
      <c r="V77" s="193"/>
      <c r="W77" s="193"/>
      <c r="X77" s="193"/>
      <c r="Y77" s="193"/>
      <c r="Z77" s="193"/>
    </row>
    <row r="78" spans="1:26" x14ac:dyDescent="0.25">
      <c r="A78" s="195"/>
      <c r="B78" s="193"/>
      <c r="C78" s="196"/>
      <c r="D78" s="197" t="str" cm="1">
        <f t="array" ref="D78">IF(B78="","",IFERROR(INDEX($L$6:$L$33,MATCH(TRUE,ISNUMBER(SEARCH($K$6:$K$33,B78)),0)),"Review Manually"))</f>
        <v/>
      </c>
      <c r="E78" s="198" t="str">
        <f t="shared" si="6"/>
        <v/>
      </c>
      <c r="F78" s="193" t="str">
        <f t="shared" si="7"/>
        <v/>
      </c>
      <c r="G78" s="199" t="str">
        <f t="shared" si="5"/>
        <v/>
      </c>
      <c r="H78" s="200" t="str">
        <f t="shared" si="8"/>
        <v/>
      </c>
      <c r="I78" s="193"/>
      <c r="J78" s="193"/>
      <c r="K78" s="193"/>
      <c r="L78" s="193"/>
      <c r="M78" s="193"/>
      <c r="N78" s="193"/>
      <c r="O78" s="193"/>
      <c r="P78" s="193"/>
      <c r="Q78" s="193"/>
      <c r="R78" s="193"/>
      <c r="S78" s="193"/>
      <c r="T78" s="193"/>
      <c r="U78" s="193"/>
      <c r="V78" s="193"/>
      <c r="W78" s="193"/>
      <c r="X78" s="193"/>
      <c r="Y78" s="193"/>
      <c r="Z78" s="193"/>
    </row>
    <row r="79" spans="1:26" x14ac:dyDescent="0.25">
      <c r="A79" s="195"/>
      <c r="B79" s="193"/>
      <c r="C79" s="196"/>
      <c r="D79" s="197" t="str" cm="1">
        <f t="array" ref="D79">IF(B79="","",IFERROR(INDEX($L$6:$L$33,MATCH(TRUE,ISNUMBER(SEARCH($K$6:$K$33,B79)),0)),"Review Manually"))</f>
        <v/>
      </c>
      <c r="E79" s="198" t="str">
        <f t="shared" si="6"/>
        <v/>
      </c>
      <c r="F79" s="193" t="str">
        <f t="shared" si="7"/>
        <v/>
      </c>
      <c r="G79" s="199" t="str">
        <f t="shared" si="5"/>
        <v/>
      </c>
      <c r="H79" s="200" t="str">
        <f t="shared" si="8"/>
        <v/>
      </c>
      <c r="I79" s="193"/>
      <c r="J79" s="193"/>
      <c r="K79" s="193"/>
      <c r="L79" s="193"/>
      <c r="M79" s="193"/>
      <c r="N79" s="193"/>
      <c r="O79" s="193"/>
      <c r="P79" s="193"/>
      <c r="Q79" s="193"/>
      <c r="R79" s="193"/>
      <c r="S79" s="193"/>
      <c r="T79" s="193"/>
      <c r="U79" s="193"/>
      <c r="V79" s="193"/>
      <c r="W79" s="193"/>
      <c r="X79" s="193"/>
      <c r="Y79" s="193"/>
      <c r="Z79" s="193"/>
    </row>
    <row r="80" spans="1:26" x14ac:dyDescent="0.25">
      <c r="A80" s="195"/>
      <c r="B80" s="193"/>
      <c r="C80" s="196"/>
      <c r="D80" s="197" t="str" cm="1">
        <f t="array" ref="D80">IF(B80="","",IFERROR(INDEX($L$6:$L$33,MATCH(TRUE,ISNUMBER(SEARCH($K$6:$K$33,B80)),0)),"Review Manually"))</f>
        <v/>
      </c>
      <c r="E80" s="198" t="str">
        <f t="shared" si="6"/>
        <v/>
      </c>
      <c r="F80" s="193" t="str">
        <f t="shared" si="7"/>
        <v/>
      </c>
      <c r="G80" s="199" t="str">
        <f t="shared" si="5"/>
        <v/>
      </c>
      <c r="H80" s="200" t="str">
        <f t="shared" si="8"/>
        <v/>
      </c>
      <c r="I80" s="193"/>
      <c r="J80" s="193"/>
      <c r="K80" s="193"/>
      <c r="L80" s="193"/>
      <c r="M80" s="193"/>
      <c r="N80" s="193"/>
      <c r="O80" s="193"/>
      <c r="P80" s="193"/>
      <c r="Q80" s="193"/>
      <c r="R80" s="193"/>
      <c r="S80" s="193"/>
      <c r="T80" s="193"/>
      <c r="U80" s="193"/>
      <c r="V80" s="193"/>
      <c r="W80" s="193"/>
      <c r="X80" s="193"/>
      <c r="Y80" s="193"/>
      <c r="Z80" s="193"/>
    </row>
    <row r="81" spans="1:26" x14ac:dyDescent="0.25">
      <c r="A81" s="195"/>
      <c r="B81" s="193"/>
      <c r="C81" s="196"/>
      <c r="D81" s="197" t="str" cm="1">
        <f t="array" ref="D81">IF(B81="","",IFERROR(INDEX($L$6:$L$33,MATCH(TRUE,ISNUMBER(SEARCH($K$6:$K$33,B81)),0)),"Review Manually"))</f>
        <v/>
      </c>
      <c r="E81" s="198" t="str">
        <f t="shared" si="6"/>
        <v/>
      </c>
      <c r="F81" s="193" t="str">
        <f t="shared" si="7"/>
        <v/>
      </c>
      <c r="G81" s="199" t="str">
        <f t="shared" si="5"/>
        <v/>
      </c>
      <c r="H81" s="200" t="str">
        <f t="shared" si="8"/>
        <v/>
      </c>
      <c r="I81" s="193"/>
      <c r="J81" s="193"/>
      <c r="K81" s="193"/>
      <c r="L81" s="193"/>
      <c r="M81" s="193"/>
      <c r="N81" s="193"/>
      <c r="O81" s="193"/>
      <c r="P81" s="193"/>
      <c r="Q81" s="193"/>
      <c r="R81" s="193"/>
      <c r="S81" s="193"/>
      <c r="T81" s="193"/>
      <c r="U81" s="193"/>
      <c r="V81" s="193"/>
      <c r="W81" s="193"/>
      <c r="X81" s="193"/>
      <c r="Y81" s="193"/>
      <c r="Z81" s="193"/>
    </row>
    <row r="82" spans="1:26" x14ac:dyDescent="0.25">
      <c r="A82" s="195"/>
      <c r="B82" s="193"/>
      <c r="C82" s="196"/>
      <c r="D82" s="197" t="str" cm="1">
        <f t="array" ref="D82">IF(B82="","",IFERROR(INDEX($L$6:$L$33,MATCH(TRUE,ISNUMBER(SEARCH($K$6:$K$33,B82)),0)),"Review Manually"))</f>
        <v/>
      </c>
      <c r="E82" s="198" t="str">
        <f t="shared" si="6"/>
        <v/>
      </c>
      <c r="F82" s="193" t="str">
        <f t="shared" si="7"/>
        <v/>
      </c>
      <c r="G82" s="199" t="str">
        <f t="shared" si="5"/>
        <v/>
      </c>
      <c r="H82" s="200" t="str">
        <f t="shared" si="8"/>
        <v/>
      </c>
      <c r="I82" s="193"/>
      <c r="J82" s="193"/>
      <c r="K82" s="193"/>
      <c r="L82" s="193"/>
      <c r="M82" s="193"/>
      <c r="N82" s="193"/>
      <c r="O82" s="193"/>
      <c r="P82" s="193"/>
      <c r="Q82" s="193"/>
      <c r="R82" s="193"/>
      <c r="S82" s="193"/>
      <c r="T82" s="193"/>
      <c r="U82" s="193"/>
      <c r="V82" s="193"/>
      <c r="W82" s="193"/>
      <c r="X82" s="193"/>
      <c r="Y82" s="193"/>
      <c r="Z82" s="193"/>
    </row>
    <row r="83" spans="1:26" x14ac:dyDescent="0.25">
      <c r="A83" s="195"/>
      <c r="B83" s="193"/>
      <c r="C83" s="196"/>
      <c r="D83" s="197" t="str" cm="1">
        <f t="array" ref="D83">IF(B83="","",IFERROR(INDEX($L$6:$L$33,MATCH(TRUE,ISNUMBER(SEARCH($K$6:$K$33,B83)),0)),"Review Manually"))</f>
        <v/>
      </c>
      <c r="E83" s="198" t="str">
        <f t="shared" si="6"/>
        <v/>
      </c>
      <c r="F83" s="193" t="str">
        <f t="shared" si="7"/>
        <v/>
      </c>
      <c r="G83" s="199" t="str">
        <f t="shared" si="5"/>
        <v/>
      </c>
      <c r="H83" s="200" t="str">
        <f t="shared" si="8"/>
        <v/>
      </c>
      <c r="I83" s="193"/>
      <c r="J83" s="193"/>
      <c r="K83" s="193"/>
      <c r="L83" s="193"/>
      <c r="M83" s="193"/>
      <c r="N83" s="193"/>
      <c r="O83" s="193"/>
      <c r="P83" s="193"/>
      <c r="Q83" s="193"/>
      <c r="R83" s="193"/>
      <c r="S83" s="193"/>
      <c r="T83" s="193"/>
      <c r="U83" s="193"/>
      <c r="V83" s="193"/>
      <c r="W83" s="193"/>
      <c r="X83" s="193"/>
      <c r="Y83" s="193"/>
      <c r="Z83" s="193"/>
    </row>
    <row r="84" spans="1:26" x14ac:dyDescent="0.25">
      <c r="A84" s="195"/>
      <c r="B84" s="193"/>
      <c r="C84" s="196"/>
      <c r="D84" s="197" t="str" cm="1">
        <f t="array" ref="D84">IF(B84="","",IFERROR(INDEX($L$6:$L$33,MATCH(TRUE,ISNUMBER(SEARCH($K$6:$K$33,B84)),0)),"Review Manually"))</f>
        <v/>
      </c>
      <c r="E84" s="198" t="str">
        <f t="shared" si="6"/>
        <v/>
      </c>
      <c r="F84" s="193" t="str">
        <f t="shared" si="7"/>
        <v/>
      </c>
      <c r="G84" s="199" t="str">
        <f t="shared" si="5"/>
        <v/>
      </c>
      <c r="H84" s="200" t="str">
        <f t="shared" si="8"/>
        <v/>
      </c>
      <c r="I84" s="193"/>
      <c r="J84" s="193"/>
      <c r="K84" s="193"/>
      <c r="L84" s="193"/>
      <c r="M84" s="193"/>
      <c r="N84" s="193"/>
      <c r="O84" s="193"/>
      <c r="P84" s="193"/>
      <c r="Q84" s="193"/>
      <c r="R84" s="193"/>
      <c r="S84" s="193"/>
      <c r="T84" s="193"/>
      <c r="U84" s="193"/>
      <c r="V84" s="193"/>
      <c r="W84" s="193"/>
      <c r="X84" s="193"/>
      <c r="Y84" s="193"/>
      <c r="Z84" s="193"/>
    </row>
    <row r="85" spans="1:26" x14ac:dyDescent="0.25">
      <c r="A85" s="195"/>
      <c r="B85" s="193"/>
      <c r="C85" s="196"/>
      <c r="D85" s="197" t="str" cm="1">
        <f t="array" ref="D85">IF(B85="","",IFERROR(INDEX($L$6:$L$33,MATCH(TRUE,ISNUMBER(SEARCH($K$6:$K$33,B85)),0)),"Review Manually"))</f>
        <v/>
      </c>
      <c r="E85" s="198" t="str">
        <f t="shared" si="6"/>
        <v/>
      </c>
      <c r="F85" s="193" t="str">
        <f t="shared" si="7"/>
        <v/>
      </c>
      <c r="G85" s="199" t="str">
        <f t="shared" si="5"/>
        <v/>
      </c>
      <c r="H85" s="200" t="str">
        <f t="shared" si="8"/>
        <v/>
      </c>
      <c r="I85" s="193"/>
      <c r="J85" s="193"/>
      <c r="K85" s="193"/>
      <c r="L85" s="193"/>
      <c r="M85" s="193"/>
      <c r="N85" s="193"/>
      <c r="O85" s="193"/>
      <c r="P85" s="193"/>
      <c r="Q85" s="193"/>
      <c r="R85" s="193"/>
      <c r="S85" s="193"/>
      <c r="T85" s="193"/>
      <c r="U85" s="193"/>
      <c r="V85" s="193"/>
      <c r="W85" s="193"/>
      <c r="X85" s="193"/>
      <c r="Y85" s="193"/>
      <c r="Z85" s="193"/>
    </row>
    <row r="86" spans="1:26" x14ac:dyDescent="0.25">
      <c r="A86" s="195"/>
      <c r="B86" s="193"/>
      <c r="C86" s="196"/>
      <c r="D86" s="197" t="str" cm="1">
        <f t="array" ref="D86">IF(B86="","",IFERROR(INDEX($L$6:$L$33,MATCH(TRUE,ISNUMBER(SEARCH($K$6:$K$33,B86)),0)),"Review Manually"))</f>
        <v/>
      </c>
      <c r="E86" s="198" t="str">
        <f t="shared" si="6"/>
        <v/>
      </c>
      <c r="F86" s="193" t="str">
        <f t="shared" si="7"/>
        <v/>
      </c>
      <c r="G86" s="199" t="str">
        <f t="shared" si="5"/>
        <v/>
      </c>
      <c r="H86" s="200" t="str">
        <f t="shared" si="8"/>
        <v/>
      </c>
      <c r="I86" s="193"/>
      <c r="J86" s="193"/>
      <c r="K86" s="193"/>
      <c r="L86" s="193"/>
      <c r="M86" s="193"/>
      <c r="N86" s="193"/>
      <c r="O86" s="193"/>
      <c r="P86" s="193"/>
      <c r="Q86" s="193"/>
      <c r="R86" s="193"/>
      <c r="S86" s="193"/>
      <c r="T86" s="193"/>
      <c r="U86" s="193"/>
      <c r="V86" s="193"/>
      <c r="W86" s="193"/>
      <c r="X86" s="193"/>
      <c r="Y86" s="193"/>
      <c r="Z86" s="193"/>
    </row>
    <row r="87" spans="1:26" x14ac:dyDescent="0.25">
      <c r="A87" s="195"/>
      <c r="B87" s="193"/>
      <c r="C87" s="196"/>
      <c r="D87" s="197" t="str" cm="1">
        <f t="array" ref="D87">IF(B87="","",IFERROR(INDEX($L$6:$L$33,MATCH(TRUE,ISNUMBER(SEARCH($K$6:$K$33,B87)),0)),"Review Manually"))</f>
        <v/>
      </c>
      <c r="E87" s="198" t="str">
        <f t="shared" si="6"/>
        <v/>
      </c>
      <c r="F87" s="193" t="str">
        <f t="shared" si="7"/>
        <v/>
      </c>
      <c r="G87" s="199" t="str">
        <f t="shared" si="5"/>
        <v/>
      </c>
      <c r="H87" s="200" t="str">
        <f t="shared" si="8"/>
        <v/>
      </c>
      <c r="I87" s="193"/>
      <c r="J87" s="193"/>
      <c r="K87" s="193"/>
      <c r="L87" s="193"/>
      <c r="M87" s="193"/>
      <c r="N87" s="193"/>
      <c r="O87" s="193"/>
      <c r="P87" s="193"/>
      <c r="Q87" s="193"/>
      <c r="R87" s="193"/>
      <c r="S87" s="193"/>
      <c r="T87" s="193"/>
      <c r="U87" s="193"/>
      <c r="V87" s="193"/>
      <c r="W87" s="193"/>
      <c r="X87" s="193"/>
      <c r="Y87" s="193"/>
      <c r="Z87" s="193"/>
    </row>
    <row r="88" spans="1:26" x14ac:dyDescent="0.25">
      <c r="A88" s="195"/>
      <c r="B88" s="193"/>
      <c r="C88" s="196"/>
      <c r="D88" s="197" t="str" cm="1">
        <f t="array" ref="D88">IF(B88="","",IFERROR(INDEX($L$6:$L$33,MATCH(TRUE,ISNUMBER(SEARCH($K$6:$K$33,B88)),0)),"Review Manually"))</f>
        <v/>
      </c>
      <c r="E88" s="198" t="str">
        <f t="shared" si="6"/>
        <v/>
      </c>
      <c r="F88" s="193" t="str">
        <f t="shared" si="7"/>
        <v/>
      </c>
      <c r="G88" s="199" t="str">
        <f t="shared" si="5"/>
        <v/>
      </c>
      <c r="H88" s="200" t="str">
        <f t="shared" si="8"/>
        <v/>
      </c>
      <c r="I88" s="193"/>
      <c r="J88" s="193"/>
      <c r="K88" s="193"/>
      <c r="L88" s="193"/>
      <c r="M88" s="193"/>
      <c r="N88" s="193"/>
      <c r="O88" s="193"/>
      <c r="P88" s="193"/>
      <c r="Q88" s="193"/>
      <c r="R88" s="193"/>
      <c r="S88" s="193"/>
      <c r="T88" s="193"/>
      <c r="U88" s="193"/>
      <c r="V88" s="193"/>
      <c r="W88" s="193"/>
      <c r="X88" s="193"/>
      <c r="Y88" s="193"/>
      <c r="Z88" s="193"/>
    </row>
    <row r="89" spans="1:26" x14ac:dyDescent="0.25">
      <c r="A89" s="195"/>
      <c r="B89" s="193"/>
      <c r="C89" s="196"/>
      <c r="D89" s="197" t="str" cm="1">
        <f t="array" ref="D89">IF(B89="","",IFERROR(INDEX($L$6:$L$33,MATCH(TRUE,ISNUMBER(SEARCH($K$6:$K$33,B89)),0)),"Review Manually"))</f>
        <v/>
      </c>
      <c r="E89" s="198" t="str">
        <f t="shared" si="6"/>
        <v/>
      </c>
      <c r="F89" s="193" t="str">
        <f t="shared" si="7"/>
        <v/>
      </c>
      <c r="G89" s="199" t="str">
        <f t="shared" si="5"/>
        <v/>
      </c>
      <c r="H89" s="200" t="str">
        <f t="shared" si="8"/>
        <v/>
      </c>
      <c r="I89" s="193"/>
      <c r="J89" s="193"/>
      <c r="K89" s="193"/>
      <c r="L89" s="193"/>
      <c r="M89" s="193"/>
      <c r="N89" s="193"/>
      <c r="O89" s="193"/>
      <c r="P89" s="193"/>
      <c r="Q89" s="193"/>
      <c r="R89" s="193"/>
      <c r="S89" s="193"/>
      <c r="T89" s="193"/>
      <c r="U89" s="193"/>
      <c r="V89" s="193"/>
      <c r="W89" s="193"/>
      <c r="X89" s="193"/>
      <c r="Y89" s="193"/>
      <c r="Z89" s="193"/>
    </row>
    <row r="90" spans="1:26" x14ac:dyDescent="0.25">
      <c r="A90" s="195"/>
      <c r="B90" s="193"/>
      <c r="C90" s="196"/>
      <c r="D90" s="197" t="str" cm="1">
        <f t="array" ref="D90">IF(B90="","",IFERROR(INDEX($L$6:$L$33,MATCH(TRUE,ISNUMBER(SEARCH($K$6:$K$33,B90)),0)),"Review Manually"))</f>
        <v/>
      </c>
      <c r="E90" s="198" t="str">
        <f t="shared" si="6"/>
        <v/>
      </c>
      <c r="F90" s="193" t="str">
        <f t="shared" si="7"/>
        <v/>
      </c>
      <c r="G90" s="199" t="str">
        <f t="shared" si="5"/>
        <v/>
      </c>
      <c r="H90" s="200" t="str">
        <f t="shared" si="8"/>
        <v/>
      </c>
      <c r="I90" s="193"/>
      <c r="J90" s="193"/>
      <c r="K90" s="193"/>
      <c r="L90" s="193"/>
      <c r="M90" s="193"/>
      <c r="N90" s="193"/>
      <c r="O90" s="193"/>
      <c r="P90" s="193"/>
      <c r="Q90" s="193"/>
      <c r="R90" s="193"/>
      <c r="S90" s="193"/>
      <c r="T90" s="193"/>
      <c r="U90" s="193"/>
      <c r="V90" s="193"/>
      <c r="W90" s="193"/>
      <c r="X90" s="193"/>
      <c r="Y90" s="193"/>
      <c r="Z90" s="193"/>
    </row>
    <row r="91" spans="1:26" x14ac:dyDescent="0.25">
      <c r="A91" s="195"/>
      <c r="B91" s="193"/>
      <c r="C91" s="196"/>
      <c r="D91" s="197" t="str" cm="1">
        <f t="array" ref="D91">IF(B91="","",IFERROR(INDEX($L$6:$L$33,MATCH(TRUE,ISNUMBER(SEARCH($K$6:$K$33,B91)),0)),"Review Manually"))</f>
        <v/>
      </c>
      <c r="E91" s="198" t="str">
        <f t="shared" si="6"/>
        <v/>
      </c>
      <c r="F91" s="193" t="str">
        <f t="shared" si="7"/>
        <v/>
      </c>
      <c r="G91" s="199" t="str">
        <f t="shared" si="5"/>
        <v/>
      </c>
      <c r="H91" s="200" t="str">
        <f t="shared" si="8"/>
        <v/>
      </c>
      <c r="I91" s="193"/>
      <c r="J91" s="193"/>
      <c r="K91" s="193"/>
      <c r="L91" s="193"/>
      <c r="M91" s="193"/>
      <c r="N91" s="193"/>
      <c r="O91" s="193"/>
      <c r="P91" s="193"/>
      <c r="Q91" s="193"/>
      <c r="R91" s="193"/>
      <c r="S91" s="193"/>
      <c r="T91" s="193"/>
      <c r="U91" s="193"/>
      <c r="V91" s="193"/>
      <c r="W91" s="193"/>
      <c r="X91" s="193"/>
      <c r="Y91" s="193"/>
      <c r="Z91" s="193"/>
    </row>
    <row r="92" spans="1:26" x14ac:dyDescent="0.25">
      <c r="A92" s="195"/>
      <c r="B92" s="193"/>
      <c r="C92" s="196"/>
      <c r="D92" s="197" t="str" cm="1">
        <f t="array" ref="D92">IF(B92="","",IFERROR(INDEX($L$6:$L$33,MATCH(TRUE,ISNUMBER(SEARCH($K$6:$K$33,B92)),0)),"Review Manually"))</f>
        <v/>
      </c>
      <c r="E92" s="198" t="str">
        <f t="shared" si="6"/>
        <v/>
      </c>
      <c r="F92" s="193" t="str">
        <f t="shared" si="7"/>
        <v/>
      </c>
      <c r="G92" s="199" t="str">
        <f t="shared" si="5"/>
        <v/>
      </c>
      <c r="H92" s="200" t="str">
        <f t="shared" si="8"/>
        <v/>
      </c>
      <c r="I92" s="193"/>
      <c r="J92" s="193"/>
      <c r="K92" s="193"/>
      <c r="L92" s="193"/>
      <c r="M92" s="193"/>
      <c r="N92" s="193"/>
      <c r="O92" s="193"/>
      <c r="P92" s="193"/>
      <c r="Q92" s="193"/>
      <c r="R92" s="193"/>
      <c r="S92" s="193"/>
      <c r="T92" s="193"/>
      <c r="U92" s="193"/>
      <c r="V92" s="193"/>
      <c r="W92" s="193"/>
      <c r="X92" s="193"/>
      <c r="Y92" s="193"/>
      <c r="Z92" s="193"/>
    </row>
    <row r="93" spans="1:26" x14ac:dyDescent="0.25">
      <c r="A93" s="195"/>
      <c r="B93" s="193"/>
      <c r="C93" s="196"/>
      <c r="D93" s="197" t="str" cm="1">
        <f t="array" ref="D93">IF(B93="","",IFERROR(INDEX($L$6:$L$33,MATCH(TRUE,ISNUMBER(SEARCH($K$6:$K$33,B93)),0)),"Review Manually"))</f>
        <v/>
      </c>
      <c r="E93" s="198" t="str">
        <f t="shared" si="6"/>
        <v/>
      </c>
      <c r="F93" s="193" t="str">
        <f t="shared" si="7"/>
        <v/>
      </c>
      <c r="G93" s="199" t="str">
        <f t="shared" si="5"/>
        <v/>
      </c>
      <c r="H93" s="200" t="str">
        <f t="shared" si="8"/>
        <v/>
      </c>
      <c r="I93" s="193"/>
      <c r="J93" s="193"/>
      <c r="K93" s="193"/>
      <c r="L93" s="193"/>
      <c r="M93" s="193"/>
      <c r="N93" s="193"/>
      <c r="O93" s="193"/>
      <c r="P93" s="193"/>
      <c r="Q93" s="193"/>
      <c r="R93" s="193"/>
      <c r="S93" s="193"/>
      <c r="T93" s="193"/>
      <c r="U93" s="193"/>
      <c r="V93" s="193"/>
      <c r="W93" s="193"/>
      <c r="X93" s="193"/>
      <c r="Y93" s="193"/>
      <c r="Z93" s="193"/>
    </row>
    <row r="94" spans="1:26" x14ac:dyDescent="0.25">
      <c r="A94" s="195"/>
      <c r="B94" s="193"/>
      <c r="C94" s="196"/>
      <c r="D94" s="197" t="str" cm="1">
        <f t="array" ref="D94">IF(B94="","",IFERROR(INDEX($L$6:$L$33,MATCH(TRUE,ISNUMBER(SEARCH($K$6:$K$33,B94)),0)),"Review Manually"))</f>
        <v/>
      </c>
      <c r="E94" s="198" t="str">
        <f t="shared" si="6"/>
        <v/>
      </c>
      <c r="F94" s="193" t="str">
        <f t="shared" si="7"/>
        <v/>
      </c>
      <c r="G94" s="199" t="str">
        <f t="shared" si="5"/>
        <v/>
      </c>
      <c r="H94" s="200" t="str">
        <f t="shared" si="8"/>
        <v/>
      </c>
      <c r="I94" s="193"/>
      <c r="J94" s="193"/>
      <c r="K94" s="193"/>
      <c r="L94" s="193"/>
      <c r="M94" s="193"/>
      <c r="N94" s="193"/>
      <c r="O94" s="193"/>
      <c r="P94" s="193"/>
      <c r="Q94" s="193"/>
      <c r="R94" s="193"/>
      <c r="S94" s="193"/>
      <c r="T94" s="193"/>
      <c r="U94" s="193"/>
      <c r="V94" s="193"/>
      <c r="W94" s="193"/>
      <c r="X94" s="193"/>
      <c r="Y94" s="193"/>
      <c r="Z94" s="193"/>
    </row>
    <row r="95" spans="1:26" x14ac:dyDescent="0.25">
      <c r="A95" s="195"/>
      <c r="B95" s="193"/>
      <c r="C95" s="196"/>
      <c r="D95" s="197" t="str" cm="1">
        <f t="array" ref="D95">IF(B95="","",IFERROR(INDEX($L$6:$L$33,MATCH(TRUE,ISNUMBER(SEARCH($K$6:$K$33,B95)),0)),"Review Manually"))</f>
        <v/>
      </c>
      <c r="E95" s="198" t="str">
        <f t="shared" si="6"/>
        <v/>
      </c>
      <c r="F95" s="193" t="str">
        <f t="shared" si="7"/>
        <v/>
      </c>
      <c r="G95" s="199" t="str">
        <f t="shared" si="5"/>
        <v/>
      </c>
      <c r="H95" s="200" t="str">
        <f t="shared" si="8"/>
        <v/>
      </c>
      <c r="I95" s="193"/>
      <c r="J95" s="193"/>
      <c r="K95" s="193"/>
      <c r="L95" s="193"/>
      <c r="M95" s="193"/>
      <c r="N95" s="193"/>
      <c r="O95" s="193"/>
      <c r="P95" s="193"/>
      <c r="Q95" s="193"/>
      <c r="R95" s="193"/>
      <c r="S95" s="193"/>
      <c r="T95" s="193"/>
      <c r="U95" s="193"/>
      <c r="V95" s="193"/>
      <c r="W95" s="193"/>
      <c r="X95" s="193"/>
      <c r="Y95" s="193"/>
      <c r="Z95" s="193"/>
    </row>
    <row r="96" spans="1:26" x14ac:dyDescent="0.25">
      <c r="A96" s="195"/>
      <c r="B96" s="193"/>
      <c r="C96" s="196"/>
      <c r="D96" s="197" t="str" cm="1">
        <f t="array" ref="D96">IF(B96="","",IFERROR(INDEX($L$6:$L$33,MATCH(TRUE,ISNUMBER(SEARCH($K$6:$K$33,B96)),0)),"Review Manually"))</f>
        <v/>
      </c>
      <c r="E96" s="198" t="str">
        <f t="shared" si="6"/>
        <v/>
      </c>
      <c r="F96" s="193" t="str">
        <f t="shared" si="7"/>
        <v/>
      </c>
      <c r="G96" s="199" t="str">
        <f t="shared" si="5"/>
        <v/>
      </c>
      <c r="H96" s="200" t="str">
        <f t="shared" si="8"/>
        <v/>
      </c>
      <c r="I96" s="193"/>
      <c r="J96" s="193"/>
      <c r="K96" s="193"/>
      <c r="L96" s="193"/>
      <c r="M96" s="193"/>
      <c r="N96" s="193"/>
      <c r="O96" s="193"/>
      <c r="P96" s="193"/>
      <c r="Q96" s="193"/>
      <c r="R96" s="193"/>
      <c r="S96" s="193"/>
      <c r="T96" s="193"/>
      <c r="U96" s="193"/>
      <c r="V96" s="193"/>
      <c r="W96" s="193"/>
      <c r="X96" s="193"/>
      <c r="Y96" s="193"/>
      <c r="Z96" s="193"/>
    </row>
    <row r="97" spans="1:26" x14ac:dyDescent="0.25">
      <c r="A97" s="195"/>
      <c r="B97" s="193"/>
      <c r="C97" s="196"/>
      <c r="D97" s="197" t="str" cm="1">
        <f t="array" ref="D97">IF(B97="","",IFERROR(INDEX($L$6:$L$33,MATCH(TRUE,ISNUMBER(SEARCH($K$6:$K$33,B97)),0)),"Review Manually"))</f>
        <v/>
      </c>
      <c r="E97" s="198" t="str">
        <f t="shared" si="6"/>
        <v/>
      </c>
      <c r="F97" s="193" t="str">
        <f t="shared" si="7"/>
        <v/>
      </c>
      <c r="G97" s="199" t="str">
        <f t="shared" si="5"/>
        <v/>
      </c>
      <c r="H97" s="200" t="str">
        <f t="shared" si="8"/>
        <v/>
      </c>
      <c r="I97" s="193"/>
      <c r="J97" s="193"/>
      <c r="K97" s="193"/>
      <c r="L97" s="193"/>
      <c r="M97" s="193"/>
      <c r="N97" s="193"/>
      <c r="O97" s="193"/>
      <c r="P97" s="193"/>
      <c r="Q97" s="193"/>
      <c r="R97" s="193"/>
      <c r="S97" s="193"/>
      <c r="T97" s="193"/>
      <c r="U97" s="193"/>
      <c r="V97" s="193"/>
      <c r="W97" s="193"/>
      <c r="X97" s="193"/>
      <c r="Y97" s="193"/>
      <c r="Z97" s="193"/>
    </row>
    <row r="98" spans="1:26" x14ac:dyDescent="0.25">
      <c r="A98" s="195"/>
      <c r="B98" s="193"/>
      <c r="C98" s="196"/>
      <c r="D98" s="197" t="str" cm="1">
        <f t="array" ref="D98">IF(B98="","",IFERROR(INDEX($L$6:$L$33,MATCH(TRUE,ISNUMBER(SEARCH($K$6:$K$33,B98)),0)),"Review Manually"))</f>
        <v/>
      </c>
      <c r="E98" s="198" t="str">
        <f t="shared" si="6"/>
        <v/>
      </c>
      <c r="F98" s="193" t="str">
        <f t="shared" si="7"/>
        <v/>
      </c>
      <c r="G98" s="199" t="str">
        <f t="shared" si="5"/>
        <v/>
      </c>
      <c r="H98" s="200" t="str">
        <f t="shared" si="8"/>
        <v/>
      </c>
      <c r="I98" s="193"/>
      <c r="J98" s="193"/>
      <c r="K98" s="193"/>
      <c r="L98" s="193"/>
      <c r="M98" s="193"/>
      <c r="N98" s="193"/>
      <c r="O98" s="193"/>
      <c r="P98" s="193"/>
      <c r="Q98" s="193"/>
      <c r="R98" s="193"/>
      <c r="S98" s="193"/>
      <c r="T98" s="193"/>
      <c r="U98" s="193"/>
      <c r="V98" s="193"/>
      <c r="W98" s="193"/>
      <c r="X98" s="193"/>
      <c r="Y98" s="193"/>
      <c r="Z98" s="193"/>
    </row>
    <row r="99" spans="1:26" x14ac:dyDescent="0.25">
      <c r="A99" s="195"/>
      <c r="B99" s="193"/>
      <c r="C99" s="196"/>
      <c r="D99" s="197" t="str" cm="1">
        <f t="array" ref="D99">IF(B99="","",IFERROR(INDEX($L$6:$L$33,MATCH(TRUE,ISNUMBER(SEARCH($K$6:$K$33,B99)),0)),"Review Manually"))</f>
        <v/>
      </c>
      <c r="E99" s="198" t="str">
        <f t="shared" si="6"/>
        <v/>
      </c>
      <c r="F99" s="193" t="str">
        <f t="shared" si="7"/>
        <v/>
      </c>
      <c r="G99" s="199" t="str">
        <f t="shared" si="5"/>
        <v/>
      </c>
      <c r="H99" s="200" t="str">
        <f t="shared" si="8"/>
        <v/>
      </c>
      <c r="I99" s="193"/>
      <c r="J99" s="193"/>
      <c r="K99" s="193"/>
      <c r="L99" s="193"/>
      <c r="M99" s="193"/>
      <c r="N99" s="193"/>
      <c r="O99" s="193"/>
      <c r="P99" s="193"/>
      <c r="Q99" s="193"/>
      <c r="R99" s="193"/>
      <c r="S99" s="193"/>
      <c r="T99" s="193"/>
      <c r="U99" s="193"/>
      <c r="V99" s="193"/>
      <c r="W99" s="193"/>
      <c r="X99" s="193"/>
      <c r="Y99" s="193"/>
      <c r="Z99" s="193"/>
    </row>
    <row r="100" spans="1:26" x14ac:dyDescent="0.25">
      <c r="A100" s="195"/>
      <c r="B100" s="193"/>
      <c r="C100" s="196"/>
      <c r="D100" s="197" t="str" cm="1">
        <f t="array" ref="D100">IF(B100="","",IFERROR(INDEX($L$6:$L$33,MATCH(TRUE,ISNUMBER(SEARCH($K$6:$K$33,B100)),0)),"Review Manually"))</f>
        <v/>
      </c>
      <c r="E100" s="198" t="str">
        <f t="shared" si="6"/>
        <v/>
      </c>
      <c r="F100" s="193" t="str">
        <f t="shared" si="7"/>
        <v/>
      </c>
      <c r="G100" s="199" t="str">
        <f t="shared" si="5"/>
        <v/>
      </c>
      <c r="H100" s="200" t="str">
        <f t="shared" si="8"/>
        <v/>
      </c>
      <c r="I100" s="193"/>
      <c r="J100" s="193"/>
      <c r="K100" s="193"/>
      <c r="L100" s="193"/>
      <c r="M100" s="193"/>
      <c r="N100" s="193"/>
      <c r="O100" s="193"/>
      <c r="P100" s="193"/>
      <c r="Q100" s="193"/>
      <c r="R100" s="193"/>
      <c r="S100" s="193"/>
      <c r="T100" s="193"/>
      <c r="U100" s="193"/>
      <c r="V100" s="193"/>
      <c r="W100" s="193"/>
      <c r="X100" s="193"/>
      <c r="Y100" s="193"/>
      <c r="Z100" s="193"/>
    </row>
    <row r="101" spans="1:26" x14ac:dyDescent="0.25">
      <c r="A101" s="195"/>
      <c r="B101" s="193"/>
      <c r="C101" s="196"/>
      <c r="D101" s="197" t="str" cm="1">
        <f t="array" ref="D101">IF(B101="","",IFERROR(INDEX($L$6:$L$33,MATCH(TRUE,ISNUMBER(SEARCH($K$6:$K$33,B101)),0)),"Review Manually"))</f>
        <v/>
      </c>
      <c r="E101" s="198" t="str">
        <f t="shared" si="6"/>
        <v/>
      </c>
      <c r="F101" s="193" t="str">
        <f t="shared" si="7"/>
        <v/>
      </c>
      <c r="G101" s="199" t="str">
        <f t="shared" si="5"/>
        <v/>
      </c>
      <c r="H101" s="200" t="str">
        <f t="shared" si="8"/>
        <v/>
      </c>
      <c r="I101" s="193"/>
      <c r="J101" s="193"/>
      <c r="K101" s="193"/>
      <c r="L101" s="193"/>
      <c r="M101" s="193"/>
      <c r="N101" s="193"/>
      <c r="O101" s="193"/>
      <c r="P101" s="193"/>
      <c r="Q101" s="193"/>
      <c r="R101" s="193"/>
      <c r="S101" s="193"/>
      <c r="T101" s="193"/>
      <c r="U101" s="193"/>
      <c r="V101" s="193"/>
      <c r="W101" s="193"/>
      <c r="X101" s="193"/>
      <c r="Y101" s="193"/>
      <c r="Z101" s="193"/>
    </row>
    <row r="102" spans="1:26" x14ac:dyDescent="0.25">
      <c r="A102" s="195"/>
      <c r="B102" s="193"/>
      <c r="C102" s="196"/>
      <c r="D102" s="197" t="str" cm="1">
        <f t="array" ref="D102">IF(B102="","",IFERROR(INDEX($L$6:$L$33,MATCH(TRUE,ISNUMBER(SEARCH($K$6:$K$33,B102)),0)),"Review Manually"))</f>
        <v/>
      </c>
      <c r="E102" s="198" t="str">
        <f t="shared" si="6"/>
        <v/>
      </c>
      <c r="F102" s="193" t="str">
        <f t="shared" si="7"/>
        <v/>
      </c>
      <c r="G102" s="199" t="str">
        <f t="shared" ref="G102:G133" si="9">IF(F102="","",IFERROR(_xlfn.XLOOKUP(F102,CategoryList,CategoryTypeList),""))</f>
        <v/>
      </c>
      <c r="H102" s="200" t="str">
        <f t="shared" si="8"/>
        <v/>
      </c>
      <c r="I102" s="193"/>
      <c r="J102" s="193"/>
      <c r="K102" s="193"/>
      <c r="L102" s="193"/>
      <c r="M102" s="193"/>
      <c r="N102" s="193"/>
      <c r="O102" s="193"/>
      <c r="P102" s="193"/>
      <c r="Q102" s="193"/>
      <c r="R102" s="193"/>
      <c r="S102" s="193"/>
      <c r="T102" s="193"/>
      <c r="U102" s="193"/>
      <c r="V102" s="193"/>
      <c r="W102" s="193"/>
      <c r="X102" s="193"/>
      <c r="Y102" s="193"/>
      <c r="Z102" s="193"/>
    </row>
    <row r="103" spans="1:26" x14ac:dyDescent="0.25">
      <c r="A103" s="195"/>
      <c r="B103" s="193"/>
      <c r="C103" s="196"/>
      <c r="D103" s="197" t="str" cm="1">
        <f t="array" ref="D103">IF(B103="","",IFERROR(INDEX($L$6:$L$33,MATCH(TRUE,ISNUMBER(SEARCH($K$6:$K$33,B103)),0)),"Review Manually"))</f>
        <v/>
      </c>
      <c r="E103" s="198" t="str">
        <f t="shared" si="6"/>
        <v/>
      </c>
      <c r="F103" s="193" t="str">
        <f t="shared" si="7"/>
        <v/>
      </c>
      <c r="G103" s="199" t="str">
        <f t="shared" si="9"/>
        <v/>
      </c>
      <c r="H103" s="200" t="str">
        <f t="shared" si="8"/>
        <v/>
      </c>
      <c r="I103" s="193"/>
      <c r="J103" s="193"/>
      <c r="K103" s="193"/>
      <c r="L103" s="193"/>
      <c r="M103" s="193"/>
      <c r="N103" s="193"/>
      <c r="O103" s="193"/>
      <c r="P103" s="193"/>
      <c r="Q103" s="193"/>
      <c r="R103" s="193"/>
      <c r="S103" s="193"/>
      <c r="T103" s="193"/>
      <c r="U103" s="193"/>
      <c r="V103" s="193"/>
      <c r="W103" s="193"/>
      <c r="X103" s="193"/>
      <c r="Y103" s="193"/>
      <c r="Z103" s="193"/>
    </row>
    <row r="104" spans="1:26" x14ac:dyDescent="0.25">
      <c r="A104" s="195"/>
      <c r="B104" s="193"/>
      <c r="C104" s="196"/>
      <c r="D104" s="197" t="str" cm="1">
        <f t="array" ref="D104">IF(B104="","",IFERROR(INDEX($L$6:$L$33,MATCH(TRUE,ISNUMBER(SEARCH($K$6:$K$33,B104)),0)),"Review Manually"))</f>
        <v/>
      </c>
      <c r="E104" s="198" t="str">
        <f t="shared" si="6"/>
        <v/>
      </c>
      <c r="F104" s="193" t="str">
        <f t="shared" si="7"/>
        <v/>
      </c>
      <c r="G104" s="199" t="str">
        <f t="shared" si="9"/>
        <v/>
      </c>
      <c r="H104" s="200" t="str">
        <f t="shared" si="8"/>
        <v/>
      </c>
      <c r="I104" s="193"/>
      <c r="J104" s="193"/>
      <c r="K104" s="193"/>
      <c r="L104" s="193"/>
      <c r="M104" s="193"/>
      <c r="N104" s="193"/>
      <c r="O104" s="193"/>
      <c r="P104" s="193"/>
      <c r="Q104" s="193"/>
      <c r="R104" s="193"/>
      <c r="S104" s="193"/>
      <c r="T104" s="193"/>
      <c r="U104" s="193"/>
      <c r="V104" s="193"/>
      <c r="W104" s="193"/>
      <c r="X104" s="193"/>
      <c r="Y104" s="193"/>
      <c r="Z104" s="193"/>
    </row>
    <row r="105" spans="1:26" x14ac:dyDescent="0.25">
      <c r="A105" s="195"/>
      <c r="B105" s="193"/>
      <c r="C105" s="196"/>
      <c r="D105" s="197" t="str" cm="1">
        <f t="array" ref="D105">IF(B105="","",IFERROR(INDEX($L$6:$L$33,MATCH(TRUE,ISNUMBER(SEARCH($K$6:$K$33,B105)),0)),"Review Manually"))</f>
        <v/>
      </c>
      <c r="E105" s="198" t="str">
        <f t="shared" si="6"/>
        <v/>
      </c>
      <c r="F105" s="193" t="str">
        <f t="shared" si="7"/>
        <v/>
      </c>
      <c r="G105" s="199" t="str">
        <f t="shared" si="9"/>
        <v/>
      </c>
      <c r="H105" s="200" t="str">
        <f t="shared" si="8"/>
        <v/>
      </c>
      <c r="I105" s="193"/>
      <c r="J105" s="193"/>
      <c r="K105" s="193"/>
      <c r="L105" s="193"/>
      <c r="M105" s="193"/>
      <c r="N105" s="193"/>
      <c r="O105" s="193"/>
      <c r="P105" s="193"/>
      <c r="Q105" s="193"/>
      <c r="R105" s="193"/>
      <c r="S105" s="193"/>
      <c r="T105" s="193"/>
      <c r="U105" s="193"/>
      <c r="V105" s="193"/>
      <c r="W105" s="193"/>
      <c r="X105" s="193"/>
      <c r="Y105" s="193"/>
      <c r="Z105" s="193"/>
    </row>
    <row r="106" spans="1:26" x14ac:dyDescent="0.25">
      <c r="A106" s="193"/>
      <c r="B106" s="193"/>
      <c r="C106" s="193"/>
      <c r="D106" s="193"/>
      <c r="E106" s="193"/>
      <c r="F106" s="193"/>
      <c r="G106" s="193"/>
      <c r="H106" s="193"/>
      <c r="I106" s="193"/>
      <c r="J106" s="193"/>
      <c r="K106" s="193"/>
      <c r="L106" s="193"/>
      <c r="M106" s="193"/>
      <c r="N106" s="193"/>
      <c r="O106" s="193"/>
      <c r="P106" s="193"/>
      <c r="Q106" s="193"/>
      <c r="R106" s="193"/>
      <c r="S106" s="193"/>
      <c r="T106" s="193"/>
      <c r="U106" s="193"/>
      <c r="V106" s="193"/>
      <c r="W106" s="193"/>
      <c r="X106" s="193"/>
      <c r="Y106" s="193"/>
      <c r="Z106" s="193"/>
    </row>
    <row r="107" spans="1:26" x14ac:dyDescent="0.25">
      <c r="A107" s="193"/>
      <c r="B107" s="193"/>
      <c r="C107" s="193"/>
      <c r="D107" s="193"/>
      <c r="E107" s="193"/>
      <c r="F107" s="193"/>
      <c r="G107" s="193"/>
      <c r="H107" s="193"/>
      <c r="I107" s="193"/>
      <c r="J107" s="193"/>
      <c r="K107" s="193"/>
      <c r="L107" s="193"/>
      <c r="M107" s="193"/>
      <c r="N107" s="193"/>
      <c r="O107" s="193"/>
      <c r="P107" s="193"/>
      <c r="Q107" s="193"/>
      <c r="R107" s="193"/>
      <c r="S107" s="193"/>
      <c r="T107" s="193"/>
      <c r="U107" s="193"/>
      <c r="V107" s="193"/>
      <c r="W107" s="193"/>
      <c r="X107" s="193"/>
      <c r="Y107" s="193"/>
      <c r="Z107" s="193"/>
    </row>
    <row r="108" spans="1:26" x14ac:dyDescent="0.25">
      <c r="A108" s="193"/>
      <c r="B108" s="193"/>
      <c r="C108" s="193"/>
      <c r="D108" s="193"/>
      <c r="E108" s="193"/>
      <c r="F108" s="193"/>
      <c r="G108" s="193"/>
      <c r="H108" s="193"/>
      <c r="I108" s="193"/>
      <c r="J108" s="193"/>
      <c r="K108" s="193"/>
      <c r="L108" s="193"/>
      <c r="M108" s="193"/>
      <c r="N108" s="193"/>
      <c r="O108" s="193"/>
      <c r="P108" s="193"/>
      <c r="Q108" s="193"/>
      <c r="R108" s="193"/>
      <c r="S108" s="193"/>
      <c r="T108" s="193"/>
      <c r="U108" s="193"/>
      <c r="V108" s="193"/>
      <c r="W108" s="193"/>
      <c r="X108" s="193"/>
      <c r="Y108" s="193"/>
      <c r="Z108" s="193"/>
    </row>
    <row r="109" spans="1:26" x14ac:dyDescent="0.25">
      <c r="A109" s="193"/>
      <c r="B109" s="193"/>
      <c r="C109" s="193"/>
      <c r="D109" s="193"/>
      <c r="E109" s="193"/>
      <c r="F109" s="193"/>
      <c r="G109" s="193"/>
      <c r="H109" s="193"/>
      <c r="I109" s="193"/>
      <c r="J109" s="193"/>
      <c r="K109" s="193"/>
      <c r="L109" s="193"/>
      <c r="M109" s="193"/>
      <c r="N109" s="193"/>
      <c r="O109" s="193"/>
      <c r="P109" s="193"/>
      <c r="Q109" s="193"/>
      <c r="R109" s="193"/>
      <c r="S109" s="193"/>
      <c r="T109" s="193"/>
      <c r="U109" s="193"/>
      <c r="V109" s="193"/>
      <c r="W109" s="193"/>
      <c r="X109" s="193"/>
      <c r="Y109" s="193"/>
      <c r="Z109" s="193"/>
    </row>
    <row r="110" spans="1:26" x14ac:dyDescent="0.25">
      <c r="A110" s="193"/>
      <c r="B110" s="193"/>
      <c r="C110" s="193"/>
      <c r="D110" s="193"/>
      <c r="E110" s="193"/>
      <c r="F110" s="193"/>
      <c r="G110" s="193"/>
      <c r="H110" s="193"/>
      <c r="I110" s="193"/>
      <c r="J110" s="193"/>
      <c r="K110" s="193"/>
      <c r="L110" s="193"/>
      <c r="M110" s="193"/>
      <c r="N110" s="193"/>
      <c r="O110" s="193"/>
      <c r="P110" s="193"/>
      <c r="Q110" s="193"/>
      <c r="R110" s="193"/>
      <c r="S110" s="193"/>
      <c r="T110" s="193"/>
      <c r="U110" s="193"/>
      <c r="V110" s="193"/>
      <c r="W110" s="193"/>
      <c r="X110" s="193"/>
      <c r="Y110" s="193"/>
      <c r="Z110" s="193"/>
    </row>
    <row r="111" spans="1:26" x14ac:dyDescent="0.25">
      <c r="A111" s="193"/>
      <c r="B111" s="193"/>
      <c r="C111" s="193"/>
      <c r="D111" s="193"/>
      <c r="E111" s="193"/>
      <c r="F111" s="193"/>
      <c r="G111" s="193"/>
      <c r="H111" s="193"/>
      <c r="I111" s="193"/>
      <c r="J111" s="193"/>
      <c r="K111" s="193"/>
      <c r="L111" s="193"/>
      <c r="M111" s="193"/>
      <c r="N111" s="193"/>
      <c r="O111" s="193"/>
      <c r="P111" s="193"/>
      <c r="Q111" s="193"/>
      <c r="R111" s="193"/>
      <c r="S111" s="193"/>
      <c r="T111" s="193"/>
      <c r="U111" s="193"/>
      <c r="V111" s="193"/>
      <c r="W111" s="193"/>
      <c r="X111" s="193"/>
      <c r="Y111" s="193"/>
      <c r="Z111" s="193"/>
    </row>
    <row r="112" spans="1:26" x14ac:dyDescent="0.25">
      <c r="A112" s="193"/>
      <c r="B112" s="193"/>
      <c r="C112" s="193"/>
      <c r="D112" s="193"/>
      <c r="E112" s="193"/>
      <c r="F112" s="193"/>
      <c r="G112" s="193"/>
      <c r="H112" s="193"/>
      <c r="I112" s="193"/>
      <c r="J112" s="193"/>
      <c r="K112" s="193"/>
      <c r="L112" s="193"/>
      <c r="M112" s="193"/>
      <c r="N112" s="193"/>
      <c r="O112" s="193"/>
      <c r="P112" s="193"/>
      <c r="Q112" s="193"/>
      <c r="R112" s="193"/>
      <c r="S112" s="193"/>
      <c r="T112" s="193"/>
      <c r="U112" s="193"/>
      <c r="V112" s="193"/>
      <c r="W112" s="193"/>
      <c r="X112" s="193"/>
      <c r="Y112" s="193"/>
      <c r="Z112" s="193"/>
    </row>
    <row r="113" spans="1:26" x14ac:dyDescent="0.25">
      <c r="A113" s="193"/>
      <c r="B113" s="193"/>
      <c r="C113" s="193"/>
      <c r="D113" s="193"/>
      <c r="E113" s="193"/>
      <c r="F113" s="193"/>
      <c r="G113" s="193"/>
      <c r="H113" s="193"/>
      <c r="I113" s="193"/>
      <c r="J113" s="193"/>
      <c r="K113" s="193"/>
      <c r="L113" s="193"/>
      <c r="M113" s="193"/>
      <c r="N113" s="193"/>
      <c r="O113" s="193"/>
      <c r="P113" s="193"/>
      <c r="Q113" s="193"/>
      <c r="R113" s="193"/>
      <c r="S113" s="193"/>
      <c r="T113" s="193"/>
      <c r="U113" s="193"/>
      <c r="V113" s="193"/>
      <c r="W113" s="193"/>
      <c r="X113" s="193"/>
      <c r="Y113" s="193"/>
      <c r="Z113" s="193"/>
    </row>
    <row r="114" spans="1:26" x14ac:dyDescent="0.25">
      <c r="A114" s="193"/>
      <c r="B114" s="193"/>
      <c r="C114" s="193"/>
      <c r="D114" s="193"/>
      <c r="E114" s="193"/>
      <c r="F114" s="193"/>
      <c r="G114" s="193"/>
      <c r="H114" s="193"/>
      <c r="I114" s="193"/>
      <c r="J114" s="193"/>
      <c r="K114" s="193"/>
      <c r="L114" s="193"/>
      <c r="M114" s="193"/>
      <c r="N114" s="193"/>
      <c r="O114" s="193"/>
      <c r="P114" s="193"/>
      <c r="Q114" s="193"/>
      <c r="R114" s="193"/>
      <c r="S114" s="193"/>
      <c r="T114" s="193"/>
      <c r="U114" s="193"/>
      <c r="V114" s="193"/>
      <c r="W114" s="193"/>
      <c r="X114" s="193"/>
      <c r="Y114" s="193"/>
      <c r="Z114" s="193"/>
    </row>
    <row r="115" spans="1:26" x14ac:dyDescent="0.25">
      <c r="A115" s="193"/>
      <c r="B115" s="193"/>
      <c r="C115" s="193"/>
      <c r="D115" s="193"/>
      <c r="E115" s="193"/>
      <c r="F115" s="193"/>
      <c r="G115" s="193"/>
      <c r="H115" s="193"/>
      <c r="I115" s="193"/>
      <c r="J115" s="193"/>
      <c r="K115" s="193"/>
      <c r="L115" s="193"/>
      <c r="M115" s="193"/>
      <c r="N115" s="193"/>
      <c r="O115" s="193"/>
      <c r="P115" s="193"/>
      <c r="Q115" s="193"/>
      <c r="R115" s="193"/>
      <c r="S115" s="193"/>
      <c r="T115" s="193"/>
      <c r="U115" s="193"/>
      <c r="V115" s="193"/>
      <c r="W115" s="193"/>
      <c r="X115" s="193"/>
      <c r="Y115" s="193"/>
      <c r="Z115" s="193"/>
    </row>
    <row r="116" spans="1:26" x14ac:dyDescent="0.25">
      <c r="A116" s="193"/>
      <c r="B116" s="193"/>
      <c r="C116" s="193"/>
      <c r="D116" s="193"/>
      <c r="E116" s="193"/>
      <c r="F116" s="193"/>
      <c r="G116" s="193"/>
      <c r="H116" s="193"/>
      <c r="I116" s="193"/>
      <c r="J116" s="193"/>
      <c r="K116" s="193"/>
      <c r="L116" s="193"/>
      <c r="M116" s="193"/>
      <c r="N116" s="193"/>
      <c r="O116" s="193"/>
      <c r="P116" s="193"/>
      <c r="Q116" s="193"/>
      <c r="R116" s="193"/>
      <c r="S116" s="193"/>
      <c r="T116" s="193"/>
      <c r="U116" s="193"/>
      <c r="V116" s="193"/>
      <c r="W116" s="193"/>
      <c r="X116" s="193"/>
      <c r="Y116" s="193"/>
      <c r="Z116" s="193"/>
    </row>
    <row r="117" spans="1:26" x14ac:dyDescent="0.25">
      <c r="A117" s="193"/>
      <c r="B117" s="193"/>
      <c r="C117" s="193"/>
      <c r="D117" s="193"/>
      <c r="E117" s="193"/>
      <c r="F117" s="193"/>
      <c r="G117" s="193"/>
      <c r="H117" s="193"/>
      <c r="I117" s="193"/>
      <c r="J117" s="193"/>
      <c r="K117" s="193"/>
      <c r="L117" s="193"/>
      <c r="M117" s="193"/>
      <c r="N117" s="193"/>
      <c r="O117" s="193"/>
      <c r="P117" s="193"/>
      <c r="Q117" s="193"/>
      <c r="R117" s="193"/>
      <c r="S117" s="193"/>
      <c r="T117" s="193"/>
      <c r="U117" s="193"/>
      <c r="V117" s="193"/>
      <c r="W117" s="193"/>
      <c r="X117" s="193"/>
      <c r="Y117" s="193"/>
      <c r="Z117" s="193"/>
    </row>
    <row r="118" spans="1:26" x14ac:dyDescent="0.25">
      <c r="A118" s="193"/>
      <c r="B118" s="193"/>
      <c r="C118" s="193"/>
      <c r="D118" s="193"/>
      <c r="E118" s="193"/>
      <c r="F118" s="193"/>
      <c r="G118" s="193"/>
      <c r="H118" s="193"/>
      <c r="I118" s="193"/>
      <c r="J118" s="193"/>
      <c r="K118" s="193"/>
      <c r="L118" s="193"/>
      <c r="M118" s="193"/>
      <c r="N118" s="193"/>
      <c r="O118" s="193"/>
      <c r="P118" s="193"/>
      <c r="Q118" s="193"/>
      <c r="R118" s="193"/>
      <c r="S118" s="193"/>
      <c r="T118" s="193"/>
      <c r="U118" s="193"/>
      <c r="V118" s="193"/>
      <c r="W118" s="193"/>
      <c r="X118" s="193"/>
      <c r="Y118" s="193"/>
      <c r="Z118" s="193"/>
    </row>
    <row r="119" spans="1:26" x14ac:dyDescent="0.25">
      <c r="A119" s="193"/>
      <c r="B119" s="193"/>
      <c r="C119" s="193"/>
      <c r="D119" s="193"/>
      <c r="E119" s="193"/>
      <c r="F119" s="193"/>
      <c r="G119" s="193"/>
      <c r="H119" s="193"/>
      <c r="I119" s="193"/>
      <c r="J119" s="193"/>
      <c r="K119" s="193"/>
      <c r="L119" s="193"/>
      <c r="M119" s="193"/>
      <c r="N119" s="193"/>
      <c r="O119" s="193"/>
      <c r="P119" s="193"/>
      <c r="Q119" s="193"/>
      <c r="R119" s="193"/>
      <c r="S119" s="193"/>
      <c r="T119" s="193"/>
      <c r="U119" s="193"/>
      <c r="V119" s="193"/>
      <c r="W119" s="193"/>
      <c r="X119" s="193"/>
      <c r="Y119" s="193"/>
      <c r="Z119" s="193"/>
    </row>
    <row r="120" spans="1:26" x14ac:dyDescent="0.25">
      <c r="A120" s="193"/>
      <c r="B120" s="193"/>
      <c r="C120" s="193"/>
      <c r="D120" s="193"/>
      <c r="E120" s="193"/>
      <c r="F120" s="193"/>
      <c r="G120" s="193"/>
      <c r="H120" s="193"/>
      <c r="I120" s="193"/>
      <c r="J120" s="193"/>
      <c r="K120" s="193"/>
      <c r="L120" s="193"/>
      <c r="M120" s="193"/>
      <c r="N120" s="193"/>
      <c r="O120" s="193"/>
      <c r="P120" s="193"/>
      <c r="Q120" s="193"/>
      <c r="R120" s="193"/>
      <c r="S120" s="193"/>
      <c r="T120" s="193"/>
      <c r="U120" s="193"/>
      <c r="V120" s="193"/>
      <c r="W120" s="193"/>
      <c r="X120" s="193"/>
      <c r="Y120" s="193"/>
      <c r="Z120" s="193"/>
    </row>
    <row r="121" spans="1:26" x14ac:dyDescent="0.25">
      <c r="A121" s="193"/>
      <c r="B121" s="193"/>
      <c r="C121" s="193"/>
      <c r="D121" s="193"/>
      <c r="E121" s="193"/>
      <c r="F121" s="193"/>
      <c r="G121" s="193"/>
      <c r="H121" s="193"/>
      <c r="I121" s="193"/>
      <c r="J121" s="193"/>
      <c r="K121" s="193"/>
      <c r="L121" s="193"/>
      <c r="M121" s="193"/>
      <c r="N121" s="193"/>
      <c r="O121" s="193"/>
      <c r="P121" s="193"/>
      <c r="Q121" s="193"/>
      <c r="R121" s="193"/>
      <c r="S121" s="193"/>
      <c r="T121" s="193"/>
      <c r="U121" s="193"/>
      <c r="V121" s="193"/>
      <c r="W121" s="193"/>
      <c r="X121" s="193"/>
      <c r="Y121" s="193"/>
      <c r="Z121" s="193"/>
    </row>
    <row r="122" spans="1:26" x14ac:dyDescent="0.25">
      <c r="A122" s="193"/>
      <c r="B122" s="193"/>
      <c r="C122" s="193"/>
      <c r="D122" s="193"/>
      <c r="E122" s="193"/>
      <c r="F122" s="193"/>
      <c r="G122" s="193"/>
      <c r="H122" s="193"/>
      <c r="I122" s="193"/>
      <c r="J122" s="193"/>
      <c r="K122" s="193"/>
      <c r="L122" s="193"/>
      <c r="M122" s="193"/>
      <c r="N122" s="193"/>
      <c r="O122" s="193"/>
      <c r="P122" s="193"/>
      <c r="Q122" s="193"/>
      <c r="R122" s="193"/>
      <c r="S122" s="193"/>
      <c r="T122" s="193"/>
      <c r="U122" s="193"/>
      <c r="V122" s="193"/>
      <c r="W122" s="193"/>
      <c r="X122" s="193"/>
      <c r="Y122" s="193"/>
      <c r="Z122" s="193"/>
    </row>
    <row r="123" spans="1:26" x14ac:dyDescent="0.25">
      <c r="A123" s="193"/>
      <c r="B123" s="193"/>
      <c r="C123" s="193"/>
      <c r="D123" s="193"/>
      <c r="E123" s="193"/>
      <c r="F123" s="193"/>
      <c r="G123" s="193"/>
      <c r="H123" s="193"/>
      <c r="I123" s="193"/>
      <c r="J123" s="193"/>
      <c r="K123" s="193"/>
      <c r="L123" s="193"/>
      <c r="M123" s="193"/>
      <c r="N123" s="193"/>
      <c r="O123" s="193"/>
      <c r="P123" s="193"/>
      <c r="Q123" s="193"/>
      <c r="R123" s="193"/>
      <c r="S123" s="193"/>
      <c r="T123" s="193"/>
      <c r="U123" s="193"/>
      <c r="V123" s="193"/>
      <c r="W123" s="193"/>
      <c r="X123" s="193"/>
      <c r="Y123" s="193"/>
      <c r="Z123" s="193"/>
    </row>
    <row r="124" spans="1:26" x14ac:dyDescent="0.25">
      <c r="A124" s="193"/>
      <c r="B124" s="193"/>
      <c r="C124" s="193"/>
      <c r="D124" s="193"/>
      <c r="E124" s="193"/>
      <c r="F124" s="193"/>
      <c r="G124" s="193"/>
      <c r="H124" s="193"/>
      <c r="I124" s="193"/>
      <c r="J124" s="193"/>
      <c r="K124" s="193"/>
      <c r="L124" s="193"/>
      <c r="M124" s="193"/>
      <c r="N124" s="193"/>
      <c r="O124" s="193"/>
      <c r="P124" s="193"/>
      <c r="Q124" s="193"/>
      <c r="R124" s="193"/>
      <c r="S124" s="193"/>
      <c r="T124" s="193"/>
      <c r="U124" s="193"/>
      <c r="V124" s="193"/>
      <c r="W124" s="193"/>
      <c r="X124" s="193"/>
      <c r="Y124" s="193"/>
      <c r="Z124" s="193"/>
    </row>
    <row r="125" spans="1:26" x14ac:dyDescent="0.25">
      <c r="A125" s="193"/>
      <c r="B125" s="193"/>
      <c r="C125" s="193"/>
      <c r="D125" s="193"/>
      <c r="E125" s="193"/>
      <c r="F125" s="193"/>
      <c r="G125" s="193"/>
      <c r="H125" s="193"/>
      <c r="I125" s="193"/>
      <c r="J125" s="193"/>
      <c r="K125" s="193"/>
      <c r="L125" s="193"/>
      <c r="M125" s="193"/>
      <c r="N125" s="193"/>
      <c r="O125" s="193"/>
      <c r="P125" s="193"/>
      <c r="Q125" s="193"/>
      <c r="R125" s="193"/>
      <c r="S125" s="193"/>
      <c r="T125" s="193"/>
      <c r="U125" s="193"/>
      <c r="V125" s="193"/>
      <c r="W125" s="193"/>
      <c r="X125" s="193"/>
      <c r="Y125" s="193"/>
      <c r="Z125" s="193"/>
    </row>
    <row r="126" spans="1:26" x14ac:dyDescent="0.25">
      <c r="A126" s="193"/>
      <c r="B126" s="193"/>
      <c r="C126" s="193"/>
      <c r="D126" s="193"/>
      <c r="E126" s="193"/>
      <c r="F126" s="193"/>
      <c r="G126" s="193"/>
      <c r="H126" s="193"/>
      <c r="I126" s="193"/>
      <c r="J126" s="193"/>
      <c r="K126" s="193"/>
      <c r="L126" s="193"/>
      <c r="M126" s="193"/>
      <c r="N126" s="193"/>
      <c r="O126" s="193"/>
      <c r="P126" s="193"/>
      <c r="Q126" s="193"/>
      <c r="R126" s="193"/>
      <c r="S126" s="193"/>
      <c r="T126" s="193"/>
      <c r="U126" s="193"/>
      <c r="V126" s="193"/>
      <c r="W126" s="193"/>
      <c r="X126" s="193"/>
      <c r="Y126" s="193"/>
      <c r="Z126" s="193"/>
    </row>
    <row r="127" spans="1:26" x14ac:dyDescent="0.25">
      <c r="A127" s="193"/>
      <c r="B127" s="193"/>
      <c r="C127" s="193"/>
      <c r="D127" s="193"/>
      <c r="E127" s="193"/>
      <c r="F127" s="193"/>
      <c r="G127" s="193"/>
      <c r="H127" s="193"/>
      <c r="I127" s="193"/>
      <c r="J127" s="193"/>
      <c r="K127" s="193"/>
      <c r="L127" s="193"/>
      <c r="M127" s="193"/>
      <c r="N127" s="193"/>
      <c r="O127" s="193"/>
      <c r="P127" s="193"/>
      <c r="Q127" s="193"/>
      <c r="R127" s="193"/>
      <c r="S127" s="193"/>
      <c r="T127" s="193"/>
      <c r="U127" s="193"/>
      <c r="V127" s="193"/>
      <c r="W127" s="193"/>
      <c r="X127" s="193"/>
      <c r="Y127" s="193"/>
      <c r="Z127" s="193"/>
    </row>
    <row r="128" spans="1:26" x14ac:dyDescent="0.25">
      <c r="A128" s="193"/>
      <c r="B128" s="193"/>
      <c r="C128" s="193"/>
      <c r="D128" s="193"/>
      <c r="E128" s="193"/>
      <c r="F128" s="193"/>
      <c r="G128" s="193"/>
      <c r="H128" s="193"/>
      <c r="I128" s="193"/>
      <c r="J128" s="193"/>
      <c r="K128" s="193"/>
      <c r="L128" s="193"/>
      <c r="M128" s="193"/>
      <c r="N128" s="193"/>
      <c r="O128" s="193"/>
      <c r="P128" s="193"/>
      <c r="Q128" s="193"/>
      <c r="R128" s="193"/>
      <c r="S128" s="193"/>
      <c r="T128" s="193"/>
      <c r="U128" s="193"/>
      <c r="V128" s="193"/>
      <c r="W128" s="193"/>
      <c r="X128" s="193"/>
      <c r="Y128" s="193"/>
      <c r="Z128" s="193"/>
    </row>
    <row r="129" spans="1:26" x14ac:dyDescent="0.25">
      <c r="A129" s="193"/>
      <c r="B129" s="193"/>
      <c r="C129" s="193"/>
      <c r="D129" s="193"/>
      <c r="E129" s="193"/>
      <c r="F129" s="193"/>
      <c r="G129" s="193"/>
      <c r="H129" s="193"/>
      <c r="I129" s="193"/>
      <c r="J129" s="193"/>
      <c r="K129" s="193"/>
      <c r="L129" s="193"/>
      <c r="M129" s="193"/>
      <c r="N129" s="193"/>
      <c r="O129" s="193"/>
      <c r="P129" s="193"/>
      <c r="Q129" s="193"/>
      <c r="R129" s="193"/>
      <c r="S129" s="193"/>
      <c r="T129" s="193"/>
      <c r="U129" s="193"/>
      <c r="V129" s="193"/>
      <c r="W129" s="193"/>
      <c r="X129" s="193"/>
      <c r="Y129" s="193"/>
      <c r="Z129" s="193"/>
    </row>
    <row r="130" spans="1:26" x14ac:dyDescent="0.25">
      <c r="A130" s="193"/>
      <c r="B130" s="193"/>
      <c r="C130" s="193"/>
      <c r="D130" s="193"/>
      <c r="E130" s="193"/>
      <c r="F130" s="193"/>
      <c r="G130" s="193"/>
      <c r="H130" s="193"/>
      <c r="I130" s="193"/>
      <c r="J130" s="193"/>
      <c r="K130" s="193"/>
      <c r="L130" s="193"/>
      <c r="M130" s="193"/>
      <c r="N130" s="193"/>
      <c r="O130" s="193"/>
      <c r="P130" s="193"/>
      <c r="Q130" s="193"/>
      <c r="R130" s="193"/>
      <c r="S130" s="193"/>
      <c r="T130" s="193"/>
      <c r="U130" s="193"/>
      <c r="V130" s="193"/>
      <c r="W130" s="193"/>
      <c r="X130" s="193"/>
      <c r="Y130" s="193"/>
      <c r="Z130" s="193"/>
    </row>
    <row r="131" spans="1:26" x14ac:dyDescent="0.25">
      <c r="A131" s="193"/>
      <c r="B131" s="193"/>
      <c r="C131" s="193"/>
      <c r="D131" s="193"/>
      <c r="E131" s="193"/>
      <c r="F131" s="193"/>
      <c r="G131" s="193"/>
      <c r="H131" s="193"/>
      <c r="I131" s="193"/>
      <c r="J131" s="193"/>
      <c r="K131" s="193"/>
      <c r="L131" s="193"/>
      <c r="M131" s="193"/>
      <c r="N131" s="193"/>
      <c r="O131" s="193"/>
      <c r="P131" s="193"/>
      <c r="Q131" s="193"/>
      <c r="R131" s="193"/>
      <c r="S131" s="193"/>
      <c r="T131" s="193"/>
      <c r="U131" s="193"/>
      <c r="V131" s="193"/>
      <c r="W131" s="193"/>
      <c r="X131" s="193"/>
      <c r="Y131" s="193"/>
      <c r="Z131" s="193"/>
    </row>
    <row r="132" spans="1:26" x14ac:dyDescent="0.25">
      <c r="A132" s="193"/>
      <c r="B132" s="193"/>
      <c r="C132" s="193"/>
      <c r="D132" s="193"/>
      <c r="E132" s="193"/>
      <c r="F132" s="193"/>
      <c r="G132" s="193"/>
      <c r="H132" s="193"/>
      <c r="I132" s="193"/>
      <c r="J132" s="193"/>
      <c r="K132" s="193"/>
      <c r="L132" s="193"/>
      <c r="M132" s="193"/>
      <c r="N132" s="193"/>
      <c r="O132" s="193"/>
      <c r="P132" s="193"/>
      <c r="Q132" s="193"/>
      <c r="R132" s="193"/>
      <c r="S132" s="193"/>
      <c r="T132" s="193"/>
      <c r="U132" s="193"/>
      <c r="V132" s="193"/>
      <c r="W132" s="193"/>
      <c r="X132" s="193"/>
      <c r="Y132" s="193"/>
      <c r="Z132" s="193"/>
    </row>
    <row r="133" spans="1:26" x14ac:dyDescent="0.25">
      <c r="A133" s="193"/>
      <c r="B133" s="193"/>
      <c r="C133" s="193"/>
      <c r="D133" s="193"/>
      <c r="E133" s="193"/>
      <c r="F133" s="193"/>
      <c r="G133" s="193"/>
      <c r="H133" s="193"/>
      <c r="I133" s="193"/>
      <c r="J133" s="193"/>
      <c r="K133" s="193"/>
      <c r="L133" s="193"/>
      <c r="M133" s="193"/>
      <c r="N133" s="193"/>
      <c r="O133" s="193"/>
      <c r="P133" s="193"/>
      <c r="Q133" s="193"/>
      <c r="R133" s="193"/>
      <c r="S133" s="193"/>
      <c r="T133" s="193"/>
      <c r="U133" s="193"/>
      <c r="V133" s="193"/>
      <c r="W133" s="193"/>
      <c r="X133" s="193"/>
      <c r="Y133" s="193"/>
      <c r="Z133" s="193"/>
    </row>
    <row r="134" spans="1:26" x14ac:dyDescent="0.25">
      <c r="A134" s="193"/>
      <c r="B134" s="193"/>
      <c r="C134" s="193"/>
      <c r="D134" s="193"/>
      <c r="E134" s="193"/>
      <c r="F134" s="193"/>
      <c r="G134" s="193"/>
      <c r="H134" s="193"/>
      <c r="I134" s="193"/>
      <c r="J134" s="193"/>
      <c r="K134" s="193"/>
      <c r="L134" s="193"/>
      <c r="M134" s="193"/>
      <c r="N134" s="193"/>
      <c r="O134" s="193"/>
      <c r="P134" s="193"/>
      <c r="Q134" s="193"/>
      <c r="R134" s="193"/>
      <c r="S134" s="193"/>
      <c r="T134" s="193"/>
      <c r="U134" s="193"/>
      <c r="V134" s="193"/>
      <c r="W134" s="193"/>
      <c r="X134" s="193"/>
      <c r="Y134" s="193"/>
      <c r="Z134" s="193"/>
    </row>
    <row r="135" spans="1:26" x14ac:dyDescent="0.25">
      <c r="A135" s="193"/>
      <c r="B135" s="193"/>
      <c r="C135" s="193"/>
      <c r="D135" s="193"/>
      <c r="E135" s="193"/>
      <c r="F135" s="193"/>
      <c r="G135" s="193"/>
      <c r="H135" s="193"/>
      <c r="I135" s="193"/>
      <c r="J135" s="193"/>
      <c r="K135" s="193"/>
      <c r="L135" s="193"/>
      <c r="M135" s="193"/>
      <c r="N135" s="193"/>
      <c r="O135" s="193"/>
      <c r="P135" s="193"/>
      <c r="Q135" s="193"/>
      <c r="R135" s="193"/>
      <c r="S135" s="193"/>
      <c r="T135" s="193"/>
      <c r="U135" s="193"/>
      <c r="V135" s="193"/>
      <c r="W135" s="193"/>
      <c r="X135" s="193"/>
      <c r="Y135" s="193"/>
      <c r="Z135" s="193"/>
    </row>
    <row r="136" spans="1:26" x14ac:dyDescent="0.25">
      <c r="A136" s="193"/>
      <c r="B136" s="193"/>
      <c r="C136" s="193"/>
      <c r="D136" s="193"/>
      <c r="E136" s="193"/>
      <c r="F136" s="193"/>
      <c r="G136" s="193"/>
      <c r="H136" s="193"/>
      <c r="I136" s="193"/>
      <c r="J136" s="193"/>
      <c r="K136" s="193"/>
      <c r="L136" s="193"/>
      <c r="M136" s="193"/>
      <c r="N136" s="193"/>
      <c r="O136" s="193"/>
      <c r="P136" s="193"/>
      <c r="Q136" s="193"/>
      <c r="R136" s="193"/>
      <c r="S136" s="193"/>
      <c r="T136" s="193"/>
      <c r="U136" s="193"/>
      <c r="V136" s="193"/>
      <c r="W136" s="193"/>
      <c r="X136" s="193"/>
      <c r="Y136" s="193"/>
      <c r="Z136" s="193"/>
    </row>
    <row r="137" spans="1:26" x14ac:dyDescent="0.25">
      <c r="A137" s="193"/>
      <c r="B137" s="193"/>
      <c r="C137" s="193"/>
      <c r="D137" s="193"/>
      <c r="E137" s="193"/>
      <c r="F137" s="193"/>
      <c r="G137" s="193"/>
      <c r="H137" s="193"/>
      <c r="I137" s="193"/>
      <c r="J137" s="193"/>
      <c r="K137" s="193"/>
      <c r="L137" s="193"/>
      <c r="M137" s="193"/>
      <c r="N137" s="193"/>
      <c r="O137" s="193"/>
      <c r="P137" s="193"/>
      <c r="Q137" s="193"/>
      <c r="R137" s="193"/>
      <c r="S137" s="193"/>
      <c r="T137" s="193"/>
      <c r="U137" s="193"/>
      <c r="V137" s="193"/>
      <c r="W137" s="193"/>
      <c r="X137" s="193"/>
      <c r="Y137" s="193"/>
      <c r="Z137" s="193"/>
    </row>
    <row r="138" spans="1:26" x14ac:dyDescent="0.25">
      <c r="A138" s="193"/>
      <c r="B138" s="193"/>
      <c r="C138" s="193"/>
      <c r="D138" s="193"/>
      <c r="E138" s="193"/>
      <c r="F138" s="193"/>
      <c r="G138" s="193"/>
      <c r="H138" s="193"/>
      <c r="I138" s="193"/>
      <c r="J138" s="193"/>
      <c r="K138" s="193"/>
      <c r="L138" s="193"/>
      <c r="M138" s="193"/>
      <c r="N138" s="193"/>
      <c r="O138" s="193"/>
      <c r="P138" s="193"/>
      <c r="Q138" s="193"/>
      <c r="R138" s="193"/>
      <c r="S138" s="193"/>
      <c r="T138" s="193"/>
      <c r="U138" s="193"/>
      <c r="V138" s="193"/>
      <c r="W138" s="193"/>
      <c r="X138" s="193"/>
      <c r="Y138" s="193"/>
      <c r="Z138" s="193"/>
    </row>
    <row r="139" spans="1:26" x14ac:dyDescent="0.25">
      <c r="A139" s="193"/>
      <c r="B139" s="193"/>
      <c r="C139" s="193"/>
      <c r="D139" s="193"/>
      <c r="E139" s="193"/>
      <c r="F139" s="193"/>
      <c r="G139" s="193"/>
      <c r="H139" s="193"/>
      <c r="I139" s="193"/>
      <c r="J139" s="193"/>
      <c r="K139" s="193"/>
      <c r="L139" s="193"/>
      <c r="M139" s="193"/>
      <c r="N139" s="193"/>
      <c r="O139" s="193"/>
      <c r="P139" s="193"/>
      <c r="Q139" s="193"/>
      <c r="R139" s="193"/>
      <c r="S139" s="193"/>
      <c r="T139" s="193"/>
      <c r="U139" s="193"/>
      <c r="V139" s="193"/>
      <c r="W139" s="193"/>
      <c r="X139" s="193"/>
      <c r="Y139" s="193"/>
      <c r="Z139" s="193"/>
    </row>
    <row r="140" spans="1:26" x14ac:dyDescent="0.25">
      <c r="A140" s="193"/>
      <c r="B140" s="193"/>
      <c r="C140" s="193"/>
      <c r="D140" s="193"/>
      <c r="E140" s="193"/>
      <c r="F140" s="193"/>
      <c r="G140" s="193"/>
      <c r="H140" s="193"/>
      <c r="I140" s="193"/>
      <c r="J140" s="193"/>
      <c r="K140" s="193"/>
      <c r="L140" s="193"/>
      <c r="M140" s="193"/>
      <c r="N140" s="193"/>
      <c r="O140" s="193"/>
      <c r="P140" s="193"/>
      <c r="Q140" s="193"/>
      <c r="R140" s="193"/>
      <c r="S140" s="193"/>
      <c r="T140" s="193"/>
      <c r="U140" s="193"/>
      <c r="V140" s="193"/>
      <c r="W140" s="193"/>
      <c r="X140" s="193"/>
      <c r="Y140" s="193"/>
      <c r="Z140" s="193"/>
    </row>
    <row r="141" spans="1:26" x14ac:dyDescent="0.25">
      <c r="A141" s="193"/>
      <c r="B141" s="193"/>
      <c r="C141" s="193"/>
      <c r="D141" s="193"/>
      <c r="E141" s="193"/>
      <c r="F141" s="193"/>
      <c r="G141" s="193"/>
      <c r="H141" s="193"/>
      <c r="I141" s="193"/>
      <c r="J141" s="193"/>
      <c r="K141" s="193"/>
      <c r="L141" s="193"/>
      <c r="M141" s="193"/>
      <c r="N141" s="193"/>
      <c r="O141" s="193"/>
      <c r="P141" s="193"/>
      <c r="Q141" s="193"/>
      <c r="R141" s="193"/>
      <c r="S141" s="193"/>
      <c r="T141" s="193"/>
      <c r="U141" s="193"/>
      <c r="V141" s="193"/>
      <c r="W141" s="193"/>
      <c r="X141" s="193"/>
      <c r="Y141" s="193"/>
      <c r="Z141" s="193"/>
    </row>
    <row r="142" spans="1:26" x14ac:dyDescent="0.25">
      <c r="A142" s="193"/>
      <c r="B142" s="193"/>
      <c r="C142" s="193"/>
      <c r="D142" s="193"/>
      <c r="E142" s="193"/>
      <c r="F142" s="193"/>
      <c r="G142" s="193"/>
      <c r="H142" s="193"/>
      <c r="I142" s="193"/>
      <c r="J142" s="193"/>
      <c r="K142" s="193"/>
      <c r="L142" s="193"/>
      <c r="M142" s="193"/>
      <c r="N142" s="193"/>
      <c r="O142" s="193"/>
      <c r="P142" s="193"/>
      <c r="Q142" s="193"/>
      <c r="R142" s="193"/>
      <c r="S142" s="193"/>
      <c r="T142" s="193"/>
      <c r="U142" s="193"/>
      <c r="V142" s="193"/>
      <c r="W142" s="193"/>
      <c r="X142" s="193"/>
      <c r="Y142" s="193"/>
      <c r="Z142" s="193"/>
    </row>
    <row r="143" spans="1:26" x14ac:dyDescent="0.25">
      <c r="A143" s="193"/>
      <c r="B143" s="193"/>
      <c r="C143" s="193"/>
      <c r="D143" s="193"/>
      <c r="E143" s="193"/>
      <c r="F143" s="193"/>
      <c r="G143" s="193"/>
      <c r="H143" s="193"/>
      <c r="I143" s="193"/>
      <c r="J143" s="193"/>
      <c r="K143" s="193"/>
      <c r="L143" s="193"/>
      <c r="M143" s="193"/>
      <c r="N143" s="193"/>
      <c r="O143" s="193"/>
      <c r="P143" s="193"/>
      <c r="Q143" s="193"/>
      <c r="R143" s="193"/>
      <c r="S143" s="193"/>
      <c r="T143" s="193"/>
      <c r="U143" s="193"/>
      <c r="V143" s="193"/>
      <c r="W143" s="193"/>
      <c r="X143" s="193"/>
      <c r="Y143" s="193"/>
      <c r="Z143" s="193"/>
    </row>
    <row r="144" spans="1:26" x14ac:dyDescent="0.25">
      <c r="A144" s="193"/>
      <c r="B144" s="193"/>
      <c r="C144" s="193"/>
      <c r="D144" s="193"/>
      <c r="E144" s="193"/>
      <c r="F144" s="193"/>
      <c r="G144" s="193"/>
      <c r="H144" s="193"/>
      <c r="I144" s="193"/>
      <c r="J144" s="193"/>
      <c r="K144" s="193"/>
      <c r="L144" s="193"/>
      <c r="M144" s="193"/>
      <c r="N144" s="193"/>
      <c r="O144" s="193"/>
      <c r="P144" s="193"/>
      <c r="Q144" s="193"/>
      <c r="R144" s="193"/>
      <c r="S144" s="193"/>
      <c r="T144" s="193"/>
      <c r="U144" s="193"/>
      <c r="V144" s="193"/>
      <c r="W144" s="193"/>
      <c r="X144" s="193"/>
      <c r="Y144" s="193"/>
      <c r="Z144" s="193"/>
    </row>
    <row r="145" spans="1:26" x14ac:dyDescent="0.25">
      <c r="A145" s="193"/>
      <c r="B145" s="193"/>
      <c r="C145" s="193"/>
      <c r="D145" s="193"/>
      <c r="E145" s="193"/>
      <c r="F145" s="193"/>
      <c r="G145" s="193"/>
      <c r="H145" s="193"/>
      <c r="I145" s="193"/>
      <c r="J145" s="193"/>
      <c r="K145" s="193"/>
      <c r="L145" s="193"/>
      <c r="M145" s="193"/>
      <c r="N145" s="193"/>
      <c r="O145" s="193"/>
      <c r="P145" s="193"/>
      <c r="Q145" s="193"/>
      <c r="R145" s="193"/>
      <c r="S145" s="193"/>
      <c r="T145" s="193"/>
      <c r="U145" s="193"/>
      <c r="V145" s="193"/>
      <c r="W145" s="193"/>
      <c r="X145" s="193"/>
      <c r="Y145" s="193"/>
      <c r="Z145" s="193"/>
    </row>
    <row r="146" spans="1:26" x14ac:dyDescent="0.25">
      <c r="A146" s="193"/>
      <c r="B146" s="193"/>
      <c r="C146" s="193"/>
      <c r="D146" s="193"/>
      <c r="E146" s="193"/>
      <c r="F146" s="193"/>
      <c r="G146" s="193"/>
      <c r="H146" s="193"/>
      <c r="I146" s="193"/>
      <c r="J146" s="193"/>
      <c r="K146" s="193"/>
      <c r="L146" s="193"/>
      <c r="M146" s="193"/>
      <c r="N146" s="193"/>
      <c r="O146" s="193"/>
      <c r="P146" s="193"/>
      <c r="Q146" s="193"/>
      <c r="R146" s="193"/>
      <c r="S146" s="193"/>
      <c r="T146" s="193"/>
      <c r="U146" s="193"/>
      <c r="V146" s="193"/>
      <c r="W146" s="193"/>
      <c r="X146" s="193"/>
      <c r="Y146" s="193"/>
      <c r="Z146" s="193"/>
    </row>
    <row r="147" spans="1:26" x14ac:dyDescent="0.25">
      <c r="A147" s="193"/>
      <c r="B147" s="193"/>
      <c r="C147" s="193"/>
      <c r="D147" s="193"/>
      <c r="E147" s="193"/>
      <c r="F147" s="193"/>
      <c r="G147" s="193"/>
      <c r="H147" s="193"/>
      <c r="I147" s="193"/>
      <c r="J147" s="193"/>
      <c r="K147" s="193"/>
      <c r="L147" s="193"/>
      <c r="M147" s="193"/>
      <c r="N147" s="193"/>
      <c r="O147" s="193"/>
      <c r="P147" s="193"/>
      <c r="Q147" s="193"/>
      <c r="R147" s="193"/>
      <c r="S147" s="193"/>
      <c r="T147" s="193"/>
      <c r="U147" s="193"/>
      <c r="V147" s="193"/>
      <c r="W147" s="193"/>
      <c r="X147" s="193"/>
      <c r="Y147" s="193"/>
      <c r="Z147" s="193"/>
    </row>
    <row r="148" spans="1:26" x14ac:dyDescent="0.25">
      <c r="A148" s="193"/>
      <c r="B148" s="193"/>
      <c r="C148" s="193"/>
      <c r="D148" s="193"/>
      <c r="E148" s="193"/>
      <c r="F148" s="193"/>
      <c r="G148" s="193"/>
      <c r="H148" s="193"/>
      <c r="I148" s="193"/>
      <c r="J148" s="193"/>
      <c r="K148" s="193"/>
      <c r="L148" s="193"/>
      <c r="M148" s="193"/>
      <c r="N148" s="193"/>
      <c r="O148" s="193"/>
      <c r="P148" s="193"/>
      <c r="Q148" s="193"/>
      <c r="R148" s="193"/>
      <c r="S148" s="193"/>
      <c r="T148" s="193"/>
      <c r="U148" s="193"/>
      <c r="V148" s="193"/>
      <c r="W148" s="193"/>
      <c r="X148" s="193"/>
      <c r="Y148" s="193"/>
      <c r="Z148" s="193"/>
    </row>
    <row r="149" spans="1:26" x14ac:dyDescent="0.25">
      <c r="A149" s="193"/>
      <c r="B149" s="193"/>
      <c r="C149" s="193"/>
      <c r="D149" s="193"/>
      <c r="E149" s="193"/>
      <c r="F149" s="193"/>
      <c r="G149" s="193"/>
      <c r="H149" s="193"/>
      <c r="I149" s="193"/>
      <c r="J149" s="193"/>
      <c r="K149" s="193"/>
      <c r="L149" s="193"/>
      <c r="M149" s="193"/>
      <c r="N149" s="193"/>
      <c r="O149" s="193"/>
      <c r="P149" s="193"/>
      <c r="Q149" s="193"/>
      <c r="R149" s="193"/>
      <c r="S149" s="193"/>
      <c r="T149" s="193"/>
      <c r="U149" s="193"/>
      <c r="V149" s="193"/>
      <c r="W149" s="193"/>
      <c r="X149" s="193"/>
      <c r="Y149" s="193"/>
      <c r="Z149" s="193"/>
    </row>
    <row r="150" spans="1:26" x14ac:dyDescent="0.25">
      <c r="A150" s="193"/>
      <c r="B150" s="193"/>
      <c r="C150" s="193"/>
      <c r="D150" s="193"/>
      <c r="E150" s="193"/>
      <c r="F150" s="193"/>
      <c r="G150" s="193"/>
      <c r="H150" s="193"/>
      <c r="I150" s="193"/>
      <c r="J150" s="193"/>
      <c r="K150" s="193"/>
      <c r="L150" s="193"/>
      <c r="M150" s="193"/>
      <c r="N150" s="193"/>
      <c r="O150" s="193"/>
      <c r="P150" s="193"/>
      <c r="Q150" s="193"/>
      <c r="R150" s="193"/>
      <c r="S150" s="193"/>
      <c r="T150" s="193"/>
      <c r="U150" s="193"/>
      <c r="V150" s="193"/>
      <c r="W150" s="193"/>
      <c r="X150" s="193"/>
      <c r="Y150" s="193"/>
      <c r="Z150" s="193"/>
    </row>
    <row r="151" spans="1:26" x14ac:dyDescent="0.25">
      <c r="A151" s="193"/>
      <c r="B151" s="193"/>
      <c r="C151" s="193"/>
      <c r="D151" s="193"/>
      <c r="E151" s="193"/>
      <c r="F151" s="193"/>
      <c r="G151" s="193"/>
      <c r="H151" s="193"/>
      <c r="I151" s="193"/>
      <c r="J151" s="193"/>
      <c r="K151" s="193"/>
      <c r="L151" s="193"/>
      <c r="M151" s="193"/>
      <c r="N151" s="193"/>
      <c r="O151" s="193"/>
      <c r="P151" s="193"/>
      <c r="Q151" s="193"/>
      <c r="R151" s="193"/>
      <c r="S151" s="193"/>
      <c r="T151" s="193"/>
      <c r="U151" s="193"/>
      <c r="V151" s="193"/>
      <c r="W151" s="193"/>
      <c r="X151" s="193"/>
      <c r="Y151" s="193"/>
      <c r="Z151" s="193"/>
    </row>
    <row r="152" spans="1:26" x14ac:dyDescent="0.25">
      <c r="A152" s="193"/>
      <c r="B152" s="193"/>
      <c r="C152" s="193"/>
      <c r="D152" s="193"/>
      <c r="E152" s="193"/>
      <c r="F152" s="193"/>
      <c r="G152" s="193"/>
      <c r="H152" s="193"/>
      <c r="I152" s="193"/>
      <c r="J152" s="193"/>
      <c r="K152" s="193"/>
      <c r="L152" s="193"/>
      <c r="M152" s="193"/>
      <c r="N152" s="193"/>
      <c r="O152" s="193"/>
      <c r="P152" s="193"/>
      <c r="Q152" s="193"/>
      <c r="R152" s="193"/>
      <c r="S152" s="193"/>
      <c r="T152" s="193"/>
      <c r="U152" s="193"/>
      <c r="V152" s="193"/>
      <c r="W152" s="193"/>
      <c r="X152" s="193"/>
      <c r="Y152" s="193"/>
      <c r="Z152" s="193"/>
    </row>
    <row r="153" spans="1:26" x14ac:dyDescent="0.25">
      <c r="A153" s="193"/>
      <c r="B153" s="193"/>
      <c r="C153" s="193"/>
      <c r="D153" s="193"/>
      <c r="E153" s="193"/>
      <c r="F153" s="193"/>
      <c r="G153" s="193"/>
      <c r="H153" s="193"/>
      <c r="I153" s="193"/>
      <c r="J153" s="193"/>
      <c r="K153" s="193"/>
      <c r="L153" s="193"/>
      <c r="M153" s="193"/>
      <c r="N153" s="193"/>
      <c r="O153" s="193"/>
      <c r="P153" s="193"/>
      <c r="Q153" s="193"/>
      <c r="R153" s="193"/>
      <c r="S153" s="193"/>
      <c r="T153" s="193"/>
      <c r="U153" s="193"/>
      <c r="V153" s="193"/>
      <c r="W153" s="193"/>
      <c r="X153" s="193"/>
      <c r="Y153" s="193"/>
      <c r="Z153" s="193"/>
    </row>
    <row r="154" spans="1:26" x14ac:dyDescent="0.25">
      <c r="A154" s="193"/>
      <c r="B154" s="193"/>
      <c r="C154" s="193"/>
      <c r="D154" s="193"/>
      <c r="E154" s="193"/>
      <c r="F154" s="193"/>
      <c r="G154" s="193"/>
      <c r="H154" s="193"/>
      <c r="I154" s="193"/>
      <c r="J154" s="193"/>
      <c r="K154" s="193"/>
      <c r="L154" s="193"/>
      <c r="M154" s="193"/>
      <c r="N154" s="193"/>
      <c r="O154" s="193"/>
      <c r="P154" s="193"/>
      <c r="Q154" s="193"/>
      <c r="R154" s="193"/>
      <c r="S154" s="193"/>
      <c r="T154" s="193"/>
      <c r="U154" s="193"/>
      <c r="V154" s="193"/>
      <c r="W154" s="193"/>
      <c r="X154" s="193"/>
      <c r="Y154" s="193"/>
      <c r="Z154" s="193"/>
    </row>
    <row r="155" spans="1:26" x14ac:dyDescent="0.25">
      <c r="A155" s="193"/>
      <c r="B155" s="193"/>
      <c r="C155" s="193"/>
      <c r="D155" s="193"/>
      <c r="E155" s="193"/>
      <c r="F155" s="193"/>
      <c r="G155" s="193"/>
      <c r="H155" s="193"/>
      <c r="I155" s="193"/>
      <c r="J155" s="193"/>
      <c r="K155" s="193"/>
      <c r="L155" s="193"/>
      <c r="M155" s="193"/>
      <c r="N155" s="193"/>
      <c r="O155" s="193"/>
      <c r="P155" s="193"/>
      <c r="Q155" s="193"/>
      <c r="R155" s="193"/>
      <c r="S155" s="193"/>
      <c r="T155" s="193"/>
      <c r="U155" s="193"/>
      <c r="V155" s="193"/>
      <c r="W155" s="193"/>
      <c r="X155" s="193"/>
      <c r="Y155" s="193"/>
      <c r="Z155" s="193"/>
    </row>
    <row r="156" spans="1:26" x14ac:dyDescent="0.25">
      <c r="A156" s="193"/>
      <c r="B156" s="193"/>
      <c r="C156" s="193"/>
      <c r="D156" s="193"/>
      <c r="E156" s="193"/>
      <c r="F156" s="193"/>
      <c r="G156" s="193"/>
      <c r="H156" s="193"/>
      <c r="I156" s="193"/>
      <c r="J156" s="193"/>
      <c r="K156" s="193"/>
      <c r="L156" s="193"/>
      <c r="M156" s="193"/>
      <c r="N156" s="193"/>
      <c r="O156" s="193"/>
      <c r="P156" s="193"/>
      <c r="Q156" s="193"/>
      <c r="R156" s="193"/>
      <c r="S156" s="193"/>
      <c r="T156" s="193"/>
      <c r="U156" s="193"/>
      <c r="V156" s="193"/>
      <c r="W156" s="193"/>
      <c r="X156" s="193"/>
      <c r="Y156" s="193"/>
      <c r="Z156" s="193"/>
    </row>
    <row r="157" spans="1:26" x14ac:dyDescent="0.25">
      <c r="A157" s="193"/>
      <c r="B157" s="193"/>
      <c r="C157" s="193"/>
      <c r="D157" s="193"/>
      <c r="E157" s="193"/>
      <c r="F157" s="193"/>
      <c r="G157" s="193"/>
      <c r="H157" s="193"/>
      <c r="I157" s="193"/>
      <c r="J157" s="193"/>
      <c r="K157" s="193"/>
      <c r="L157" s="193"/>
      <c r="M157" s="193"/>
      <c r="N157" s="193"/>
      <c r="O157" s="193"/>
      <c r="P157" s="193"/>
      <c r="Q157" s="193"/>
      <c r="R157" s="193"/>
      <c r="S157" s="193"/>
      <c r="T157" s="193"/>
      <c r="U157" s="193"/>
      <c r="V157" s="193"/>
      <c r="W157" s="193"/>
      <c r="X157" s="193"/>
      <c r="Y157" s="193"/>
      <c r="Z157" s="193"/>
    </row>
    <row r="158" spans="1:26" x14ac:dyDescent="0.25">
      <c r="A158" s="193"/>
      <c r="B158" s="193"/>
      <c r="C158" s="193"/>
      <c r="D158" s="193"/>
      <c r="E158" s="193"/>
      <c r="F158" s="193"/>
      <c r="G158" s="193"/>
      <c r="H158" s="193"/>
      <c r="I158" s="193"/>
      <c r="J158" s="193"/>
      <c r="K158" s="193"/>
      <c r="L158" s="193"/>
      <c r="M158" s="193"/>
      <c r="N158" s="193"/>
      <c r="O158" s="193"/>
      <c r="P158" s="193"/>
      <c r="Q158" s="193"/>
      <c r="R158" s="193"/>
      <c r="S158" s="193"/>
      <c r="T158" s="193"/>
      <c r="U158" s="193"/>
      <c r="V158" s="193"/>
      <c r="W158" s="193"/>
      <c r="X158" s="193"/>
      <c r="Y158" s="193"/>
      <c r="Z158" s="193"/>
    </row>
    <row r="159" spans="1:26" x14ac:dyDescent="0.25">
      <c r="A159" s="193"/>
      <c r="B159" s="193"/>
      <c r="C159" s="193"/>
      <c r="D159" s="193"/>
      <c r="E159" s="193"/>
      <c r="F159" s="193"/>
      <c r="G159" s="193"/>
      <c r="H159" s="193"/>
      <c r="I159" s="193"/>
      <c r="J159" s="193"/>
      <c r="K159" s="193"/>
      <c r="L159" s="193"/>
      <c r="M159" s="193"/>
      <c r="N159" s="193"/>
      <c r="O159" s="193"/>
      <c r="P159" s="193"/>
      <c r="Q159" s="193"/>
      <c r="R159" s="193"/>
      <c r="S159" s="193"/>
      <c r="T159" s="193"/>
      <c r="U159" s="193"/>
      <c r="V159" s="193"/>
      <c r="W159" s="193"/>
      <c r="X159" s="193"/>
      <c r="Y159" s="193"/>
      <c r="Z159" s="193"/>
    </row>
    <row r="160" spans="1:26" x14ac:dyDescent="0.25">
      <c r="A160" s="193"/>
      <c r="B160" s="193"/>
      <c r="C160" s="193"/>
      <c r="D160" s="193"/>
      <c r="E160" s="193"/>
      <c r="F160" s="193"/>
      <c r="G160" s="193"/>
      <c r="H160" s="193"/>
      <c r="I160" s="193"/>
      <c r="J160" s="193"/>
      <c r="K160" s="193"/>
      <c r="L160" s="193"/>
      <c r="M160" s="193"/>
      <c r="N160" s="193"/>
      <c r="O160" s="193"/>
      <c r="P160" s="193"/>
      <c r="Q160" s="193"/>
      <c r="R160" s="193"/>
      <c r="S160" s="193"/>
      <c r="T160" s="193"/>
      <c r="U160" s="193"/>
      <c r="V160" s="193"/>
      <c r="W160" s="193"/>
      <c r="X160" s="193"/>
      <c r="Y160" s="193"/>
      <c r="Z160" s="193"/>
    </row>
    <row r="161" spans="1:26" x14ac:dyDescent="0.25">
      <c r="A161" s="193"/>
      <c r="B161" s="193"/>
      <c r="C161" s="193"/>
      <c r="D161" s="193"/>
      <c r="E161" s="193"/>
      <c r="F161" s="193"/>
      <c r="G161" s="193"/>
      <c r="H161" s="193"/>
      <c r="I161" s="193"/>
      <c r="J161" s="193"/>
      <c r="K161" s="193"/>
      <c r="L161" s="193"/>
      <c r="M161" s="193"/>
      <c r="N161" s="193"/>
      <c r="O161" s="193"/>
      <c r="P161" s="193"/>
      <c r="Q161" s="193"/>
      <c r="R161" s="193"/>
      <c r="S161" s="193"/>
      <c r="T161" s="193"/>
      <c r="U161" s="193"/>
      <c r="V161" s="193"/>
      <c r="W161" s="193"/>
      <c r="X161" s="193"/>
      <c r="Y161" s="193"/>
      <c r="Z161" s="193"/>
    </row>
    <row r="162" spans="1:26" x14ac:dyDescent="0.25">
      <c r="A162" s="193"/>
      <c r="B162" s="193"/>
      <c r="C162" s="193"/>
      <c r="D162" s="193"/>
      <c r="E162" s="193"/>
      <c r="F162" s="193"/>
      <c r="G162" s="193"/>
      <c r="H162" s="193"/>
      <c r="I162" s="193"/>
      <c r="J162" s="193"/>
      <c r="K162" s="193"/>
      <c r="L162" s="193"/>
      <c r="M162" s="193"/>
      <c r="N162" s="193"/>
      <c r="O162" s="193"/>
      <c r="P162" s="193"/>
      <c r="Q162" s="193"/>
      <c r="R162" s="193"/>
      <c r="S162" s="193"/>
      <c r="T162" s="193"/>
      <c r="U162" s="193"/>
      <c r="V162" s="193"/>
      <c r="W162" s="193"/>
      <c r="X162" s="193"/>
      <c r="Y162" s="193"/>
      <c r="Z162" s="193"/>
    </row>
    <row r="163" spans="1:26" x14ac:dyDescent="0.25">
      <c r="A163" s="193"/>
      <c r="B163" s="193"/>
      <c r="C163" s="193"/>
      <c r="D163" s="193"/>
      <c r="E163" s="193"/>
      <c r="F163" s="193"/>
      <c r="G163" s="193"/>
      <c r="H163" s="193"/>
      <c r="I163" s="193"/>
      <c r="J163" s="193"/>
      <c r="K163" s="193"/>
      <c r="L163" s="193"/>
      <c r="M163" s="193"/>
      <c r="N163" s="193"/>
      <c r="O163" s="193"/>
      <c r="P163" s="193"/>
      <c r="Q163" s="193"/>
      <c r="R163" s="193"/>
      <c r="S163" s="193"/>
      <c r="T163" s="193"/>
      <c r="U163" s="193"/>
      <c r="V163" s="193"/>
      <c r="W163" s="193"/>
      <c r="X163" s="193"/>
      <c r="Y163" s="193"/>
      <c r="Z163" s="193"/>
    </row>
    <row r="164" spans="1:26" x14ac:dyDescent="0.25">
      <c r="A164" s="193"/>
      <c r="B164" s="193"/>
      <c r="C164" s="193"/>
      <c r="D164" s="193"/>
      <c r="E164" s="193"/>
      <c r="F164" s="193"/>
      <c r="G164" s="193"/>
      <c r="H164" s="193"/>
      <c r="I164" s="193"/>
      <c r="J164" s="193"/>
      <c r="K164" s="193"/>
      <c r="L164" s="193"/>
      <c r="M164" s="193"/>
      <c r="N164" s="193"/>
      <c r="O164" s="193"/>
      <c r="P164" s="193"/>
      <c r="Q164" s="193"/>
      <c r="R164" s="193"/>
      <c r="S164" s="193"/>
      <c r="T164" s="193"/>
      <c r="U164" s="193"/>
      <c r="V164" s="193"/>
      <c r="W164" s="193"/>
      <c r="X164" s="193"/>
      <c r="Y164" s="193"/>
      <c r="Z164" s="193"/>
    </row>
    <row r="165" spans="1:26" x14ac:dyDescent="0.25">
      <c r="A165" s="193"/>
      <c r="B165" s="193"/>
      <c r="C165" s="193"/>
      <c r="D165" s="193"/>
      <c r="E165" s="193"/>
      <c r="F165" s="193"/>
      <c r="G165" s="193"/>
      <c r="H165" s="193"/>
      <c r="I165" s="193"/>
      <c r="J165" s="193"/>
      <c r="K165" s="193"/>
      <c r="L165" s="193"/>
      <c r="M165" s="193"/>
      <c r="N165" s="193"/>
      <c r="O165" s="193"/>
      <c r="P165" s="193"/>
      <c r="Q165" s="193"/>
      <c r="R165" s="193"/>
      <c r="S165" s="193"/>
      <c r="T165" s="193"/>
      <c r="U165" s="193"/>
      <c r="V165" s="193"/>
      <c r="W165" s="193"/>
      <c r="X165" s="193"/>
      <c r="Y165" s="193"/>
      <c r="Z165" s="193"/>
    </row>
    <row r="166" spans="1:26" x14ac:dyDescent="0.25">
      <c r="A166" s="193"/>
      <c r="B166" s="193"/>
      <c r="C166" s="193"/>
      <c r="D166" s="193"/>
      <c r="E166" s="193"/>
      <c r="F166" s="193"/>
      <c r="G166" s="193"/>
      <c r="H166" s="193"/>
      <c r="I166" s="193"/>
      <c r="J166" s="193"/>
      <c r="K166" s="193"/>
      <c r="L166" s="193"/>
      <c r="M166" s="193"/>
      <c r="N166" s="193"/>
      <c r="O166" s="193"/>
      <c r="P166" s="193"/>
      <c r="Q166" s="193"/>
      <c r="R166" s="193"/>
      <c r="S166" s="193"/>
      <c r="T166" s="193"/>
      <c r="U166" s="193"/>
      <c r="V166" s="193"/>
      <c r="W166" s="193"/>
      <c r="X166" s="193"/>
      <c r="Y166" s="193"/>
      <c r="Z166" s="193"/>
    </row>
    <row r="167" spans="1:26" x14ac:dyDescent="0.25">
      <c r="A167" s="193"/>
      <c r="B167" s="193"/>
      <c r="C167" s="193"/>
      <c r="D167" s="193"/>
      <c r="E167" s="193"/>
      <c r="F167" s="193"/>
      <c r="G167" s="193"/>
      <c r="H167" s="193"/>
      <c r="I167" s="193"/>
      <c r="J167" s="193"/>
      <c r="K167" s="193"/>
      <c r="L167" s="193"/>
      <c r="M167" s="193"/>
      <c r="N167" s="193"/>
      <c r="O167" s="193"/>
      <c r="P167" s="193"/>
      <c r="Q167" s="193"/>
      <c r="R167" s="193"/>
      <c r="S167" s="193"/>
      <c r="T167" s="193"/>
      <c r="U167" s="193"/>
      <c r="V167" s="193"/>
      <c r="W167" s="193"/>
      <c r="X167" s="193"/>
      <c r="Y167" s="193"/>
      <c r="Z167" s="193"/>
    </row>
    <row r="168" spans="1:26" x14ac:dyDescent="0.25">
      <c r="A168" s="193"/>
      <c r="B168" s="193"/>
      <c r="C168" s="193"/>
      <c r="D168" s="193"/>
      <c r="E168" s="193"/>
      <c r="F168" s="193"/>
      <c r="G168" s="193"/>
      <c r="H168" s="193"/>
      <c r="I168" s="193"/>
      <c r="J168" s="193"/>
      <c r="K168" s="193"/>
      <c r="L168" s="193"/>
      <c r="M168" s="193"/>
      <c r="N168" s="193"/>
      <c r="O168" s="193"/>
      <c r="P168" s="193"/>
      <c r="Q168" s="193"/>
      <c r="R168" s="193"/>
      <c r="S168" s="193"/>
      <c r="T168" s="193"/>
      <c r="U168" s="193"/>
      <c r="V168" s="193"/>
      <c r="W168" s="193"/>
      <c r="X168" s="193"/>
      <c r="Y168" s="193"/>
      <c r="Z168" s="193"/>
    </row>
    <row r="169" spans="1:26" x14ac:dyDescent="0.25">
      <c r="A169" s="193"/>
      <c r="B169" s="193"/>
      <c r="C169" s="193"/>
      <c r="D169" s="193"/>
      <c r="E169" s="193"/>
      <c r="F169" s="193"/>
      <c r="G169" s="193"/>
      <c r="H169" s="193"/>
      <c r="I169" s="193"/>
      <c r="J169" s="193"/>
      <c r="K169" s="193"/>
      <c r="L169" s="193"/>
      <c r="M169" s="193"/>
      <c r="N169" s="193"/>
      <c r="O169" s="193"/>
      <c r="P169" s="193"/>
      <c r="Q169" s="193"/>
      <c r="R169" s="193"/>
      <c r="S169" s="193"/>
      <c r="T169" s="193"/>
      <c r="U169" s="193"/>
      <c r="V169" s="193"/>
      <c r="W169" s="193"/>
      <c r="X169" s="193"/>
      <c r="Y169" s="193"/>
      <c r="Z169" s="193"/>
    </row>
    <row r="170" spans="1:26" x14ac:dyDescent="0.25">
      <c r="A170" s="193"/>
      <c r="B170" s="193"/>
      <c r="C170" s="193"/>
      <c r="D170" s="193"/>
      <c r="E170" s="193"/>
      <c r="F170" s="193"/>
      <c r="G170" s="193"/>
      <c r="H170" s="193"/>
      <c r="I170" s="193"/>
      <c r="J170" s="193"/>
      <c r="K170" s="193"/>
      <c r="L170" s="193"/>
      <c r="M170" s="193"/>
      <c r="N170" s="193"/>
      <c r="O170" s="193"/>
      <c r="P170" s="193"/>
      <c r="Q170" s="193"/>
      <c r="R170" s="193"/>
      <c r="S170" s="193"/>
      <c r="T170" s="193"/>
      <c r="U170" s="193"/>
      <c r="V170" s="193"/>
      <c r="W170" s="193"/>
      <c r="X170" s="193"/>
      <c r="Y170" s="193"/>
      <c r="Z170" s="193"/>
    </row>
    <row r="171" spans="1:26" x14ac:dyDescent="0.25">
      <c r="A171" s="193"/>
      <c r="B171" s="193"/>
      <c r="C171" s="193"/>
      <c r="D171" s="193"/>
      <c r="E171" s="193"/>
      <c r="F171" s="193"/>
      <c r="G171" s="193"/>
      <c r="H171" s="193"/>
      <c r="I171" s="193"/>
      <c r="J171" s="193"/>
      <c r="K171" s="193"/>
      <c r="L171" s="193"/>
      <c r="M171" s="193"/>
      <c r="N171" s="193"/>
      <c r="O171" s="193"/>
      <c r="P171" s="193"/>
      <c r="Q171" s="193"/>
      <c r="R171" s="193"/>
      <c r="S171" s="193"/>
      <c r="T171" s="193"/>
      <c r="U171" s="193"/>
      <c r="V171" s="193"/>
      <c r="W171" s="193"/>
      <c r="X171" s="193"/>
      <c r="Y171" s="193"/>
      <c r="Z171" s="193"/>
    </row>
    <row r="172" spans="1:26" x14ac:dyDescent="0.25">
      <c r="A172" s="193"/>
      <c r="B172" s="193"/>
      <c r="C172" s="193"/>
      <c r="D172" s="193"/>
      <c r="E172" s="193"/>
      <c r="F172" s="193"/>
      <c r="G172" s="193"/>
      <c r="H172" s="193"/>
      <c r="I172" s="193"/>
      <c r="J172" s="193"/>
      <c r="K172" s="193"/>
      <c r="L172" s="193"/>
      <c r="M172" s="193"/>
      <c r="N172" s="193"/>
      <c r="O172" s="193"/>
      <c r="P172" s="193"/>
      <c r="Q172" s="193"/>
      <c r="R172" s="193"/>
      <c r="S172" s="193"/>
      <c r="T172" s="193"/>
      <c r="U172" s="193"/>
      <c r="V172" s="193"/>
      <c r="W172" s="193"/>
      <c r="X172" s="193"/>
      <c r="Y172" s="193"/>
      <c r="Z172" s="193"/>
    </row>
    <row r="173" spans="1:26" x14ac:dyDescent="0.25">
      <c r="A173" s="193"/>
      <c r="B173" s="193"/>
      <c r="C173" s="193"/>
      <c r="D173" s="193"/>
      <c r="E173" s="193"/>
      <c r="F173" s="193"/>
      <c r="G173" s="193"/>
      <c r="H173" s="193"/>
      <c r="I173" s="193"/>
      <c r="J173" s="193"/>
      <c r="K173" s="193"/>
      <c r="L173" s="193"/>
      <c r="M173" s="193"/>
      <c r="N173" s="193"/>
      <c r="O173" s="193"/>
      <c r="P173" s="193"/>
      <c r="Q173" s="193"/>
      <c r="R173" s="193"/>
      <c r="S173" s="193"/>
      <c r="T173" s="193"/>
      <c r="U173" s="193"/>
      <c r="V173" s="193"/>
      <c r="W173" s="193"/>
      <c r="X173" s="193"/>
      <c r="Y173" s="193"/>
      <c r="Z173" s="193"/>
    </row>
    <row r="174" spans="1:26" x14ac:dyDescent="0.25">
      <c r="A174" s="193"/>
      <c r="B174" s="193"/>
      <c r="C174" s="193"/>
      <c r="D174" s="193"/>
      <c r="E174" s="193"/>
      <c r="F174" s="193"/>
      <c r="G174" s="193"/>
      <c r="H174" s="193"/>
      <c r="I174" s="193"/>
      <c r="J174" s="193"/>
      <c r="K174" s="193"/>
      <c r="L174" s="193"/>
      <c r="M174" s="193"/>
      <c r="N174" s="193"/>
      <c r="O174" s="193"/>
      <c r="P174" s="193"/>
      <c r="Q174" s="193"/>
      <c r="R174" s="193"/>
      <c r="S174" s="193"/>
      <c r="T174" s="193"/>
      <c r="U174" s="193"/>
      <c r="V174" s="193"/>
      <c r="W174" s="193"/>
      <c r="X174" s="193"/>
      <c r="Y174" s="193"/>
      <c r="Z174" s="193"/>
    </row>
    <row r="175" spans="1:26" x14ac:dyDescent="0.25">
      <c r="A175" s="193"/>
      <c r="B175" s="193"/>
      <c r="C175" s="193"/>
      <c r="D175" s="193"/>
      <c r="E175" s="193"/>
      <c r="F175" s="193"/>
      <c r="G175" s="193"/>
      <c r="H175" s="193"/>
      <c r="I175" s="193"/>
      <c r="J175" s="193"/>
      <c r="K175" s="193"/>
      <c r="L175" s="193"/>
      <c r="M175" s="193"/>
      <c r="N175" s="193"/>
      <c r="O175" s="193"/>
      <c r="P175" s="193"/>
      <c r="Q175" s="193"/>
      <c r="R175" s="193"/>
      <c r="S175" s="193"/>
      <c r="T175" s="193"/>
      <c r="U175" s="193"/>
      <c r="V175" s="193"/>
      <c r="W175" s="193"/>
      <c r="X175" s="193"/>
      <c r="Y175" s="193"/>
      <c r="Z175" s="193"/>
    </row>
    <row r="176" spans="1:26" x14ac:dyDescent="0.25">
      <c r="A176" s="193"/>
      <c r="B176" s="193"/>
      <c r="C176" s="193"/>
      <c r="D176" s="193"/>
      <c r="E176" s="193"/>
      <c r="F176" s="193"/>
      <c r="G176" s="193"/>
      <c r="H176" s="193"/>
      <c r="I176" s="193"/>
      <c r="J176" s="193"/>
      <c r="K176" s="193"/>
      <c r="L176" s="193"/>
      <c r="M176" s="193"/>
      <c r="N176" s="193"/>
      <c r="O176" s="193"/>
      <c r="P176" s="193"/>
      <c r="Q176" s="193"/>
      <c r="R176" s="193"/>
      <c r="S176" s="193"/>
      <c r="T176" s="193"/>
      <c r="U176" s="193"/>
      <c r="V176" s="193"/>
      <c r="W176" s="193"/>
      <c r="X176" s="193"/>
      <c r="Y176" s="193"/>
      <c r="Z176" s="193"/>
    </row>
    <row r="177" spans="1:26" x14ac:dyDescent="0.25">
      <c r="A177" s="193"/>
      <c r="B177" s="193"/>
      <c r="C177" s="193"/>
      <c r="D177" s="193"/>
      <c r="E177" s="193"/>
      <c r="F177" s="193"/>
      <c r="G177" s="193"/>
      <c r="H177" s="193"/>
      <c r="I177" s="193"/>
      <c r="J177" s="193"/>
      <c r="K177" s="193"/>
      <c r="L177" s="193"/>
      <c r="M177" s="193"/>
      <c r="N177" s="193"/>
      <c r="O177" s="193"/>
      <c r="P177" s="193"/>
      <c r="Q177" s="193"/>
      <c r="R177" s="193"/>
      <c r="S177" s="193"/>
      <c r="T177" s="193"/>
      <c r="U177" s="193"/>
      <c r="V177" s="193"/>
      <c r="W177" s="193"/>
      <c r="X177" s="193"/>
      <c r="Y177" s="193"/>
      <c r="Z177" s="193"/>
    </row>
    <row r="178" spans="1:26" x14ac:dyDescent="0.25">
      <c r="A178" s="193"/>
      <c r="B178" s="193"/>
      <c r="C178" s="193"/>
      <c r="D178" s="193"/>
      <c r="E178" s="193"/>
      <c r="F178" s="193"/>
      <c r="G178" s="193"/>
      <c r="H178" s="193"/>
      <c r="I178" s="193"/>
      <c r="J178" s="193"/>
      <c r="K178" s="193"/>
      <c r="L178" s="193"/>
      <c r="M178" s="193"/>
      <c r="N178" s="193"/>
      <c r="O178" s="193"/>
      <c r="P178" s="193"/>
      <c r="Q178" s="193"/>
      <c r="R178" s="193"/>
      <c r="S178" s="193"/>
      <c r="T178" s="193"/>
      <c r="U178" s="193"/>
      <c r="V178" s="193"/>
      <c r="W178" s="193"/>
      <c r="X178" s="193"/>
      <c r="Y178" s="193"/>
      <c r="Z178" s="193"/>
    </row>
    <row r="179" spans="1:26" x14ac:dyDescent="0.25">
      <c r="A179" s="193"/>
      <c r="B179" s="193"/>
      <c r="C179" s="193"/>
      <c r="D179" s="193"/>
      <c r="E179" s="193"/>
      <c r="F179" s="193"/>
      <c r="G179" s="193"/>
      <c r="H179" s="193"/>
      <c r="I179" s="193"/>
      <c r="J179" s="193"/>
      <c r="K179" s="193"/>
      <c r="L179" s="193"/>
      <c r="M179" s="193"/>
      <c r="N179" s="193"/>
      <c r="O179" s="193"/>
      <c r="P179" s="193"/>
      <c r="Q179" s="193"/>
      <c r="R179" s="193"/>
      <c r="S179" s="193"/>
      <c r="T179" s="193"/>
      <c r="U179" s="193"/>
      <c r="V179" s="193"/>
      <c r="W179" s="193"/>
      <c r="X179" s="193"/>
      <c r="Y179" s="193"/>
      <c r="Z179" s="193"/>
    </row>
    <row r="180" spans="1:26" x14ac:dyDescent="0.25">
      <c r="A180" s="193"/>
      <c r="B180" s="193"/>
      <c r="C180" s="193"/>
      <c r="D180" s="193"/>
      <c r="E180" s="193"/>
      <c r="F180" s="193"/>
      <c r="G180" s="193"/>
      <c r="H180" s="193"/>
      <c r="I180" s="193"/>
      <c r="J180" s="193"/>
      <c r="K180" s="193"/>
      <c r="L180" s="193"/>
      <c r="M180" s="193"/>
      <c r="N180" s="193"/>
      <c r="O180" s="193"/>
      <c r="P180" s="193"/>
      <c r="Q180" s="193"/>
      <c r="R180" s="193"/>
      <c r="S180" s="193"/>
      <c r="T180" s="193"/>
      <c r="U180" s="193"/>
      <c r="V180" s="193"/>
      <c r="W180" s="193"/>
      <c r="X180" s="193"/>
      <c r="Y180" s="193"/>
      <c r="Z180" s="193"/>
    </row>
    <row r="181" spans="1:26" x14ac:dyDescent="0.25">
      <c r="A181" s="193"/>
      <c r="B181" s="193"/>
      <c r="C181" s="193"/>
      <c r="D181" s="193"/>
      <c r="E181" s="193"/>
      <c r="F181" s="193"/>
      <c r="G181" s="193"/>
      <c r="H181" s="193"/>
      <c r="I181" s="193"/>
      <c r="J181" s="193"/>
      <c r="K181" s="193"/>
      <c r="L181" s="193"/>
      <c r="M181" s="193"/>
      <c r="N181" s="193"/>
      <c r="O181" s="193"/>
      <c r="P181" s="193"/>
      <c r="Q181" s="193"/>
      <c r="R181" s="193"/>
      <c r="S181" s="193"/>
      <c r="T181" s="193"/>
      <c r="U181" s="193"/>
      <c r="V181" s="193"/>
      <c r="W181" s="193"/>
      <c r="X181" s="193"/>
      <c r="Y181" s="193"/>
      <c r="Z181" s="193"/>
    </row>
    <row r="182" spans="1:26" x14ac:dyDescent="0.25">
      <c r="A182" s="193"/>
      <c r="B182" s="193"/>
      <c r="C182" s="193"/>
      <c r="D182" s="193"/>
      <c r="E182" s="193"/>
      <c r="F182" s="193"/>
      <c r="G182" s="193"/>
      <c r="H182" s="193"/>
      <c r="I182" s="193"/>
      <c r="J182" s="193"/>
      <c r="K182" s="193"/>
      <c r="L182" s="193"/>
      <c r="M182" s="193"/>
      <c r="N182" s="193"/>
      <c r="O182" s="193"/>
      <c r="P182" s="193"/>
      <c r="Q182" s="193"/>
      <c r="R182" s="193"/>
      <c r="S182" s="193"/>
      <c r="T182" s="193"/>
      <c r="U182" s="193"/>
      <c r="V182" s="193"/>
      <c r="W182" s="193"/>
      <c r="X182" s="193"/>
      <c r="Y182" s="193"/>
      <c r="Z182" s="193"/>
    </row>
    <row r="183" spans="1:26" x14ac:dyDescent="0.25">
      <c r="A183" s="193"/>
      <c r="B183" s="193"/>
      <c r="C183" s="193"/>
      <c r="D183" s="193"/>
      <c r="E183" s="193"/>
      <c r="F183" s="193"/>
      <c r="G183" s="193"/>
      <c r="H183" s="193"/>
      <c r="I183" s="193"/>
      <c r="J183" s="193"/>
      <c r="K183" s="193"/>
      <c r="L183" s="193"/>
      <c r="M183" s="193"/>
      <c r="N183" s="193"/>
      <c r="O183" s="193"/>
      <c r="P183" s="193"/>
      <c r="Q183" s="193"/>
      <c r="R183" s="193"/>
      <c r="S183" s="193"/>
      <c r="T183" s="193"/>
      <c r="U183" s="193"/>
      <c r="V183" s="193"/>
      <c r="W183" s="193"/>
      <c r="X183" s="193"/>
      <c r="Y183" s="193"/>
      <c r="Z183" s="193"/>
    </row>
    <row r="184" spans="1:26" x14ac:dyDescent="0.25">
      <c r="A184" s="193"/>
      <c r="B184" s="193"/>
      <c r="C184" s="193"/>
      <c r="D184" s="193"/>
      <c r="E184" s="193"/>
      <c r="F184" s="193"/>
      <c r="G184" s="193"/>
      <c r="H184" s="193"/>
      <c r="I184" s="193"/>
      <c r="J184" s="193"/>
      <c r="K184" s="193"/>
      <c r="L184" s="193"/>
      <c r="M184" s="193"/>
      <c r="N184" s="193"/>
      <c r="O184" s="193"/>
      <c r="P184" s="193"/>
      <c r="Q184" s="193"/>
      <c r="R184" s="193"/>
      <c r="S184" s="193"/>
      <c r="T184" s="193"/>
      <c r="U184" s="193"/>
      <c r="V184" s="193"/>
      <c r="W184" s="193"/>
      <c r="X184" s="193"/>
      <c r="Y184" s="193"/>
      <c r="Z184" s="193"/>
    </row>
    <row r="185" spans="1:26" x14ac:dyDescent="0.25">
      <c r="A185" s="193"/>
      <c r="B185" s="193"/>
      <c r="C185" s="193"/>
      <c r="D185" s="193"/>
      <c r="E185" s="193"/>
      <c r="F185" s="193"/>
      <c r="G185" s="193"/>
      <c r="H185" s="193"/>
      <c r="I185" s="193"/>
      <c r="J185" s="193"/>
      <c r="K185" s="193"/>
      <c r="L185" s="193"/>
      <c r="M185" s="193"/>
      <c r="N185" s="193"/>
      <c r="O185" s="193"/>
      <c r="P185" s="193"/>
      <c r="Q185" s="193"/>
      <c r="R185" s="193"/>
      <c r="S185" s="193"/>
      <c r="T185" s="193"/>
      <c r="U185" s="193"/>
      <c r="V185" s="193"/>
      <c r="W185" s="193"/>
      <c r="X185" s="193"/>
      <c r="Y185" s="193"/>
      <c r="Z185" s="193"/>
    </row>
    <row r="186" spans="1:26" x14ac:dyDescent="0.25">
      <c r="A186" s="193"/>
      <c r="B186" s="193"/>
      <c r="C186" s="193"/>
      <c r="D186" s="193"/>
      <c r="E186" s="193"/>
      <c r="F186" s="193"/>
      <c r="G186" s="193"/>
      <c r="H186" s="193"/>
      <c r="I186" s="193"/>
      <c r="J186" s="193"/>
      <c r="K186" s="193"/>
      <c r="L186" s="193"/>
      <c r="M186" s="193"/>
      <c r="N186" s="193"/>
      <c r="O186" s="193"/>
      <c r="P186" s="193"/>
      <c r="Q186" s="193"/>
      <c r="R186" s="193"/>
      <c r="S186" s="193"/>
      <c r="T186" s="193"/>
      <c r="U186" s="193"/>
      <c r="V186" s="193"/>
      <c r="W186" s="193"/>
      <c r="X186" s="193"/>
      <c r="Y186" s="193"/>
      <c r="Z186" s="193"/>
    </row>
    <row r="187" spans="1:26" x14ac:dyDescent="0.25">
      <c r="A187" s="193"/>
      <c r="B187" s="193"/>
      <c r="C187" s="193"/>
      <c r="D187" s="193"/>
      <c r="E187" s="193"/>
      <c r="F187" s="193"/>
      <c r="G187" s="193"/>
      <c r="H187" s="193"/>
      <c r="I187" s="193"/>
      <c r="J187" s="193"/>
      <c r="K187" s="193"/>
      <c r="L187" s="193"/>
      <c r="M187" s="193"/>
      <c r="N187" s="193"/>
      <c r="O187" s="193"/>
      <c r="P187" s="193"/>
      <c r="Q187" s="193"/>
      <c r="R187" s="193"/>
      <c r="S187" s="193"/>
      <c r="T187" s="193"/>
      <c r="U187" s="193"/>
      <c r="V187" s="193"/>
      <c r="W187" s="193"/>
      <c r="X187" s="193"/>
      <c r="Y187" s="193"/>
      <c r="Z187" s="193"/>
    </row>
    <row r="188" spans="1:26" x14ac:dyDescent="0.25">
      <c r="A188" s="193"/>
      <c r="B188" s="193"/>
      <c r="C188" s="193"/>
      <c r="D188" s="193"/>
      <c r="E188" s="193"/>
      <c r="F188" s="193"/>
      <c r="G188" s="193"/>
      <c r="H188" s="193"/>
      <c r="I188" s="193"/>
      <c r="J188" s="193"/>
      <c r="K188" s="193"/>
      <c r="L188" s="193"/>
      <c r="M188" s="193"/>
      <c r="N188" s="193"/>
      <c r="O188" s="193"/>
      <c r="P188" s="193"/>
      <c r="Q188" s="193"/>
      <c r="R188" s="193"/>
      <c r="S188" s="193"/>
      <c r="T188" s="193"/>
      <c r="U188" s="193"/>
      <c r="V188" s="193"/>
      <c r="W188" s="193"/>
      <c r="X188" s="193"/>
      <c r="Y188" s="193"/>
      <c r="Z188" s="193"/>
    </row>
    <row r="189" spans="1:26" x14ac:dyDescent="0.25">
      <c r="A189" s="193"/>
      <c r="B189" s="193"/>
      <c r="C189" s="193"/>
      <c r="D189" s="193"/>
      <c r="E189" s="193"/>
      <c r="F189" s="193"/>
      <c r="G189" s="193"/>
      <c r="H189" s="193"/>
      <c r="I189" s="193"/>
      <c r="J189" s="193"/>
      <c r="K189" s="193"/>
      <c r="L189" s="193"/>
      <c r="M189" s="193"/>
      <c r="N189" s="193"/>
      <c r="O189" s="193"/>
      <c r="P189" s="193"/>
      <c r="Q189" s="193"/>
      <c r="R189" s="193"/>
      <c r="S189" s="193"/>
      <c r="T189" s="193"/>
      <c r="U189" s="193"/>
      <c r="V189" s="193"/>
      <c r="W189" s="193"/>
      <c r="X189" s="193"/>
      <c r="Y189" s="193"/>
      <c r="Z189" s="193"/>
    </row>
    <row r="190" spans="1:26" x14ac:dyDescent="0.25">
      <c r="A190" s="193"/>
      <c r="B190" s="193"/>
      <c r="C190" s="193"/>
      <c r="D190" s="193"/>
      <c r="E190" s="193"/>
      <c r="F190" s="193"/>
      <c r="G190" s="193"/>
      <c r="H190" s="193"/>
      <c r="I190" s="193"/>
      <c r="J190" s="193"/>
      <c r="K190" s="193"/>
      <c r="L190" s="193"/>
      <c r="M190" s="193"/>
      <c r="N190" s="193"/>
      <c r="O190" s="193"/>
      <c r="P190" s="193"/>
      <c r="Q190" s="193"/>
      <c r="R190" s="193"/>
      <c r="S190" s="193"/>
      <c r="T190" s="193"/>
      <c r="U190" s="193"/>
      <c r="V190" s="193"/>
      <c r="W190" s="193"/>
      <c r="X190" s="193"/>
      <c r="Y190" s="193"/>
      <c r="Z190" s="193"/>
    </row>
    <row r="191" spans="1:26" x14ac:dyDescent="0.25">
      <c r="A191" s="193"/>
      <c r="B191" s="193"/>
      <c r="C191" s="193"/>
      <c r="D191" s="193"/>
      <c r="E191" s="193"/>
      <c r="F191" s="193"/>
      <c r="G191" s="193"/>
      <c r="H191" s="193"/>
      <c r="I191" s="193"/>
      <c r="J191" s="193"/>
      <c r="K191" s="193"/>
      <c r="L191" s="193"/>
      <c r="M191" s="193"/>
      <c r="N191" s="193"/>
      <c r="O191" s="193"/>
      <c r="P191" s="193"/>
      <c r="Q191" s="193"/>
      <c r="R191" s="193"/>
      <c r="S191" s="193"/>
      <c r="T191" s="193"/>
      <c r="U191" s="193"/>
      <c r="V191" s="193"/>
      <c r="W191" s="193"/>
      <c r="X191" s="193"/>
      <c r="Y191" s="193"/>
      <c r="Z191" s="193"/>
    </row>
    <row r="192" spans="1:26" x14ac:dyDescent="0.25">
      <c r="A192" s="193"/>
      <c r="B192" s="193"/>
      <c r="C192" s="193"/>
      <c r="D192" s="193"/>
      <c r="E192" s="193"/>
      <c r="F192" s="193"/>
      <c r="G192" s="193"/>
      <c r="H192" s="193"/>
      <c r="I192" s="193"/>
      <c r="J192" s="193"/>
      <c r="K192" s="193"/>
      <c r="L192" s="193"/>
      <c r="M192" s="193"/>
      <c r="N192" s="193"/>
      <c r="O192" s="193"/>
      <c r="P192" s="193"/>
      <c r="Q192" s="193"/>
      <c r="R192" s="193"/>
      <c r="S192" s="193"/>
      <c r="T192" s="193"/>
      <c r="U192" s="193"/>
      <c r="V192" s="193"/>
      <c r="W192" s="193"/>
      <c r="X192" s="193"/>
      <c r="Y192" s="193"/>
      <c r="Z192" s="193"/>
    </row>
    <row r="193" spans="1:26" x14ac:dyDescent="0.25">
      <c r="A193" s="193"/>
      <c r="B193" s="193"/>
      <c r="C193" s="193"/>
      <c r="D193" s="193"/>
      <c r="E193" s="193"/>
      <c r="F193" s="193"/>
      <c r="G193" s="193"/>
      <c r="H193" s="193"/>
      <c r="I193" s="193"/>
      <c r="J193" s="193"/>
      <c r="K193" s="193"/>
      <c r="L193" s="193"/>
      <c r="M193" s="193"/>
      <c r="N193" s="193"/>
      <c r="O193" s="193"/>
      <c r="P193" s="193"/>
      <c r="Q193" s="193"/>
      <c r="R193" s="193"/>
      <c r="S193" s="193"/>
      <c r="T193" s="193"/>
      <c r="U193" s="193"/>
      <c r="V193" s="193"/>
      <c r="W193" s="193"/>
      <c r="X193" s="193"/>
      <c r="Y193" s="193"/>
      <c r="Z193" s="193"/>
    </row>
    <row r="194" spans="1:26" x14ac:dyDescent="0.25">
      <c r="A194" s="193"/>
      <c r="B194" s="193"/>
      <c r="C194" s="193"/>
      <c r="D194" s="193"/>
      <c r="E194" s="193"/>
      <c r="F194" s="193"/>
      <c r="G194" s="193"/>
      <c r="H194" s="193"/>
      <c r="I194" s="193"/>
      <c r="J194" s="193"/>
      <c r="K194" s="193"/>
      <c r="L194" s="193"/>
      <c r="M194" s="193"/>
      <c r="N194" s="193"/>
      <c r="O194" s="193"/>
      <c r="P194" s="193"/>
      <c r="Q194" s="193"/>
      <c r="R194" s="193"/>
      <c r="S194" s="193"/>
      <c r="T194" s="193"/>
      <c r="U194" s="193"/>
      <c r="V194" s="193"/>
      <c r="W194" s="193"/>
      <c r="X194" s="193"/>
      <c r="Y194" s="193"/>
      <c r="Z194" s="193"/>
    </row>
    <row r="195" spans="1:26" x14ac:dyDescent="0.25">
      <c r="A195" s="193"/>
      <c r="B195" s="193"/>
      <c r="C195" s="193"/>
      <c r="D195" s="193"/>
      <c r="E195" s="193"/>
      <c r="F195" s="193"/>
      <c r="G195" s="193"/>
      <c r="H195" s="193"/>
      <c r="I195" s="193"/>
      <c r="J195" s="193"/>
      <c r="K195" s="193"/>
      <c r="L195" s="193"/>
      <c r="M195" s="193"/>
      <c r="N195" s="193"/>
      <c r="O195" s="193"/>
      <c r="P195" s="193"/>
      <c r="Q195" s="193"/>
      <c r="R195" s="193"/>
      <c r="S195" s="193"/>
      <c r="T195" s="193"/>
      <c r="U195" s="193"/>
      <c r="V195" s="193"/>
      <c r="W195" s="193"/>
      <c r="X195" s="193"/>
      <c r="Y195" s="193"/>
      <c r="Z195" s="193"/>
    </row>
    <row r="196" spans="1:26" x14ac:dyDescent="0.25">
      <c r="A196" s="193"/>
      <c r="B196" s="193"/>
      <c r="C196" s="193"/>
      <c r="D196" s="193"/>
      <c r="E196" s="193"/>
      <c r="F196" s="193"/>
      <c r="G196" s="193"/>
      <c r="H196" s="193"/>
      <c r="I196" s="193"/>
      <c r="J196" s="193"/>
      <c r="K196" s="193"/>
      <c r="L196" s="193"/>
      <c r="M196" s="193"/>
      <c r="N196" s="193"/>
      <c r="O196" s="193"/>
      <c r="P196" s="193"/>
      <c r="Q196" s="193"/>
      <c r="R196" s="193"/>
      <c r="S196" s="193"/>
      <c r="T196" s="193"/>
      <c r="U196" s="193"/>
      <c r="V196" s="193"/>
      <c r="W196" s="193"/>
      <c r="X196" s="193"/>
      <c r="Y196" s="193"/>
      <c r="Z196" s="193"/>
    </row>
    <row r="197" spans="1:26" x14ac:dyDescent="0.25">
      <c r="A197" s="193"/>
      <c r="B197" s="193"/>
      <c r="C197" s="193"/>
      <c r="D197" s="193"/>
      <c r="E197" s="193"/>
      <c r="F197" s="193"/>
      <c r="G197" s="193"/>
      <c r="H197" s="193"/>
      <c r="I197" s="193"/>
      <c r="J197" s="193"/>
      <c r="K197" s="193"/>
      <c r="L197" s="193"/>
      <c r="M197" s="193"/>
      <c r="N197" s="193"/>
      <c r="O197" s="193"/>
      <c r="P197" s="193"/>
      <c r="Q197" s="193"/>
      <c r="R197" s="193"/>
      <c r="S197" s="193"/>
      <c r="T197" s="193"/>
      <c r="U197" s="193"/>
      <c r="V197" s="193"/>
      <c r="W197" s="193"/>
      <c r="X197" s="193"/>
      <c r="Y197" s="193"/>
      <c r="Z197" s="193"/>
    </row>
    <row r="198" spans="1:26" x14ac:dyDescent="0.25">
      <c r="A198" s="193"/>
      <c r="B198" s="193"/>
      <c r="C198" s="193"/>
      <c r="D198" s="193"/>
      <c r="E198" s="193"/>
      <c r="F198" s="193"/>
      <c r="G198" s="193"/>
      <c r="H198" s="193"/>
      <c r="I198" s="193"/>
      <c r="J198" s="193"/>
      <c r="K198" s="193"/>
      <c r="L198" s="193"/>
      <c r="M198" s="193"/>
      <c r="N198" s="193"/>
      <c r="O198" s="193"/>
      <c r="P198" s="193"/>
      <c r="Q198" s="193"/>
      <c r="R198" s="193"/>
      <c r="S198" s="193"/>
      <c r="T198" s="193"/>
      <c r="U198" s="193"/>
      <c r="V198" s="193"/>
      <c r="W198" s="193"/>
      <c r="X198" s="193"/>
      <c r="Y198" s="193"/>
      <c r="Z198" s="193"/>
    </row>
    <row r="199" spans="1:26" x14ac:dyDescent="0.25">
      <c r="A199" s="193"/>
      <c r="B199" s="193"/>
      <c r="C199" s="193"/>
      <c r="D199" s="193"/>
      <c r="E199" s="193"/>
      <c r="F199" s="193"/>
      <c r="G199" s="193"/>
      <c r="H199" s="193"/>
      <c r="I199" s="193"/>
      <c r="J199" s="193"/>
      <c r="K199" s="193"/>
      <c r="L199" s="193"/>
      <c r="M199" s="193"/>
      <c r="N199" s="193"/>
      <c r="O199" s="193"/>
      <c r="P199" s="193"/>
      <c r="Q199" s="193"/>
      <c r="R199" s="193"/>
      <c r="S199" s="193"/>
      <c r="T199" s="193"/>
      <c r="U199" s="193"/>
      <c r="V199" s="193"/>
      <c r="W199" s="193"/>
      <c r="X199" s="193"/>
      <c r="Y199" s="193"/>
      <c r="Z199" s="193"/>
    </row>
    <row r="200" spans="1:26" x14ac:dyDescent="0.25">
      <c r="A200" s="193"/>
      <c r="B200" s="193"/>
      <c r="C200" s="193"/>
      <c r="D200" s="193"/>
      <c r="E200" s="193"/>
      <c r="F200" s="193"/>
      <c r="G200" s="193"/>
      <c r="H200" s="193"/>
      <c r="I200" s="193"/>
      <c r="J200" s="193"/>
      <c r="K200" s="193"/>
      <c r="L200" s="193"/>
      <c r="M200" s="193"/>
      <c r="N200" s="193"/>
      <c r="O200" s="193"/>
      <c r="P200" s="193"/>
      <c r="Q200" s="193"/>
      <c r="R200" s="193"/>
      <c r="S200" s="193"/>
      <c r="T200" s="193"/>
      <c r="U200" s="193"/>
      <c r="V200" s="193"/>
      <c r="W200" s="193"/>
      <c r="X200" s="193"/>
      <c r="Y200" s="193"/>
      <c r="Z200" s="193"/>
    </row>
    <row r="201" spans="1:26" x14ac:dyDescent="0.25">
      <c r="A201" s="193"/>
      <c r="B201" s="193"/>
      <c r="C201" s="193"/>
      <c r="D201" s="193"/>
      <c r="E201" s="193"/>
      <c r="F201" s="193"/>
      <c r="G201" s="193"/>
      <c r="H201" s="193"/>
      <c r="I201" s="193"/>
      <c r="J201" s="193"/>
      <c r="K201" s="193"/>
      <c r="L201" s="193"/>
      <c r="M201" s="193"/>
      <c r="N201" s="193"/>
      <c r="O201" s="193"/>
      <c r="P201" s="193"/>
      <c r="Q201" s="193"/>
      <c r="R201" s="193"/>
      <c r="S201" s="193"/>
      <c r="T201" s="193"/>
      <c r="U201" s="193"/>
      <c r="V201" s="193"/>
      <c r="W201" s="193"/>
      <c r="X201" s="193"/>
      <c r="Y201" s="193"/>
      <c r="Z201" s="193"/>
    </row>
    <row r="202" spans="1:26" x14ac:dyDescent="0.25">
      <c r="A202" s="193"/>
      <c r="B202" s="193"/>
      <c r="C202" s="193"/>
      <c r="D202" s="193"/>
      <c r="E202" s="193"/>
      <c r="F202" s="193"/>
      <c r="G202" s="193"/>
      <c r="H202" s="193"/>
      <c r="I202" s="193"/>
      <c r="J202" s="193"/>
      <c r="K202" s="193"/>
      <c r="L202" s="193"/>
      <c r="M202" s="193"/>
      <c r="N202" s="193"/>
      <c r="O202" s="193"/>
      <c r="P202" s="193"/>
      <c r="Q202" s="193"/>
      <c r="R202" s="193"/>
      <c r="S202" s="193"/>
      <c r="T202" s="193"/>
      <c r="U202" s="193"/>
      <c r="V202" s="193"/>
      <c r="W202" s="193"/>
      <c r="X202" s="193"/>
      <c r="Y202" s="193"/>
      <c r="Z202" s="193"/>
    </row>
    <row r="203" spans="1:26" x14ac:dyDescent="0.25">
      <c r="A203" s="193"/>
      <c r="B203" s="193"/>
      <c r="C203" s="193"/>
      <c r="D203" s="193"/>
      <c r="E203" s="193"/>
      <c r="F203" s="193"/>
      <c r="G203" s="193"/>
      <c r="H203" s="193"/>
      <c r="I203" s="193"/>
      <c r="J203" s="193"/>
      <c r="K203" s="193"/>
      <c r="L203" s="193"/>
      <c r="M203" s="193"/>
      <c r="N203" s="193"/>
      <c r="O203" s="193"/>
      <c r="P203" s="193"/>
      <c r="Q203" s="193"/>
      <c r="R203" s="193"/>
      <c r="S203" s="193"/>
      <c r="T203" s="193"/>
      <c r="U203" s="193"/>
      <c r="V203" s="193"/>
      <c r="W203" s="193"/>
      <c r="X203" s="193"/>
      <c r="Y203" s="193"/>
      <c r="Z203" s="193"/>
    </row>
    <row r="204" spans="1:26" x14ac:dyDescent="0.25">
      <c r="A204" s="193"/>
      <c r="B204" s="193"/>
      <c r="C204" s="193"/>
      <c r="D204" s="193"/>
      <c r="E204" s="193"/>
      <c r="F204" s="193"/>
      <c r="G204" s="193"/>
      <c r="H204" s="193"/>
      <c r="I204" s="193"/>
      <c r="J204" s="193"/>
      <c r="K204" s="193"/>
      <c r="L204" s="193"/>
      <c r="M204" s="193"/>
      <c r="N204" s="193"/>
      <c r="O204" s="193"/>
      <c r="P204" s="193"/>
      <c r="Q204" s="193"/>
      <c r="R204" s="193"/>
      <c r="S204" s="193"/>
      <c r="T204" s="193"/>
      <c r="U204" s="193"/>
      <c r="V204" s="193"/>
      <c r="W204" s="193"/>
      <c r="X204" s="193"/>
      <c r="Y204" s="193"/>
      <c r="Z204" s="193"/>
    </row>
    <row r="205" spans="1:26" x14ac:dyDescent="0.25">
      <c r="A205" s="193"/>
      <c r="B205" s="193"/>
      <c r="C205" s="193"/>
      <c r="D205" s="193"/>
      <c r="E205" s="193"/>
      <c r="F205" s="193"/>
      <c r="G205" s="193"/>
      <c r="H205" s="193"/>
      <c r="I205" s="193"/>
      <c r="J205" s="193"/>
      <c r="K205" s="193"/>
      <c r="L205" s="193"/>
      <c r="M205" s="193"/>
      <c r="N205" s="193"/>
      <c r="O205" s="193"/>
      <c r="P205" s="193"/>
      <c r="Q205" s="193"/>
      <c r="R205" s="193"/>
      <c r="S205" s="193"/>
      <c r="T205" s="193"/>
      <c r="U205" s="193"/>
      <c r="V205" s="193"/>
      <c r="W205" s="193"/>
      <c r="X205" s="193"/>
      <c r="Y205" s="193"/>
      <c r="Z205" s="193"/>
    </row>
    <row r="206" spans="1:26" x14ac:dyDescent="0.25">
      <c r="A206" s="193"/>
      <c r="B206" s="193"/>
      <c r="C206" s="193"/>
      <c r="D206" s="193"/>
      <c r="E206" s="193"/>
      <c r="F206" s="193"/>
      <c r="G206" s="193"/>
      <c r="H206" s="193"/>
      <c r="I206" s="193"/>
      <c r="J206" s="193"/>
      <c r="K206" s="193"/>
      <c r="L206" s="193"/>
      <c r="M206" s="193"/>
      <c r="N206" s="193"/>
      <c r="O206" s="193"/>
      <c r="P206" s="193"/>
      <c r="Q206" s="193"/>
      <c r="R206" s="193"/>
      <c r="S206" s="193"/>
      <c r="T206" s="193"/>
      <c r="U206" s="193"/>
      <c r="V206" s="193"/>
      <c r="W206" s="193"/>
      <c r="X206" s="193"/>
      <c r="Y206" s="193"/>
      <c r="Z206" s="193"/>
    </row>
    <row r="207" spans="1:26" x14ac:dyDescent="0.25">
      <c r="A207" s="193"/>
      <c r="B207" s="193"/>
      <c r="C207" s="193"/>
      <c r="D207" s="193"/>
      <c r="E207" s="193"/>
      <c r="F207" s="193"/>
      <c r="G207" s="193"/>
      <c r="H207" s="193"/>
      <c r="I207" s="193"/>
      <c r="J207" s="193"/>
      <c r="K207" s="193"/>
      <c r="L207" s="193"/>
      <c r="M207" s="193"/>
      <c r="N207" s="193"/>
      <c r="O207" s="193"/>
      <c r="P207" s="193"/>
      <c r="Q207" s="193"/>
      <c r="R207" s="193"/>
      <c r="S207" s="193"/>
      <c r="T207" s="193"/>
      <c r="U207" s="193"/>
      <c r="V207" s="193"/>
      <c r="W207" s="193"/>
      <c r="X207" s="193"/>
      <c r="Y207" s="193"/>
      <c r="Z207" s="193"/>
    </row>
    <row r="208" spans="1:26" x14ac:dyDescent="0.25">
      <c r="A208" s="193"/>
      <c r="B208" s="193"/>
      <c r="C208" s="193"/>
      <c r="D208" s="193"/>
      <c r="E208" s="193"/>
      <c r="F208" s="193"/>
      <c r="G208" s="193"/>
      <c r="H208" s="193"/>
      <c r="I208" s="193"/>
      <c r="J208" s="193"/>
      <c r="K208" s="193"/>
      <c r="L208" s="193"/>
      <c r="M208" s="193"/>
      <c r="N208" s="193"/>
      <c r="O208" s="193"/>
      <c r="P208" s="193"/>
      <c r="Q208" s="193"/>
      <c r="R208" s="193"/>
      <c r="S208" s="193"/>
      <c r="T208" s="193"/>
      <c r="U208" s="193"/>
      <c r="V208" s="193"/>
      <c r="W208" s="193"/>
      <c r="X208" s="193"/>
      <c r="Y208" s="193"/>
      <c r="Z208" s="193"/>
    </row>
    <row r="209" spans="1:26" x14ac:dyDescent="0.25">
      <c r="A209" s="193"/>
      <c r="B209" s="193"/>
      <c r="C209" s="193"/>
      <c r="D209" s="193"/>
      <c r="E209" s="193"/>
      <c r="F209" s="193"/>
      <c r="G209" s="193"/>
      <c r="H209" s="193"/>
      <c r="I209" s="193"/>
      <c r="J209" s="193"/>
      <c r="K209" s="193"/>
      <c r="L209" s="193"/>
      <c r="M209" s="193"/>
      <c r="N209" s="193"/>
      <c r="O209" s="193"/>
      <c r="P209" s="193"/>
      <c r="Q209" s="193"/>
      <c r="R209" s="193"/>
      <c r="S209" s="193"/>
      <c r="T209" s="193"/>
      <c r="U209" s="193"/>
      <c r="V209" s="193"/>
      <c r="W209" s="193"/>
      <c r="X209" s="193"/>
      <c r="Y209" s="193"/>
      <c r="Z209" s="193"/>
    </row>
    <row r="210" spans="1:26" x14ac:dyDescent="0.25">
      <c r="A210" s="193"/>
      <c r="B210" s="193"/>
      <c r="C210" s="193"/>
      <c r="D210" s="193"/>
      <c r="E210" s="193"/>
      <c r="F210" s="193"/>
      <c r="G210" s="193"/>
      <c r="H210" s="193"/>
      <c r="I210" s="193"/>
      <c r="J210" s="193"/>
      <c r="K210" s="193"/>
      <c r="L210" s="193"/>
      <c r="M210" s="193"/>
      <c r="N210" s="193"/>
      <c r="O210" s="193"/>
      <c r="P210" s="193"/>
      <c r="Q210" s="193"/>
      <c r="R210" s="193"/>
      <c r="S210" s="193"/>
      <c r="T210" s="193"/>
      <c r="U210" s="193"/>
      <c r="V210" s="193"/>
      <c r="W210" s="193"/>
      <c r="X210" s="193"/>
      <c r="Y210" s="193"/>
      <c r="Z210" s="193"/>
    </row>
    <row r="211" spans="1:26" x14ac:dyDescent="0.25">
      <c r="A211" s="193"/>
      <c r="B211" s="193"/>
      <c r="C211" s="193"/>
      <c r="D211" s="193"/>
      <c r="E211" s="193"/>
      <c r="F211" s="193"/>
      <c r="G211" s="193"/>
      <c r="H211" s="193"/>
      <c r="I211" s="193"/>
      <c r="J211" s="193"/>
      <c r="K211" s="193"/>
      <c r="L211" s="193"/>
      <c r="M211" s="193"/>
      <c r="N211" s="193"/>
      <c r="O211" s="193"/>
      <c r="P211" s="193"/>
      <c r="Q211" s="193"/>
      <c r="R211" s="193"/>
      <c r="S211" s="193"/>
      <c r="T211" s="193"/>
      <c r="U211" s="193"/>
      <c r="V211" s="193"/>
      <c r="W211" s="193"/>
      <c r="X211" s="193"/>
      <c r="Y211" s="193"/>
      <c r="Z211" s="193"/>
    </row>
    <row r="212" spans="1:26" x14ac:dyDescent="0.25">
      <c r="A212" s="193"/>
      <c r="B212" s="193"/>
      <c r="C212" s="193"/>
      <c r="D212" s="193"/>
      <c r="E212" s="193"/>
      <c r="F212" s="193"/>
      <c r="G212" s="193"/>
      <c r="H212" s="193"/>
      <c r="I212" s="193"/>
      <c r="J212" s="193"/>
      <c r="K212" s="193"/>
      <c r="L212" s="193"/>
      <c r="M212" s="193"/>
      <c r="N212" s="193"/>
      <c r="O212" s="193"/>
      <c r="P212" s="193"/>
      <c r="Q212" s="193"/>
      <c r="R212" s="193"/>
      <c r="S212" s="193"/>
      <c r="T212" s="193"/>
      <c r="U212" s="193"/>
      <c r="V212" s="193"/>
      <c r="W212" s="193"/>
      <c r="X212" s="193"/>
      <c r="Y212" s="193"/>
      <c r="Z212" s="193"/>
    </row>
    <row r="213" spans="1:26" x14ac:dyDescent="0.25">
      <c r="A213" s="193"/>
      <c r="B213" s="193"/>
      <c r="C213" s="193"/>
      <c r="D213" s="193"/>
      <c r="E213" s="193"/>
      <c r="F213" s="193"/>
      <c r="G213" s="193"/>
      <c r="H213" s="193"/>
      <c r="I213" s="193"/>
      <c r="J213" s="193"/>
      <c r="K213" s="193"/>
      <c r="L213" s="193"/>
      <c r="M213" s="193"/>
      <c r="N213" s="193"/>
      <c r="O213" s="193"/>
      <c r="P213" s="193"/>
      <c r="Q213" s="193"/>
      <c r="R213" s="193"/>
      <c r="S213" s="193"/>
      <c r="T213" s="193"/>
      <c r="U213" s="193"/>
      <c r="V213" s="193"/>
      <c r="W213" s="193"/>
      <c r="X213" s="193"/>
      <c r="Y213" s="193"/>
      <c r="Z213" s="193"/>
    </row>
    <row r="214" spans="1:26" x14ac:dyDescent="0.25">
      <c r="A214" s="193"/>
      <c r="B214" s="193"/>
      <c r="C214" s="193"/>
      <c r="D214" s="193"/>
      <c r="E214" s="193"/>
      <c r="F214" s="193"/>
      <c r="G214" s="193"/>
      <c r="H214" s="193"/>
      <c r="I214" s="193"/>
      <c r="J214" s="193"/>
      <c r="K214" s="193"/>
      <c r="L214" s="193"/>
      <c r="M214" s="193"/>
      <c r="N214" s="193"/>
      <c r="O214" s="193"/>
      <c r="P214" s="193"/>
      <c r="Q214" s="193"/>
      <c r="R214" s="193"/>
      <c r="S214" s="193"/>
      <c r="T214" s="193"/>
      <c r="U214" s="193"/>
      <c r="V214" s="193"/>
      <c r="W214" s="193"/>
      <c r="X214" s="193"/>
      <c r="Y214" s="193"/>
      <c r="Z214" s="193"/>
    </row>
    <row r="215" spans="1:26" x14ac:dyDescent="0.25">
      <c r="A215" s="193"/>
      <c r="B215" s="193"/>
      <c r="C215" s="193"/>
      <c r="D215" s="193"/>
      <c r="E215" s="193"/>
      <c r="F215" s="193"/>
      <c r="G215" s="193"/>
      <c r="H215" s="193"/>
      <c r="I215" s="193"/>
      <c r="J215" s="193"/>
      <c r="K215" s="193"/>
      <c r="L215" s="193"/>
      <c r="M215" s="193"/>
      <c r="N215" s="193"/>
      <c r="O215" s="193"/>
      <c r="P215" s="193"/>
      <c r="Q215" s="193"/>
      <c r="R215" s="193"/>
      <c r="S215" s="193"/>
      <c r="T215" s="193"/>
      <c r="U215" s="193"/>
      <c r="V215" s="193"/>
      <c r="W215" s="193"/>
      <c r="X215" s="193"/>
      <c r="Y215" s="193"/>
      <c r="Z215" s="193"/>
    </row>
    <row r="216" spans="1:26" x14ac:dyDescent="0.25">
      <c r="A216" s="193"/>
      <c r="B216" s="193"/>
      <c r="C216" s="193"/>
      <c r="D216" s="193"/>
      <c r="E216" s="193"/>
      <c r="F216" s="193"/>
      <c r="G216" s="193"/>
      <c r="H216" s="193"/>
      <c r="I216" s="193"/>
      <c r="J216" s="193"/>
      <c r="K216" s="193"/>
      <c r="L216" s="193"/>
      <c r="M216" s="193"/>
      <c r="N216" s="193"/>
      <c r="O216" s="193"/>
      <c r="P216" s="193"/>
      <c r="Q216" s="193"/>
      <c r="R216" s="193"/>
      <c r="S216" s="193"/>
      <c r="T216" s="193"/>
      <c r="U216" s="193"/>
      <c r="V216" s="193"/>
      <c r="W216" s="193"/>
      <c r="X216" s="193"/>
      <c r="Y216" s="193"/>
      <c r="Z216" s="193"/>
    </row>
    <row r="217" spans="1:26" x14ac:dyDescent="0.25">
      <c r="A217" s="193"/>
      <c r="B217" s="193"/>
      <c r="C217" s="193"/>
      <c r="D217" s="193"/>
      <c r="E217" s="193"/>
      <c r="F217" s="193"/>
      <c r="G217" s="193"/>
      <c r="H217" s="193"/>
      <c r="I217" s="193"/>
      <c r="J217" s="193"/>
      <c r="K217" s="193"/>
      <c r="L217" s="193"/>
      <c r="M217" s="193"/>
      <c r="N217" s="193"/>
      <c r="O217" s="193"/>
      <c r="P217" s="193"/>
      <c r="Q217" s="193"/>
      <c r="R217" s="193"/>
      <c r="S217" s="193"/>
      <c r="T217" s="193"/>
      <c r="U217" s="193"/>
      <c r="V217" s="193"/>
      <c r="W217" s="193"/>
      <c r="X217" s="193"/>
      <c r="Y217" s="193"/>
      <c r="Z217" s="193"/>
    </row>
    <row r="218" spans="1:26" x14ac:dyDescent="0.25">
      <c r="A218" s="193"/>
      <c r="B218" s="193"/>
      <c r="C218" s="193"/>
      <c r="D218" s="193"/>
      <c r="E218" s="193"/>
      <c r="F218" s="193"/>
      <c r="G218" s="193"/>
      <c r="H218" s="193"/>
      <c r="I218" s="193"/>
      <c r="J218" s="193"/>
      <c r="K218" s="193"/>
      <c r="L218" s="193"/>
      <c r="M218" s="193"/>
      <c r="N218" s="193"/>
      <c r="O218" s="193"/>
      <c r="P218" s="193"/>
      <c r="Q218" s="193"/>
      <c r="R218" s="193"/>
      <c r="S218" s="193"/>
      <c r="T218" s="193"/>
      <c r="U218" s="193"/>
      <c r="V218" s="193"/>
      <c r="W218" s="193"/>
      <c r="X218" s="193"/>
      <c r="Y218" s="193"/>
      <c r="Z218" s="193"/>
    </row>
    <row r="219" spans="1:26" x14ac:dyDescent="0.25">
      <c r="A219" s="193"/>
      <c r="B219" s="193"/>
      <c r="C219" s="193"/>
      <c r="D219" s="193"/>
      <c r="E219" s="193"/>
      <c r="F219" s="193"/>
      <c r="G219" s="193"/>
      <c r="H219" s="193"/>
      <c r="I219" s="193"/>
      <c r="J219" s="193"/>
      <c r="K219" s="193"/>
      <c r="L219" s="193"/>
      <c r="M219" s="193"/>
      <c r="N219" s="193"/>
      <c r="O219" s="193"/>
      <c r="P219" s="193"/>
      <c r="Q219" s="193"/>
      <c r="R219" s="193"/>
      <c r="S219" s="193"/>
      <c r="T219" s="193"/>
      <c r="U219" s="193"/>
      <c r="V219" s="193"/>
      <c r="W219" s="193"/>
      <c r="X219" s="193"/>
      <c r="Y219" s="193"/>
      <c r="Z219" s="193"/>
    </row>
    <row r="220" spans="1:26" x14ac:dyDescent="0.25">
      <c r="A220" s="193"/>
      <c r="B220" s="193"/>
      <c r="C220" s="193"/>
      <c r="D220" s="193"/>
      <c r="E220" s="193"/>
      <c r="F220" s="193"/>
      <c r="G220" s="193"/>
      <c r="H220" s="193"/>
      <c r="I220" s="193"/>
      <c r="J220" s="193"/>
      <c r="K220" s="193"/>
      <c r="L220" s="193"/>
      <c r="M220" s="193"/>
      <c r="N220" s="193"/>
      <c r="O220" s="193"/>
      <c r="P220" s="193"/>
      <c r="Q220" s="193"/>
      <c r="R220" s="193"/>
      <c r="S220" s="193"/>
      <c r="T220" s="193"/>
      <c r="U220" s="193"/>
      <c r="V220" s="193"/>
      <c r="W220" s="193"/>
      <c r="X220" s="193"/>
      <c r="Y220" s="193"/>
      <c r="Z220" s="193"/>
    </row>
    <row r="221" spans="1:26" x14ac:dyDescent="0.25">
      <c r="A221" s="193"/>
      <c r="B221" s="193"/>
      <c r="C221" s="193"/>
      <c r="D221" s="193"/>
      <c r="E221" s="193"/>
      <c r="F221" s="193"/>
      <c r="G221" s="193"/>
      <c r="H221" s="193"/>
      <c r="I221" s="193"/>
      <c r="J221" s="193"/>
      <c r="K221" s="193"/>
      <c r="L221" s="193"/>
      <c r="M221" s="193"/>
      <c r="N221" s="193"/>
      <c r="O221" s="193"/>
      <c r="P221" s="193"/>
      <c r="Q221" s="193"/>
      <c r="R221" s="193"/>
      <c r="S221" s="193"/>
      <c r="T221" s="193"/>
      <c r="U221" s="193"/>
      <c r="V221" s="193"/>
      <c r="W221" s="193"/>
      <c r="X221" s="193"/>
      <c r="Y221" s="193"/>
      <c r="Z221" s="193"/>
    </row>
    <row r="222" spans="1:26" x14ac:dyDescent="0.25">
      <c r="A222" s="193"/>
      <c r="B222" s="193"/>
      <c r="C222" s="193"/>
      <c r="D222" s="193"/>
      <c r="E222" s="193"/>
      <c r="F222" s="193"/>
      <c r="G222" s="193"/>
      <c r="H222" s="193"/>
      <c r="I222" s="193"/>
      <c r="J222" s="193"/>
      <c r="K222" s="193"/>
      <c r="L222" s="193"/>
      <c r="M222" s="193"/>
      <c r="N222" s="193"/>
      <c r="O222" s="193"/>
      <c r="P222" s="193"/>
      <c r="Q222" s="193"/>
      <c r="R222" s="193"/>
      <c r="S222" s="193"/>
      <c r="T222" s="193"/>
      <c r="U222" s="193"/>
      <c r="V222" s="193"/>
      <c r="W222" s="193"/>
      <c r="X222" s="193"/>
      <c r="Y222" s="193"/>
      <c r="Z222" s="193"/>
    </row>
    <row r="223" spans="1:26" x14ac:dyDescent="0.25">
      <c r="A223" s="193"/>
      <c r="B223" s="193"/>
      <c r="C223" s="193"/>
      <c r="D223" s="193"/>
      <c r="E223" s="193"/>
      <c r="F223" s="193"/>
      <c r="G223" s="193"/>
      <c r="H223" s="193"/>
      <c r="I223" s="193"/>
      <c r="J223" s="193"/>
      <c r="K223" s="193"/>
      <c r="L223" s="193"/>
      <c r="M223" s="193"/>
      <c r="N223" s="193"/>
      <c r="O223" s="193"/>
      <c r="P223" s="193"/>
      <c r="Q223" s="193"/>
      <c r="R223" s="193"/>
      <c r="S223" s="193"/>
      <c r="T223" s="193"/>
      <c r="U223" s="193"/>
      <c r="V223" s="193"/>
      <c r="W223" s="193"/>
      <c r="X223" s="193"/>
      <c r="Y223" s="193"/>
      <c r="Z223" s="193"/>
    </row>
    <row r="224" spans="1:26" x14ac:dyDescent="0.25">
      <c r="A224" s="193"/>
      <c r="B224" s="193"/>
      <c r="C224" s="193"/>
      <c r="D224" s="193"/>
      <c r="E224" s="193"/>
      <c r="F224" s="193"/>
      <c r="G224" s="193"/>
      <c r="H224" s="193"/>
      <c r="I224" s="193"/>
      <c r="J224" s="193"/>
      <c r="K224" s="193"/>
      <c r="L224" s="193"/>
      <c r="M224" s="193"/>
      <c r="N224" s="193"/>
      <c r="O224" s="193"/>
      <c r="P224" s="193"/>
      <c r="Q224" s="193"/>
      <c r="R224" s="193"/>
      <c r="S224" s="193"/>
      <c r="T224" s="193"/>
      <c r="U224" s="193"/>
      <c r="V224" s="193"/>
      <c r="W224" s="193"/>
      <c r="X224" s="193"/>
      <c r="Y224" s="193"/>
      <c r="Z224" s="193"/>
    </row>
    <row r="225" spans="1:26" x14ac:dyDescent="0.25">
      <c r="A225" s="193"/>
      <c r="B225" s="193"/>
      <c r="C225" s="193"/>
      <c r="D225" s="193"/>
      <c r="E225" s="193"/>
      <c r="F225" s="193"/>
      <c r="G225" s="193"/>
      <c r="H225" s="193"/>
      <c r="I225" s="193"/>
      <c r="J225" s="193"/>
      <c r="K225" s="193"/>
      <c r="L225" s="193"/>
      <c r="M225" s="193"/>
      <c r="N225" s="193"/>
      <c r="O225" s="193"/>
      <c r="P225" s="193"/>
      <c r="Q225" s="193"/>
      <c r="R225" s="193"/>
      <c r="S225" s="193"/>
      <c r="T225" s="193"/>
      <c r="U225" s="193"/>
      <c r="V225" s="193"/>
      <c r="W225" s="193"/>
      <c r="X225" s="193"/>
      <c r="Y225" s="193"/>
      <c r="Z225" s="193"/>
    </row>
    <row r="226" spans="1:26" x14ac:dyDescent="0.25">
      <c r="A226" s="193"/>
      <c r="B226" s="193"/>
      <c r="C226" s="193"/>
      <c r="D226" s="193"/>
      <c r="E226" s="193"/>
      <c r="F226" s="193"/>
      <c r="G226" s="193"/>
      <c r="H226" s="193"/>
      <c r="I226" s="193"/>
      <c r="J226" s="193"/>
      <c r="K226" s="193"/>
      <c r="L226" s="193"/>
      <c r="M226" s="193"/>
      <c r="N226" s="193"/>
      <c r="O226" s="193"/>
      <c r="P226" s="193"/>
      <c r="Q226" s="193"/>
      <c r="R226" s="193"/>
      <c r="S226" s="193"/>
      <c r="T226" s="193"/>
      <c r="U226" s="193"/>
      <c r="V226" s="193"/>
      <c r="W226" s="193"/>
      <c r="X226" s="193"/>
      <c r="Y226" s="193"/>
      <c r="Z226" s="193"/>
    </row>
    <row r="227" spans="1:26" x14ac:dyDescent="0.25">
      <c r="A227" s="193"/>
      <c r="B227" s="193"/>
      <c r="C227" s="193"/>
      <c r="D227" s="193"/>
      <c r="E227" s="193"/>
      <c r="F227" s="193"/>
      <c r="G227" s="193"/>
      <c r="H227" s="193"/>
      <c r="I227" s="193"/>
      <c r="J227" s="193"/>
      <c r="K227" s="193"/>
      <c r="L227" s="193"/>
      <c r="M227" s="193"/>
      <c r="N227" s="193"/>
      <c r="O227" s="193"/>
      <c r="P227" s="193"/>
      <c r="Q227" s="193"/>
      <c r="R227" s="193"/>
      <c r="S227" s="193"/>
      <c r="T227" s="193"/>
      <c r="U227" s="193"/>
      <c r="V227" s="193"/>
      <c r="W227" s="193"/>
      <c r="X227" s="193"/>
      <c r="Y227" s="193"/>
      <c r="Z227" s="193"/>
    </row>
    <row r="228" spans="1:26" x14ac:dyDescent="0.25">
      <c r="A228" s="193"/>
      <c r="B228" s="193"/>
      <c r="C228" s="193"/>
      <c r="D228" s="193"/>
      <c r="E228" s="193"/>
      <c r="F228" s="193"/>
      <c r="G228" s="193"/>
      <c r="H228" s="193"/>
      <c r="I228" s="193"/>
      <c r="J228" s="193"/>
      <c r="K228" s="193"/>
      <c r="L228" s="193"/>
      <c r="M228" s="193"/>
      <c r="N228" s="193"/>
      <c r="O228" s="193"/>
      <c r="P228" s="193"/>
      <c r="Q228" s="193"/>
      <c r="R228" s="193"/>
      <c r="S228" s="193"/>
      <c r="T228" s="193"/>
      <c r="U228" s="193"/>
      <c r="V228" s="193"/>
      <c r="W228" s="193"/>
      <c r="X228" s="193"/>
      <c r="Y228" s="193"/>
      <c r="Z228" s="193"/>
    </row>
    <row r="229" spans="1:26" x14ac:dyDescent="0.25">
      <c r="A229" s="193"/>
      <c r="B229" s="193"/>
      <c r="C229" s="193"/>
      <c r="D229" s="193"/>
      <c r="E229" s="193"/>
      <c r="F229" s="193"/>
      <c r="G229" s="193"/>
      <c r="H229" s="193"/>
      <c r="I229" s="193"/>
      <c r="J229" s="193"/>
      <c r="K229" s="193"/>
      <c r="L229" s="193"/>
      <c r="M229" s="193"/>
      <c r="N229" s="193"/>
      <c r="O229" s="193"/>
      <c r="P229" s="193"/>
      <c r="Q229" s="193"/>
      <c r="R229" s="193"/>
      <c r="S229" s="193"/>
      <c r="T229" s="193"/>
      <c r="U229" s="193"/>
      <c r="V229" s="193"/>
      <c r="W229" s="193"/>
      <c r="X229" s="193"/>
      <c r="Y229" s="193"/>
      <c r="Z229" s="193"/>
    </row>
    <row r="230" spans="1:26" x14ac:dyDescent="0.25">
      <c r="A230" s="193"/>
      <c r="B230" s="193"/>
      <c r="C230" s="193"/>
      <c r="D230" s="193"/>
      <c r="E230" s="193"/>
      <c r="F230" s="193"/>
      <c r="G230" s="193"/>
      <c r="H230" s="193"/>
      <c r="I230" s="193"/>
      <c r="J230" s="193"/>
      <c r="K230" s="193"/>
      <c r="L230" s="193"/>
      <c r="M230" s="193"/>
      <c r="N230" s="193"/>
      <c r="O230" s="193"/>
      <c r="P230" s="193"/>
      <c r="Q230" s="193"/>
      <c r="R230" s="193"/>
      <c r="S230" s="193"/>
      <c r="T230" s="193"/>
      <c r="U230" s="193"/>
      <c r="V230" s="193"/>
      <c r="W230" s="193"/>
      <c r="X230" s="193"/>
      <c r="Y230" s="193"/>
      <c r="Z230" s="193"/>
    </row>
    <row r="231" spans="1:26" x14ac:dyDescent="0.25">
      <c r="A231" s="193"/>
      <c r="B231" s="193"/>
      <c r="C231" s="193"/>
      <c r="D231" s="193"/>
      <c r="E231" s="193"/>
      <c r="F231" s="193"/>
      <c r="G231" s="193"/>
      <c r="H231" s="193"/>
      <c r="I231" s="193"/>
      <c r="J231" s="193"/>
      <c r="K231" s="193"/>
      <c r="L231" s="193"/>
      <c r="M231" s="193"/>
      <c r="N231" s="193"/>
      <c r="O231" s="193"/>
      <c r="P231" s="193"/>
      <c r="Q231" s="193"/>
      <c r="R231" s="193"/>
      <c r="S231" s="193"/>
      <c r="T231" s="193"/>
      <c r="U231" s="193"/>
      <c r="V231" s="193"/>
      <c r="W231" s="193"/>
      <c r="X231" s="193"/>
      <c r="Y231" s="193"/>
      <c r="Z231" s="193"/>
    </row>
    <row r="232" spans="1:26" x14ac:dyDescent="0.25">
      <c r="A232" s="193"/>
      <c r="B232" s="193"/>
      <c r="C232" s="193"/>
      <c r="D232" s="193"/>
      <c r="E232" s="193"/>
      <c r="F232" s="193"/>
      <c r="G232" s="193"/>
      <c r="H232" s="193"/>
      <c r="I232" s="193"/>
      <c r="J232" s="193"/>
      <c r="K232" s="193"/>
      <c r="L232" s="193"/>
      <c r="M232" s="193"/>
      <c r="N232" s="193"/>
      <c r="O232" s="193"/>
      <c r="P232" s="193"/>
      <c r="Q232" s="193"/>
      <c r="R232" s="193"/>
      <c r="S232" s="193"/>
      <c r="T232" s="193"/>
      <c r="U232" s="193"/>
      <c r="V232" s="193"/>
      <c r="W232" s="193"/>
      <c r="X232" s="193"/>
      <c r="Y232" s="193"/>
      <c r="Z232" s="193"/>
    </row>
    <row r="233" spans="1:26" x14ac:dyDescent="0.25">
      <c r="A233" s="193"/>
      <c r="B233" s="193"/>
      <c r="C233" s="193"/>
      <c r="D233" s="193"/>
      <c r="E233" s="193"/>
      <c r="F233" s="193"/>
      <c r="G233" s="193"/>
      <c r="H233" s="193"/>
      <c r="I233" s="193"/>
      <c r="J233" s="193"/>
      <c r="K233" s="193"/>
      <c r="L233" s="193"/>
      <c r="M233" s="193"/>
      <c r="N233" s="193"/>
      <c r="O233" s="193"/>
      <c r="P233" s="193"/>
      <c r="Q233" s="193"/>
      <c r="R233" s="193"/>
      <c r="S233" s="193"/>
      <c r="T233" s="193"/>
      <c r="U233" s="193"/>
      <c r="V233" s="193"/>
      <c r="W233" s="193"/>
      <c r="X233" s="193"/>
      <c r="Y233" s="193"/>
      <c r="Z233" s="193"/>
    </row>
    <row r="234" spans="1:26" x14ac:dyDescent="0.25">
      <c r="A234" s="193"/>
      <c r="B234" s="193"/>
      <c r="C234" s="193"/>
      <c r="D234" s="193"/>
      <c r="E234" s="193"/>
      <c r="F234" s="193"/>
      <c r="G234" s="193"/>
      <c r="H234" s="193"/>
      <c r="I234" s="193"/>
      <c r="J234" s="193"/>
      <c r="K234" s="193"/>
      <c r="L234" s="193"/>
      <c r="M234" s="193"/>
      <c r="N234" s="193"/>
      <c r="O234" s="193"/>
      <c r="P234" s="193"/>
      <c r="Q234" s="193"/>
      <c r="R234" s="193"/>
      <c r="S234" s="193"/>
      <c r="T234" s="193"/>
      <c r="U234" s="193"/>
      <c r="V234" s="193"/>
      <c r="W234" s="193"/>
      <c r="X234" s="193"/>
      <c r="Y234" s="193"/>
      <c r="Z234" s="193"/>
    </row>
    <row r="235" spans="1:26" x14ac:dyDescent="0.25">
      <c r="A235" s="193"/>
      <c r="B235" s="193"/>
      <c r="C235" s="193"/>
      <c r="D235" s="193"/>
      <c r="E235" s="193"/>
      <c r="F235" s="193"/>
      <c r="G235" s="193"/>
      <c r="H235" s="193"/>
      <c r="I235" s="193"/>
      <c r="J235" s="193"/>
      <c r="K235" s="193"/>
      <c r="L235" s="193"/>
      <c r="M235" s="193"/>
      <c r="N235" s="193"/>
      <c r="O235" s="193"/>
      <c r="P235" s="193"/>
      <c r="Q235" s="193"/>
      <c r="R235" s="193"/>
      <c r="S235" s="193"/>
      <c r="T235" s="193"/>
      <c r="U235" s="193"/>
      <c r="V235" s="193"/>
      <c r="W235" s="193"/>
      <c r="X235" s="193"/>
      <c r="Y235" s="193"/>
      <c r="Z235" s="193"/>
    </row>
    <row r="236" spans="1:26" x14ac:dyDescent="0.25">
      <c r="A236" s="193"/>
      <c r="B236" s="193"/>
      <c r="C236" s="193"/>
      <c r="D236" s="193"/>
      <c r="E236" s="193"/>
      <c r="F236" s="193"/>
      <c r="G236" s="193"/>
      <c r="H236" s="193"/>
      <c r="I236" s="193"/>
      <c r="J236" s="193"/>
      <c r="K236" s="193"/>
      <c r="L236" s="193"/>
      <c r="M236" s="193"/>
      <c r="N236" s="193"/>
      <c r="O236" s="193"/>
      <c r="P236" s="193"/>
      <c r="Q236" s="193"/>
      <c r="R236" s="193"/>
      <c r="S236" s="193"/>
      <c r="T236" s="193"/>
      <c r="U236" s="193"/>
      <c r="V236" s="193"/>
      <c r="W236" s="193"/>
      <c r="X236" s="193"/>
      <c r="Y236" s="193"/>
      <c r="Z236" s="193"/>
    </row>
    <row r="237" spans="1:26" x14ac:dyDescent="0.25">
      <c r="A237" s="193"/>
      <c r="B237" s="193"/>
      <c r="C237" s="193"/>
      <c r="D237" s="193"/>
      <c r="E237" s="193"/>
      <c r="F237" s="193"/>
      <c r="G237" s="193"/>
      <c r="H237" s="193"/>
      <c r="I237" s="193"/>
      <c r="J237" s="193"/>
      <c r="K237" s="193"/>
      <c r="L237" s="193"/>
      <c r="M237" s="193"/>
      <c r="N237" s="193"/>
      <c r="O237" s="193"/>
      <c r="P237" s="193"/>
      <c r="Q237" s="193"/>
      <c r="R237" s="193"/>
      <c r="S237" s="193"/>
      <c r="T237" s="193"/>
      <c r="U237" s="193"/>
      <c r="V237" s="193"/>
      <c r="W237" s="193"/>
      <c r="X237" s="193"/>
      <c r="Y237" s="193"/>
      <c r="Z237" s="193"/>
    </row>
    <row r="238" spans="1:26" x14ac:dyDescent="0.25">
      <c r="A238" s="193"/>
      <c r="B238" s="193"/>
      <c r="C238" s="193"/>
      <c r="D238" s="193"/>
      <c r="E238" s="193"/>
      <c r="F238" s="193"/>
      <c r="G238" s="193"/>
      <c r="H238" s="193"/>
      <c r="I238" s="193"/>
      <c r="J238" s="193"/>
      <c r="K238" s="193"/>
      <c r="L238" s="193"/>
      <c r="M238" s="193"/>
      <c r="N238" s="193"/>
      <c r="O238" s="193"/>
      <c r="P238" s="193"/>
      <c r="Q238" s="193"/>
      <c r="R238" s="193"/>
      <c r="S238" s="193"/>
      <c r="T238" s="193"/>
      <c r="U238" s="193"/>
      <c r="V238" s="193"/>
      <c r="W238" s="193"/>
      <c r="X238" s="193"/>
      <c r="Y238" s="193"/>
      <c r="Z238" s="193"/>
    </row>
    <row r="239" spans="1:26" x14ac:dyDescent="0.25">
      <c r="A239" s="193"/>
      <c r="B239" s="193"/>
      <c r="C239" s="193"/>
      <c r="D239" s="193"/>
      <c r="E239" s="193"/>
      <c r="F239" s="193"/>
      <c r="G239" s="193"/>
      <c r="H239" s="193"/>
      <c r="I239" s="193"/>
      <c r="J239" s="193"/>
      <c r="K239" s="193"/>
      <c r="L239" s="193"/>
      <c r="M239" s="193"/>
      <c r="N239" s="193"/>
      <c r="O239" s="193"/>
      <c r="P239" s="193"/>
      <c r="Q239" s="193"/>
      <c r="R239" s="193"/>
      <c r="S239" s="193"/>
      <c r="T239" s="193"/>
      <c r="U239" s="193"/>
      <c r="V239" s="193"/>
      <c r="W239" s="193"/>
      <c r="X239" s="193"/>
      <c r="Y239" s="193"/>
      <c r="Z239" s="193"/>
    </row>
    <row r="240" spans="1:26" x14ac:dyDescent="0.25">
      <c r="A240" s="193"/>
      <c r="B240" s="193"/>
      <c r="C240" s="193"/>
      <c r="D240" s="193"/>
      <c r="E240" s="193"/>
      <c r="F240" s="193"/>
      <c r="G240" s="193"/>
      <c r="H240" s="193"/>
      <c r="I240" s="193"/>
      <c r="J240" s="193"/>
      <c r="K240" s="193"/>
      <c r="L240" s="193"/>
      <c r="M240" s="193"/>
      <c r="N240" s="193"/>
      <c r="O240" s="193"/>
      <c r="P240" s="193"/>
      <c r="Q240" s="193"/>
      <c r="R240" s="193"/>
      <c r="S240" s="193"/>
      <c r="T240" s="193"/>
      <c r="U240" s="193"/>
      <c r="V240" s="193"/>
      <c r="W240" s="193"/>
      <c r="X240" s="193"/>
      <c r="Y240" s="193"/>
      <c r="Z240" s="193"/>
    </row>
    <row r="241" spans="1:26" x14ac:dyDescent="0.25">
      <c r="A241" s="193"/>
      <c r="B241" s="193"/>
      <c r="C241" s="193"/>
      <c r="D241" s="193"/>
      <c r="E241" s="193"/>
      <c r="F241" s="193"/>
      <c r="G241" s="193"/>
      <c r="H241" s="193"/>
      <c r="I241" s="193"/>
      <c r="J241" s="193"/>
      <c r="K241" s="193"/>
      <c r="L241" s="193"/>
      <c r="M241" s="193"/>
      <c r="N241" s="193"/>
      <c r="O241" s="193"/>
      <c r="P241" s="193"/>
      <c r="Q241" s="193"/>
      <c r="R241" s="193"/>
      <c r="S241" s="193"/>
      <c r="T241" s="193"/>
      <c r="U241" s="193"/>
      <c r="V241" s="193"/>
      <c r="W241" s="193"/>
      <c r="X241" s="193"/>
      <c r="Y241" s="193"/>
      <c r="Z241" s="193"/>
    </row>
    <row r="242" spans="1:26" x14ac:dyDescent="0.25">
      <c r="A242" s="193"/>
      <c r="B242" s="193"/>
      <c r="C242" s="193"/>
      <c r="D242" s="193"/>
      <c r="E242" s="193"/>
      <c r="F242" s="193"/>
      <c r="G242" s="193"/>
      <c r="H242" s="193"/>
      <c r="I242" s="193"/>
      <c r="J242" s="193"/>
      <c r="K242" s="193"/>
      <c r="L242" s="193"/>
      <c r="M242" s="193"/>
      <c r="N242" s="193"/>
      <c r="O242" s="193"/>
      <c r="P242" s="193"/>
      <c r="Q242" s="193"/>
      <c r="R242" s="193"/>
      <c r="S242" s="193"/>
      <c r="T242" s="193"/>
      <c r="U242" s="193"/>
      <c r="V242" s="193"/>
      <c r="W242" s="193"/>
      <c r="X242" s="193"/>
      <c r="Y242" s="193"/>
      <c r="Z242" s="193"/>
    </row>
    <row r="243" spans="1:26" x14ac:dyDescent="0.25">
      <c r="A243" s="193"/>
      <c r="B243" s="193"/>
      <c r="C243" s="193"/>
      <c r="D243" s="193"/>
      <c r="E243" s="193"/>
      <c r="F243" s="193"/>
      <c r="G243" s="193"/>
      <c r="H243" s="193"/>
      <c r="I243" s="193"/>
      <c r="J243" s="193"/>
      <c r="K243" s="193"/>
      <c r="L243" s="193"/>
      <c r="M243" s="193"/>
      <c r="N243" s="193"/>
      <c r="O243" s="193"/>
      <c r="P243" s="193"/>
      <c r="Q243" s="193"/>
      <c r="R243" s="193"/>
      <c r="S243" s="193"/>
      <c r="T243" s="193"/>
      <c r="U243" s="193"/>
      <c r="V243" s="193"/>
      <c r="W243" s="193"/>
      <c r="X243" s="193"/>
      <c r="Y243" s="193"/>
      <c r="Z243" s="193"/>
    </row>
    <row r="244" spans="1:26" x14ac:dyDescent="0.25">
      <c r="A244" s="193"/>
      <c r="B244" s="193"/>
      <c r="C244" s="193"/>
      <c r="D244" s="193"/>
      <c r="E244" s="193"/>
      <c r="F244" s="193"/>
      <c r="G244" s="193"/>
      <c r="H244" s="193"/>
      <c r="I244" s="193"/>
      <c r="J244" s="193"/>
      <c r="K244" s="193"/>
      <c r="L244" s="193"/>
      <c r="M244" s="193"/>
      <c r="N244" s="193"/>
      <c r="O244" s="193"/>
      <c r="P244" s="193"/>
      <c r="Q244" s="193"/>
      <c r="R244" s="193"/>
      <c r="S244" s="193"/>
      <c r="T244" s="193"/>
      <c r="U244" s="193"/>
      <c r="V244" s="193"/>
      <c r="W244" s="193"/>
      <c r="X244" s="193"/>
      <c r="Y244" s="193"/>
      <c r="Z244" s="193"/>
    </row>
    <row r="245" spans="1:26" x14ac:dyDescent="0.25">
      <c r="A245" s="193"/>
      <c r="B245" s="193"/>
      <c r="C245" s="193"/>
      <c r="D245" s="193"/>
      <c r="E245" s="193"/>
      <c r="F245" s="193"/>
      <c r="G245" s="193"/>
      <c r="H245" s="193"/>
      <c r="I245" s="193"/>
      <c r="J245" s="193"/>
      <c r="K245" s="193"/>
      <c r="L245" s="193"/>
      <c r="M245" s="193"/>
      <c r="N245" s="193"/>
      <c r="O245" s="193"/>
      <c r="P245" s="193"/>
      <c r="Q245" s="193"/>
      <c r="R245" s="193"/>
      <c r="S245" s="193"/>
      <c r="T245" s="193"/>
      <c r="U245" s="193"/>
      <c r="V245" s="193"/>
      <c r="W245" s="193"/>
      <c r="X245" s="193"/>
      <c r="Y245" s="193"/>
      <c r="Z245" s="193"/>
    </row>
    <row r="246" spans="1:26" x14ac:dyDescent="0.25">
      <c r="A246" s="193"/>
      <c r="B246" s="193"/>
      <c r="C246" s="193"/>
      <c r="D246" s="193"/>
      <c r="E246" s="193"/>
      <c r="F246" s="193"/>
      <c r="G246" s="193"/>
      <c r="H246" s="193"/>
      <c r="I246" s="193"/>
      <c r="J246" s="193"/>
      <c r="K246" s="193"/>
      <c r="L246" s="193"/>
      <c r="M246" s="193"/>
      <c r="N246" s="193"/>
      <c r="O246" s="193"/>
      <c r="P246" s="193"/>
      <c r="Q246" s="193"/>
      <c r="R246" s="193"/>
      <c r="S246" s="193"/>
      <c r="T246" s="193"/>
      <c r="U246" s="193"/>
      <c r="V246" s="193"/>
      <c r="W246" s="193"/>
      <c r="X246" s="193"/>
      <c r="Y246" s="193"/>
      <c r="Z246" s="193"/>
    </row>
    <row r="247" spans="1:26" x14ac:dyDescent="0.25">
      <c r="A247" s="193"/>
      <c r="B247" s="193"/>
      <c r="C247" s="193"/>
      <c r="D247" s="193"/>
      <c r="E247" s="193"/>
      <c r="F247" s="193"/>
      <c r="G247" s="193"/>
      <c r="H247" s="193"/>
      <c r="I247" s="193"/>
      <c r="J247" s="193"/>
      <c r="K247" s="193"/>
      <c r="L247" s="193"/>
      <c r="M247" s="193"/>
      <c r="N247" s="193"/>
      <c r="O247" s="193"/>
      <c r="P247" s="193"/>
      <c r="Q247" s="193"/>
      <c r="R247" s="193"/>
      <c r="S247" s="193"/>
      <c r="T247" s="193"/>
      <c r="U247" s="193"/>
      <c r="V247" s="193"/>
      <c r="W247" s="193"/>
      <c r="X247" s="193"/>
      <c r="Y247" s="193"/>
      <c r="Z247" s="193"/>
    </row>
    <row r="248" spans="1:26" x14ac:dyDescent="0.25">
      <c r="A248" s="193"/>
      <c r="B248" s="193"/>
      <c r="C248" s="193"/>
      <c r="D248" s="193"/>
      <c r="E248" s="193"/>
      <c r="F248" s="193"/>
      <c r="G248" s="193"/>
      <c r="H248" s="193"/>
      <c r="I248" s="193"/>
      <c r="J248" s="193"/>
      <c r="K248" s="193"/>
      <c r="L248" s="193"/>
      <c r="M248" s="193"/>
      <c r="N248" s="193"/>
      <c r="O248" s="193"/>
      <c r="P248" s="193"/>
      <c r="Q248" s="193"/>
      <c r="R248" s="193"/>
      <c r="S248" s="193"/>
      <c r="T248" s="193"/>
      <c r="U248" s="193"/>
      <c r="V248" s="193"/>
      <c r="W248" s="193"/>
      <c r="X248" s="193"/>
      <c r="Y248" s="193"/>
      <c r="Z248" s="193"/>
    </row>
    <row r="249" spans="1:26" x14ac:dyDescent="0.25">
      <c r="A249" s="193"/>
      <c r="B249" s="193"/>
      <c r="C249" s="193"/>
      <c r="D249" s="193"/>
      <c r="E249" s="193"/>
      <c r="F249" s="193"/>
      <c r="G249" s="193"/>
      <c r="H249" s="193"/>
      <c r="I249" s="193"/>
      <c r="J249" s="193"/>
      <c r="K249" s="193"/>
      <c r="L249" s="193"/>
      <c r="M249" s="193"/>
      <c r="N249" s="193"/>
      <c r="O249" s="193"/>
      <c r="P249" s="193"/>
      <c r="Q249" s="193"/>
      <c r="R249" s="193"/>
      <c r="S249" s="193"/>
      <c r="T249" s="193"/>
      <c r="U249" s="193"/>
      <c r="V249" s="193"/>
      <c r="W249" s="193"/>
      <c r="X249" s="193"/>
      <c r="Y249" s="193"/>
      <c r="Z249" s="193"/>
    </row>
    <row r="250" spans="1:26" x14ac:dyDescent="0.25">
      <c r="A250" s="193"/>
      <c r="B250" s="193"/>
      <c r="C250" s="193"/>
      <c r="D250" s="193"/>
      <c r="E250" s="193"/>
      <c r="F250" s="193"/>
      <c r="G250" s="193"/>
      <c r="H250" s="193"/>
      <c r="I250" s="193"/>
      <c r="J250" s="193"/>
      <c r="K250" s="193"/>
      <c r="L250" s="193"/>
      <c r="M250" s="193"/>
      <c r="N250" s="193"/>
      <c r="O250" s="193"/>
      <c r="P250" s="193"/>
      <c r="Q250" s="193"/>
      <c r="R250" s="193"/>
      <c r="S250" s="193"/>
      <c r="T250" s="193"/>
      <c r="U250" s="193"/>
      <c r="V250" s="193"/>
      <c r="W250" s="193"/>
      <c r="X250" s="193"/>
      <c r="Y250" s="193"/>
      <c r="Z250" s="193"/>
    </row>
    <row r="251" spans="1:26" x14ac:dyDescent="0.25">
      <c r="A251" s="193"/>
      <c r="B251" s="193"/>
      <c r="C251" s="193"/>
      <c r="D251" s="193"/>
      <c r="E251" s="193"/>
      <c r="F251" s="193"/>
      <c r="G251" s="193"/>
      <c r="H251" s="193"/>
      <c r="I251" s="193"/>
      <c r="J251" s="193"/>
      <c r="K251" s="193"/>
      <c r="L251" s="193"/>
      <c r="M251" s="193"/>
      <c r="N251" s="193"/>
      <c r="O251" s="193"/>
      <c r="P251" s="193"/>
      <c r="Q251" s="193"/>
      <c r="R251" s="193"/>
      <c r="S251" s="193"/>
      <c r="T251" s="193"/>
      <c r="U251" s="193"/>
      <c r="V251" s="193"/>
      <c r="W251" s="193"/>
      <c r="X251" s="193"/>
      <c r="Y251" s="193"/>
      <c r="Z251" s="193"/>
    </row>
    <row r="252" spans="1:26" x14ac:dyDescent="0.25">
      <c r="A252" s="193"/>
      <c r="B252" s="193"/>
      <c r="C252" s="193"/>
      <c r="D252" s="193"/>
      <c r="E252" s="193"/>
      <c r="F252" s="193"/>
      <c r="G252" s="193"/>
      <c r="H252" s="193"/>
      <c r="I252" s="193"/>
      <c r="J252" s="193"/>
      <c r="K252" s="193"/>
      <c r="L252" s="193"/>
      <c r="M252" s="193"/>
      <c r="N252" s="193"/>
      <c r="O252" s="193"/>
      <c r="P252" s="193"/>
      <c r="Q252" s="193"/>
      <c r="R252" s="193"/>
      <c r="S252" s="193"/>
      <c r="T252" s="193"/>
      <c r="U252" s="193"/>
      <c r="V252" s="193"/>
      <c r="W252" s="193"/>
      <c r="X252" s="193"/>
      <c r="Y252" s="193"/>
      <c r="Z252" s="193"/>
    </row>
    <row r="253" spans="1:26" x14ac:dyDescent="0.25">
      <c r="A253" s="193"/>
      <c r="B253" s="193"/>
      <c r="C253" s="193"/>
      <c r="D253" s="193"/>
      <c r="E253" s="193"/>
      <c r="F253" s="193"/>
      <c r="G253" s="193"/>
      <c r="H253" s="193"/>
      <c r="I253" s="193"/>
      <c r="J253" s="193"/>
      <c r="K253" s="193"/>
      <c r="L253" s="193"/>
      <c r="M253" s="193"/>
      <c r="N253" s="193"/>
      <c r="O253" s="193"/>
      <c r="P253" s="193"/>
      <c r="Q253" s="193"/>
      <c r="R253" s="193"/>
      <c r="S253" s="193"/>
      <c r="T253" s="193"/>
      <c r="U253" s="193"/>
      <c r="V253" s="193"/>
      <c r="W253" s="193"/>
      <c r="X253" s="193"/>
      <c r="Y253" s="193"/>
      <c r="Z253" s="193"/>
    </row>
    <row r="254" spans="1:26" x14ac:dyDescent="0.25">
      <c r="A254" s="193"/>
      <c r="B254" s="193"/>
      <c r="C254" s="193"/>
      <c r="D254" s="193"/>
      <c r="E254" s="193"/>
      <c r="F254" s="193"/>
      <c r="G254" s="193"/>
      <c r="H254" s="193"/>
      <c r="I254" s="193"/>
      <c r="J254" s="193"/>
      <c r="K254" s="193"/>
      <c r="L254" s="193"/>
      <c r="M254" s="193"/>
      <c r="N254" s="193"/>
      <c r="O254" s="193"/>
      <c r="P254" s="193"/>
      <c r="Q254" s="193"/>
      <c r="R254" s="193"/>
      <c r="S254" s="193"/>
      <c r="T254" s="193"/>
      <c r="U254" s="193"/>
      <c r="V254" s="193"/>
      <c r="W254" s="193"/>
      <c r="X254" s="193"/>
      <c r="Y254" s="193"/>
      <c r="Z254" s="193"/>
    </row>
    <row r="255" spans="1:26" x14ac:dyDescent="0.25">
      <c r="A255" s="193"/>
      <c r="B255" s="193"/>
      <c r="C255" s="193"/>
      <c r="D255" s="193"/>
      <c r="E255" s="193"/>
      <c r="F255" s="193"/>
      <c r="G255" s="193"/>
      <c r="H255" s="193"/>
      <c r="I255" s="193"/>
      <c r="J255" s="193"/>
      <c r="K255" s="193"/>
      <c r="L255" s="193"/>
      <c r="M255" s="193"/>
      <c r="N255" s="193"/>
      <c r="O255" s="193"/>
      <c r="P255" s="193"/>
      <c r="Q255" s="193"/>
      <c r="R255" s="193"/>
      <c r="S255" s="193"/>
      <c r="T255" s="193"/>
      <c r="U255" s="193"/>
      <c r="V255" s="193"/>
      <c r="W255" s="193"/>
      <c r="X255" s="193"/>
      <c r="Y255" s="193"/>
      <c r="Z255" s="193"/>
    </row>
    <row r="256" spans="1:26" x14ac:dyDescent="0.25">
      <c r="A256" s="193"/>
      <c r="B256" s="193"/>
      <c r="C256" s="193"/>
      <c r="D256" s="193"/>
      <c r="E256" s="193"/>
      <c r="F256" s="193"/>
      <c r="G256" s="193"/>
      <c r="H256" s="193"/>
      <c r="I256" s="193"/>
      <c r="J256" s="193"/>
      <c r="K256" s="193"/>
      <c r="L256" s="193"/>
      <c r="M256" s="193"/>
      <c r="N256" s="193"/>
      <c r="O256" s="193"/>
      <c r="P256" s="193"/>
      <c r="Q256" s="193"/>
      <c r="R256" s="193"/>
      <c r="S256" s="193"/>
      <c r="T256" s="193"/>
      <c r="U256" s="193"/>
      <c r="V256" s="193"/>
      <c r="W256" s="193"/>
      <c r="X256" s="193"/>
      <c r="Y256" s="193"/>
      <c r="Z256" s="193"/>
    </row>
    <row r="257" spans="1:26" x14ac:dyDescent="0.25">
      <c r="A257" s="193"/>
      <c r="B257" s="193"/>
      <c r="C257" s="193"/>
      <c r="D257" s="193"/>
      <c r="E257" s="193"/>
      <c r="F257" s="193"/>
      <c r="G257" s="193"/>
      <c r="H257" s="193"/>
      <c r="I257" s="193"/>
      <c r="J257" s="193"/>
      <c r="K257" s="193"/>
      <c r="L257" s="193"/>
      <c r="M257" s="193"/>
      <c r="N257" s="193"/>
      <c r="O257" s="193"/>
      <c r="P257" s="193"/>
      <c r="Q257" s="193"/>
      <c r="R257" s="193"/>
      <c r="S257" s="193"/>
      <c r="T257" s="193"/>
      <c r="U257" s="193"/>
      <c r="V257" s="193"/>
      <c r="W257" s="193"/>
      <c r="X257" s="193"/>
      <c r="Y257" s="193"/>
      <c r="Z257" s="193"/>
    </row>
    <row r="258" spans="1:26" x14ac:dyDescent="0.25">
      <c r="A258" s="193"/>
      <c r="B258" s="193"/>
      <c r="C258" s="193"/>
      <c r="D258" s="193"/>
      <c r="E258" s="193"/>
      <c r="F258" s="193"/>
      <c r="G258" s="193"/>
      <c r="H258" s="193"/>
      <c r="I258" s="193"/>
      <c r="J258" s="193"/>
      <c r="K258" s="193"/>
      <c r="L258" s="193"/>
      <c r="M258" s="193"/>
      <c r="N258" s="193"/>
      <c r="O258" s="193"/>
      <c r="P258" s="193"/>
      <c r="Q258" s="193"/>
      <c r="R258" s="193"/>
      <c r="S258" s="193"/>
      <c r="T258" s="193"/>
      <c r="U258" s="193"/>
      <c r="V258" s="193"/>
      <c r="W258" s="193"/>
      <c r="X258" s="193"/>
      <c r="Y258" s="193"/>
      <c r="Z258" s="193"/>
    </row>
    <row r="259" spans="1:26" x14ac:dyDescent="0.25">
      <c r="A259" s="193"/>
      <c r="B259" s="193"/>
      <c r="C259" s="193"/>
      <c r="D259" s="193"/>
      <c r="E259" s="193"/>
      <c r="F259" s="193"/>
      <c r="G259" s="193"/>
      <c r="H259" s="193"/>
      <c r="I259" s="193"/>
      <c r="J259" s="193"/>
      <c r="K259" s="193"/>
      <c r="L259" s="193"/>
      <c r="M259" s="193"/>
      <c r="N259" s="193"/>
      <c r="O259" s="193"/>
      <c r="P259" s="193"/>
      <c r="Q259" s="193"/>
      <c r="R259" s="193"/>
      <c r="S259" s="193"/>
      <c r="T259" s="193"/>
      <c r="U259" s="193"/>
      <c r="V259" s="193"/>
      <c r="W259" s="193"/>
      <c r="X259" s="193"/>
      <c r="Y259" s="193"/>
      <c r="Z259" s="193"/>
    </row>
    <row r="260" spans="1:26" x14ac:dyDescent="0.25">
      <c r="A260" s="193"/>
      <c r="B260" s="193"/>
      <c r="C260" s="193"/>
      <c r="D260" s="193"/>
      <c r="E260" s="193"/>
      <c r="F260" s="193"/>
      <c r="G260" s="193"/>
      <c r="H260" s="193"/>
      <c r="I260" s="193"/>
      <c r="J260" s="193"/>
      <c r="K260" s="193"/>
      <c r="L260" s="193"/>
      <c r="M260" s="193"/>
      <c r="N260" s="193"/>
      <c r="O260" s="193"/>
      <c r="P260" s="193"/>
      <c r="Q260" s="193"/>
      <c r="R260" s="193"/>
      <c r="S260" s="193"/>
      <c r="T260" s="193"/>
      <c r="U260" s="193"/>
      <c r="V260" s="193"/>
      <c r="W260" s="193"/>
      <c r="X260" s="193"/>
      <c r="Y260" s="193"/>
      <c r="Z260" s="193"/>
    </row>
    <row r="261" spans="1:26" x14ac:dyDescent="0.25">
      <c r="A261" s="193"/>
      <c r="B261" s="193"/>
      <c r="C261" s="193"/>
      <c r="D261" s="193"/>
      <c r="E261" s="193"/>
      <c r="F261" s="193"/>
      <c r="G261" s="193"/>
      <c r="H261" s="193"/>
      <c r="I261" s="193"/>
      <c r="J261" s="193"/>
      <c r="K261" s="193"/>
      <c r="L261" s="193"/>
      <c r="M261" s="193"/>
      <c r="N261" s="193"/>
      <c r="O261" s="193"/>
      <c r="P261" s="193"/>
      <c r="Q261" s="193"/>
      <c r="R261" s="193"/>
      <c r="S261" s="193"/>
      <c r="T261" s="193"/>
      <c r="U261" s="193"/>
      <c r="V261" s="193"/>
      <c r="W261" s="193"/>
      <c r="X261" s="193"/>
      <c r="Y261" s="193"/>
      <c r="Z261" s="193"/>
    </row>
    <row r="262" spans="1:26" x14ac:dyDescent="0.25">
      <c r="A262" s="193"/>
      <c r="B262" s="193"/>
      <c r="C262" s="193"/>
      <c r="D262" s="193"/>
      <c r="E262" s="193"/>
      <c r="F262" s="193"/>
      <c r="G262" s="193"/>
      <c r="H262" s="193"/>
      <c r="I262" s="193"/>
      <c r="J262" s="193"/>
      <c r="K262" s="193"/>
      <c r="L262" s="193"/>
      <c r="M262" s="193"/>
      <c r="N262" s="193"/>
      <c r="O262" s="193"/>
      <c r="P262" s="193"/>
      <c r="Q262" s="193"/>
      <c r="R262" s="193"/>
      <c r="S262" s="193"/>
      <c r="T262" s="193"/>
      <c r="U262" s="193"/>
      <c r="V262" s="193"/>
      <c r="W262" s="193"/>
      <c r="X262" s="193"/>
      <c r="Y262" s="193"/>
      <c r="Z262" s="193"/>
    </row>
    <row r="263" spans="1:26" x14ac:dyDescent="0.25">
      <c r="A263" s="193"/>
      <c r="B263" s="193"/>
      <c r="C263" s="193"/>
      <c r="D263" s="193"/>
      <c r="E263" s="193"/>
      <c r="F263" s="193"/>
      <c r="G263" s="193"/>
      <c r="H263" s="193"/>
      <c r="I263" s="193"/>
      <c r="J263" s="193"/>
      <c r="K263" s="193"/>
      <c r="L263" s="193"/>
      <c r="M263" s="193"/>
      <c r="N263" s="193"/>
      <c r="O263" s="193"/>
      <c r="P263" s="193"/>
      <c r="Q263" s="193"/>
      <c r="R263" s="193"/>
      <c r="S263" s="193"/>
      <c r="T263" s="193"/>
      <c r="U263" s="193"/>
      <c r="V263" s="193"/>
      <c r="W263" s="193"/>
      <c r="X263" s="193"/>
      <c r="Y263" s="193"/>
      <c r="Z263" s="193"/>
    </row>
    <row r="264" spans="1:26" x14ac:dyDescent="0.25">
      <c r="A264" s="193"/>
      <c r="B264" s="193"/>
      <c r="C264" s="193"/>
      <c r="D264" s="193"/>
      <c r="E264" s="193"/>
      <c r="F264" s="193"/>
      <c r="G264" s="193"/>
      <c r="H264" s="193"/>
      <c r="I264" s="193"/>
      <c r="J264" s="193"/>
      <c r="K264" s="193"/>
      <c r="L264" s="193"/>
      <c r="M264" s="193"/>
      <c r="N264" s="193"/>
      <c r="O264" s="193"/>
      <c r="P264" s="193"/>
      <c r="Q264" s="193"/>
      <c r="R264" s="193"/>
      <c r="S264" s="193"/>
      <c r="T264" s="193"/>
      <c r="U264" s="193"/>
      <c r="V264" s="193"/>
      <c r="W264" s="193"/>
      <c r="X264" s="193"/>
      <c r="Y264" s="193"/>
      <c r="Z264" s="193"/>
    </row>
    <row r="265" spans="1:26" x14ac:dyDescent="0.25">
      <c r="A265" s="193"/>
      <c r="B265" s="193"/>
      <c r="C265" s="193"/>
      <c r="D265" s="193"/>
      <c r="E265" s="193"/>
      <c r="F265" s="193"/>
      <c r="G265" s="193"/>
      <c r="H265" s="193"/>
      <c r="I265" s="193"/>
      <c r="J265" s="193"/>
      <c r="K265" s="193"/>
      <c r="L265" s="193"/>
      <c r="M265" s="193"/>
      <c r="N265" s="193"/>
      <c r="O265" s="193"/>
      <c r="P265" s="193"/>
      <c r="Q265" s="193"/>
      <c r="R265" s="193"/>
      <c r="S265" s="193"/>
      <c r="T265" s="193"/>
      <c r="U265" s="193"/>
      <c r="V265" s="193"/>
      <c r="W265" s="193"/>
      <c r="X265" s="193"/>
      <c r="Y265" s="193"/>
      <c r="Z265" s="193"/>
    </row>
    <row r="266" spans="1:26" x14ac:dyDescent="0.25">
      <c r="A266" s="193"/>
      <c r="B266" s="193"/>
      <c r="C266" s="193"/>
      <c r="D266" s="193"/>
      <c r="E266" s="193"/>
      <c r="F266" s="193"/>
      <c r="G266" s="193"/>
      <c r="H266" s="193"/>
      <c r="I266" s="193"/>
      <c r="J266" s="193"/>
      <c r="K266" s="193"/>
      <c r="L266" s="193"/>
      <c r="M266" s="193"/>
      <c r="N266" s="193"/>
      <c r="O266" s="193"/>
      <c r="P266" s="193"/>
      <c r="Q266" s="193"/>
      <c r="R266" s="193"/>
      <c r="S266" s="193"/>
      <c r="T266" s="193"/>
      <c r="U266" s="193"/>
      <c r="V266" s="193"/>
      <c r="W266" s="193"/>
      <c r="X266" s="193"/>
      <c r="Y266" s="193"/>
      <c r="Z266" s="193"/>
    </row>
    <row r="267" spans="1:26" x14ac:dyDescent="0.25">
      <c r="A267" s="193"/>
      <c r="B267" s="193"/>
      <c r="C267" s="193"/>
      <c r="D267" s="193"/>
      <c r="E267" s="193"/>
      <c r="F267" s="193"/>
      <c r="G267" s="193"/>
      <c r="H267" s="193"/>
      <c r="I267" s="193"/>
      <c r="J267" s="193"/>
      <c r="K267" s="193"/>
      <c r="L267" s="193"/>
      <c r="M267" s="193"/>
      <c r="N267" s="193"/>
      <c r="O267" s="193"/>
      <c r="P267" s="193"/>
      <c r="Q267" s="193"/>
      <c r="R267" s="193"/>
      <c r="S267" s="193"/>
      <c r="T267" s="193"/>
      <c r="U267" s="193"/>
      <c r="V267" s="193"/>
      <c r="W267" s="193"/>
      <c r="X267" s="193"/>
      <c r="Y267" s="193"/>
      <c r="Z267" s="193"/>
    </row>
    <row r="268" spans="1:26" x14ac:dyDescent="0.25">
      <c r="A268" s="193"/>
      <c r="B268" s="193"/>
      <c r="C268" s="193"/>
      <c r="D268" s="193"/>
      <c r="E268" s="193"/>
      <c r="F268" s="193"/>
      <c r="G268" s="193"/>
      <c r="H268" s="193"/>
      <c r="I268" s="193"/>
      <c r="J268" s="193"/>
      <c r="K268" s="193"/>
      <c r="L268" s="193"/>
      <c r="M268" s="193"/>
      <c r="N268" s="193"/>
      <c r="O268" s="193"/>
      <c r="P268" s="193"/>
      <c r="Q268" s="193"/>
      <c r="R268" s="193"/>
      <c r="S268" s="193"/>
      <c r="T268" s="193"/>
      <c r="U268" s="193"/>
      <c r="V268" s="193"/>
      <c r="W268" s="193"/>
      <c r="X268" s="193"/>
      <c r="Y268" s="193"/>
      <c r="Z268" s="193"/>
    </row>
    <row r="269" spans="1:26" x14ac:dyDescent="0.25">
      <c r="A269" s="193"/>
      <c r="B269" s="193"/>
      <c r="C269" s="193"/>
      <c r="D269" s="193"/>
      <c r="E269" s="193"/>
      <c r="F269" s="193"/>
      <c r="G269" s="193"/>
      <c r="H269" s="193"/>
      <c r="I269" s="193"/>
      <c r="J269" s="193"/>
      <c r="K269" s="193"/>
      <c r="L269" s="193"/>
      <c r="M269" s="193"/>
      <c r="N269" s="193"/>
      <c r="O269" s="193"/>
      <c r="P269" s="193"/>
      <c r="Q269" s="193"/>
      <c r="R269" s="193"/>
      <c r="S269" s="193"/>
      <c r="T269" s="193"/>
      <c r="U269" s="193"/>
      <c r="V269" s="193"/>
      <c r="W269" s="193"/>
      <c r="X269" s="193"/>
      <c r="Y269" s="193"/>
      <c r="Z269" s="193"/>
    </row>
    <row r="270" spans="1:26" x14ac:dyDescent="0.25">
      <c r="A270" s="193"/>
      <c r="B270" s="193"/>
      <c r="C270" s="193"/>
      <c r="D270" s="193"/>
      <c r="E270" s="193"/>
      <c r="F270" s="193"/>
      <c r="G270" s="193"/>
      <c r="H270" s="193"/>
      <c r="I270" s="193"/>
      <c r="J270" s="193"/>
      <c r="K270" s="193"/>
      <c r="L270" s="193"/>
      <c r="M270" s="193"/>
      <c r="N270" s="193"/>
      <c r="O270" s="193"/>
      <c r="P270" s="193"/>
      <c r="Q270" s="193"/>
      <c r="R270" s="193"/>
      <c r="S270" s="193"/>
      <c r="T270" s="193"/>
      <c r="U270" s="193"/>
      <c r="V270" s="193"/>
      <c r="W270" s="193"/>
      <c r="X270" s="193"/>
      <c r="Y270" s="193"/>
      <c r="Z270" s="193"/>
    </row>
    <row r="271" spans="1:26" x14ac:dyDescent="0.25">
      <c r="A271" s="193"/>
      <c r="B271" s="193"/>
      <c r="C271" s="193"/>
      <c r="D271" s="193"/>
      <c r="E271" s="193"/>
      <c r="F271" s="193"/>
      <c r="G271" s="193"/>
      <c r="H271" s="193"/>
      <c r="I271" s="193"/>
      <c r="J271" s="193"/>
      <c r="K271" s="193"/>
      <c r="L271" s="193"/>
      <c r="M271" s="193"/>
      <c r="N271" s="193"/>
      <c r="O271" s="193"/>
      <c r="P271" s="193"/>
      <c r="Q271" s="193"/>
      <c r="R271" s="193"/>
      <c r="S271" s="193"/>
      <c r="T271" s="193"/>
      <c r="U271" s="193"/>
      <c r="V271" s="193"/>
      <c r="W271" s="193"/>
      <c r="X271" s="193"/>
      <c r="Y271" s="193"/>
      <c r="Z271" s="193"/>
    </row>
    <row r="272" spans="1:26" x14ac:dyDescent="0.25">
      <c r="A272" s="193"/>
      <c r="B272" s="193"/>
      <c r="C272" s="193"/>
      <c r="D272" s="193"/>
      <c r="E272" s="193"/>
      <c r="F272" s="193"/>
      <c r="G272" s="193"/>
      <c r="H272" s="193"/>
      <c r="I272" s="193"/>
      <c r="J272" s="193"/>
      <c r="K272" s="193"/>
      <c r="L272" s="193"/>
      <c r="M272" s="193"/>
      <c r="N272" s="193"/>
      <c r="O272" s="193"/>
      <c r="P272" s="193"/>
      <c r="Q272" s="193"/>
      <c r="R272" s="193"/>
      <c r="S272" s="193"/>
      <c r="T272" s="193"/>
      <c r="U272" s="193"/>
      <c r="V272" s="193"/>
      <c r="W272" s="193"/>
      <c r="X272" s="193"/>
      <c r="Y272" s="193"/>
      <c r="Z272" s="193"/>
    </row>
    <row r="273" spans="1:26" x14ac:dyDescent="0.25">
      <c r="A273" s="193"/>
      <c r="B273" s="193"/>
      <c r="C273" s="193"/>
      <c r="D273" s="193"/>
      <c r="E273" s="193"/>
      <c r="F273" s="193"/>
      <c r="G273" s="193"/>
      <c r="H273" s="193"/>
      <c r="I273" s="193"/>
      <c r="J273" s="193"/>
      <c r="K273" s="193"/>
      <c r="L273" s="193"/>
      <c r="M273" s="193"/>
      <c r="N273" s="193"/>
      <c r="O273" s="193"/>
      <c r="P273" s="193"/>
      <c r="Q273" s="193"/>
      <c r="R273" s="193"/>
      <c r="S273" s="193"/>
      <c r="T273" s="193"/>
      <c r="U273" s="193"/>
      <c r="V273" s="193"/>
      <c r="W273" s="193"/>
      <c r="X273" s="193"/>
      <c r="Y273" s="193"/>
      <c r="Z273" s="193"/>
    </row>
    <row r="274" spans="1:26" x14ac:dyDescent="0.25">
      <c r="A274" s="193"/>
      <c r="B274" s="193"/>
      <c r="C274" s="193"/>
      <c r="D274" s="193"/>
      <c r="E274" s="193"/>
      <c r="F274" s="193"/>
      <c r="G274" s="193"/>
      <c r="H274" s="193"/>
      <c r="I274" s="193"/>
      <c r="J274" s="193"/>
      <c r="K274" s="193"/>
      <c r="L274" s="193"/>
      <c r="M274" s="193"/>
      <c r="N274" s="193"/>
      <c r="O274" s="193"/>
      <c r="P274" s="193"/>
      <c r="Q274" s="193"/>
      <c r="R274" s="193"/>
      <c r="S274" s="193"/>
      <c r="T274" s="193"/>
      <c r="U274" s="193"/>
      <c r="V274" s="193"/>
      <c r="W274" s="193"/>
      <c r="X274" s="193"/>
      <c r="Y274" s="193"/>
      <c r="Z274" s="193"/>
    </row>
    <row r="275" spans="1:26" x14ac:dyDescent="0.25">
      <c r="A275" s="193"/>
      <c r="B275" s="193"/>
      <c r="C275" s="193"/>
      <c r="D275" s="193"/>
      <c r="E275" s="193"/>
      <c r="F275" s="193"/>
      <c r="G275" s="193"/>
      <c r="H275" s="193"/>
      <c r="I275" s="193"/>
      <c r="J275" s="193"/>
      <c r="K275" s="193"/>
      <c r="L275" s="193"/>
      <c r="M275" s="193"/>
      <c r="N275" s="193"/>
      <c r="O275" s="193"/>
      <c r="P275" s="193"/>
      <c r="Q275" s="193"/>
      <c r="R275" s="193"/>
      <c r="S275" s="193"/>
      <c r="T275" s="193"/>
      <c r="U275" s="193"/>
      <c r="V275" s="193"/>
      <c r="W275" s="193"/>
      <c r="X275" s="193"/>
      <c r="Y275" s="193"/>
      <c r="Z275" s="193"/>
    </row>
    <row r="276" spans="1:26" x14ac:dyDescent="0.25">
      <c r="A276" s="193"/>
      <c r="B276" s="193"/>
      <c r="C276" s="193"/>
      <c r="D276" s="193"/>
      <c r="E276" s="193"/>
      <c r="F276" s="193"/>
      <c r="G276" s="193"/>
      <c r="H276" s="193"/>
      <c r="I276" s="193"/>
      <c r="J276" s="193"/>
      <c r="K276" s="193"/>
      <c r="L276" s="193"/>
      <c r="M276" s="193"/>
      <c r="N276" s="193"/>
      <c r="O276" s="193"/>
      <c r="P276" s="193"/>
      <c r="Q276" s="193"/>
      <c r="R276" s="193"/>
      <c r="S276" s="193"/>
      <c r="T276" s="193"/>
      <c r="U276" s="193"/>
      <c r="V276" s="193"/>
      <c r="W276" s="193"/>
      <c r="X276" s="193"/>
      <c r="Y276" s="193"/>
      <c r="Z276" s="193"/>
    </row>
    <row r="277" spans="1:26" x14ac:dyDescent="0.25">
      <c r="A277" s="193"/>
      <c r="B277" s="193"/>
      <c r="C277" s="193"/>
      <c r="D277" s="193"/>
      <c r="E277" s="193"/>
      <c r="F277" s="193"/>
      <c r="G277" s="193"/>
      <c r="H277" s="193"/>
      <c r="I277" s="193"/>
      <c r="J277" s="193"/>
      <c r="K277" s="193"/>
      <c r="L277" s="193"/>
      <c r="M277" s="193"/>
      <c r="N277" s="193"/>
      <c r="O277" s="193"/>
      <c r="P277" s="193"/>
      <c r="Q277" s="193"/>
      <c r="R277" s="193"/>
      <c r="S277" s="193"/>
      <c r="T277" s="193"/>
      <c r="U277" s="193"/>
      <c r="V277" s="193"/>
      <c r="W277" s="193"/>
      <c r="X277" s="193"/>
      <c r="Y277" s="193"/>
      <c r="Z277" s="193"/>
    </row>
    <row r="278" spans="1:26" x14ac:dyDescent="0.25">
      <c r="A278" s="193"/>
      <c r="B278" s="193"/>
      <c r="C278" s="193"/>
      <c r="D278" s="193"/>
      <c r="E278" s="193"/>
      <c r="F278" s="193"/>
      <c r="G278" s="193"/>
      <c r="H278" s="193"/>
      <c r="I278" s="193"/>
      <c r="J278" s="193"/>
      <c r="K278" s="193"/>
      <c r="L278" s="193"/>
      <c r="M278" s="193"/>
      <c r="N278" s="193"/>
      <c r="O278" s="193"/>
      <c r="P278" s="193"/>
      <c r="Q278" s="193"/>
      <c r="R278" s="193"/>
      <c r="S278" s="193"/>
      <c r="T278" s="193"/>
      <c r="U278" s="193"/>
      <c r="V278" s="193"/>
      <c r="W278" s="193"/>
      <c r="X278" s="193"/>
      <c r="Y278" s="193"/>
      <c r="Z278" s="193"/>
    </row>
    <row r="279" spans="1:26" x14ac:dyDescent="0.25">
      <c r="A279" s="193"/>
      <c r="B279" s="193"/>
      <c r="C279" s="193"/>
      <c r="D279" s="193"/>
      <c r="E279" s="193"/>
      <c r="F279" s="193"/>
      <c r="G279" s="193"/>
      <c r="H279" s="193"/>
      <c r="I279" s="193"/>
      <c r="J279" s="193"/>
      <c r="K279" s="193"/>
      <c r="L279" s="193"/>
      <c r="M279" s="193"/>
      <c r="N279" s="193"/>
      <c r="O279" s="193"/>
      <c r="P279" s="193"/>
      <c r="Q279" s="193"/>
      <c r="R279" s="193"/>
      <c r="S279" s="193"/>
      <c r="T279" s="193"/>
      <c r="U279" s="193"/>
      <c r="V279" s="193"/>
      <c r="W279" s="193"/>
      <c r="X279" s="193"/>
      <c r="Y279" s="193"/>
      <c r="Z279" s="193"/>
    </row>
    <row r="280" spans="1:26" x14ac:dyDescent="0.25">
      <c r="A280" s="193"/>
      <c r="B280" s="193"/>
      <c r="C280" s="193"/>
      <c r="D280" s="193"/>
      <c r="E280" s="193"/>
      <c r="F280" s="193"/>
      <c r="G280" s="193"/>
      <c r="H280" s="193"/>
      <c r="I280" s="193"/>
      <c r="J280" s="193"/>
      <c r="K280" s="193"/>
      <c r="L280" s="193"/>
      <c r="M280" s="193"/>
      <c r="N280" s="193"/>
      <c r="O280" s="193"/>
      <c r="P280" s="193"/>
      <c r="Q280" s="193"/>
      <c r="R280" s="193"/>
      <c r="S280" s="193"/>
      <c r="T280" s="193"/>
      <c r="U280" s="193"/>
      <c r="V280" s="193"/>
      <c r="W280" s="193"/>
      <c r="X280" s="193"/>
      <c r="Y280" s="193"/>
      <c r="Z280" s="193"/>
    </row>
    <row r="281" spans="1:26" x14ac:dyDescent="0.25">
      <c r="A281" s="193"/>
      <c r="B281" s="193"/>
      <c r="C281" s="193"/>
      <c r="D281" s="193"/>
      <c r="E281" s="193"/>
      <c r="F281" s="193"/>
      <c r="G281" s="193"/>
      <c r="H281" s="193"/>
      <c r="I281" s="193"/>
      <c r="J281" s="193"/>
      <c r="K281" s="193"/>
      <c r="L281" s="193"/>
      <c r="M281" s="193"/>
      <c r="N281" s="193"/>
      <c r="O281" s="193"/>
      <c r="P281" s="193"/>
      <c r="Q281" s="193"/>
      <c r="R281" s="193"/>
      <c r="S281" s="193"/>
      <c r="T281" s="193"/>
      <c r="U281" s="193"/>
      <c r="V281" s="193"/>
      <c r="W281" s="193"/>
      <c r="X281" s="193"/>
      <c r="Y281" s="193"/>
      <c r="Z281" s="193"/>
    </row>
    <row r="282" spans="1:26" x14ac:dyDescent="0.25">
      <c r="A282" s="193"/>
      <c r="B282" s="193"/>
      <c r="C282" s="193"/>
      <c r="D282" s="193"/>
      <c r="E282" s="193"/>
      <c r="F282" s="193"/>
      <c r="G282" s="193"/>
      <c r="H282" s="193"/>
      <c r="I282" s="193"/>
      <c r="J282" s="193"/>
      <c r="K282" s="193"/>
      <c r="L282" s="193"/>
      <c r="M282" s="193"/>
      <c r="N282" s="193"/>
      <c r="O282" s="193"/>
      <c r="P282" s="193"/>
      <c r="Q282" s="193"/>
      <c r="R282" s="193"/>
      <c r="S282" s="193"/>
      <c r="T282" s="193"/>
      <c r="U282" s="193"/>
      <c r="V282" s="193"/>
      <c r="W282" s="193"/>
      <c r="X282" s="193"/>
      <c r="Y282" s="193"/>
      <c r="Z282" s="193"/>
    </row>
    <row r="283" spans="1:26" x14ac:dyDescent="0.25">
      <c r="A283" s="193"/>
      <c r="B283" s="193"/>
      <c r="C283" s="193"/>
      <c r="D283" s="193"/>
      <c r="E283" s="193"/>
      <c r="F283" s="193"/>
      <c r="G283" s="193"/>
      <c r="H283" s="193"/>
      <c r="I283" s="193"/>
      <c r="J283" s="193"/>
      <c r="K283" s="193"/>
      <c r="L283" s="193"/>
      <c r="M283" s="193"/>
      <c r="N283" s="193"/>
      <c r="O283" s="193"/>
      <c r="P283" s="193"/>
      <c r="Q283" s="193"/>
      <c r="R283" s="193"/>
      <c r="S283" s="193"/>
      <c r="T283" s="193"/>
      <c r="U283" s="193"/>
      <c r="V283" s="193"/>
      <c r="W283" s="193"/>
      <c r="X283" s="193"/>
      <c r="Y283" s="193"/>
      <c r="Z283" s="193"/>
    </row>
    <row r="284" spans="1:26" x14ac:dyDescent="0.25">
      <c r="A284" s="193"/>
      <c r="B284" s="193"/>
      <c r="C284" s="193"/>
      <c r="D284" s="193"/>
      <c r="E284" s="193"/>
      <c r="F284" s="193"/>
      <c r="G284" s="193"/>
      <c r="H284" s="193"/>
      <c r="I284" s="193"/>
      <c r="J284" s="193"/>
      <c r="K284" s="193"/>
      <c r="L284" s="193"/>
      <c r="M284" s="193"/>
      <c r="N284" s="193"/>
      <c r="O284" s="193"/>
      <c r="P284" s="193"/>
      <c r="Q284" s="193"/>
      <c r="R284" s="193"/>
      <c r="S284" s="193"/>
      <c r="T284" s="193"/>
      <c r="U284" s="193"/>
      <c r="V284" s="193"/>
      <c r="W284" s="193"/>
      <c r="X284" s="193"/>
      <c r="Y284" s="193"/>
      <c r="Z284" s="193"/>
    </row>
    <row r="285" spans="1:26" x14ac:dyDescent="0.25">
      <c r="A285" s="193"/>
      <c r="B285" s="193"/>
      <c r="C285" s="193"/>
      <c r="D285" s="193"/>
      <c r="E285" s="193"/>
      <c r="F285" s="193"/>
      <c r="G285" s="193"/>
      <c r="H285" s="193"/>
      <c r="I285" s="193"/>
      <c r="J285" s="193"/>
      <c r="K285" s="193"/>
      <c r="L285" s="193"/>
      <c r="M285" s="193"/>
      <c r="N285" s="193"/>
      <c r="O285" s="193"/>
      <c r="P285" s="193"/>
      <c r="Q285" s="193"/>
      <c r="R285" s="193"/>
      <c r="S285" s="193"/>
      <c r="T285" s="193"/>
      <c r="U285" s="193"/>
      <c r="V285" s="193"/>
      <c r="W285" s="193"/>
      <c r="X285" s="193"/>
      <c r="Y285" s="193"/>
      <c r="Z285" s="193"/>
    </row>
    <row r="286" spans="1:26" x14ac:dyDescent="0.25">
      <c r="A286" s="193"/>
      <c r="B286" s="193"/>
      <c r="C286" s="193"/>
      <c r="D286" s="193"/>
      <c r="E286" s="193"/>
      <c r="F286" s="193"/>
      <c r="G286" s="193"/>
      <c r="H286" s="193"/>
      <c r="I286" s="193"/>
      <c r="J286" s="193"/>
      <c r="K286" s="193"/>
      <c r="L286" s="193"/>
      <c r="M286" s="193"/>
      <c r="N286" s="193"/>
      <c r="O286" s="193"/>
      <c r="P286" s="193"/>
      <c r="Q286" s="193"/>
      <c r="R286" s="193"/>
      <c r="S286" s="193"/>
      <c r="T286" s="193"/>
      <c r="U286" s="193"/>
      <c r="V286" s="193"/>
      <c r="W286" s="193"/>
      <c r="X286" s="193"/>
      <c r="Y286" s="193"/>
      <c r="Z286" s="193"/>
    </row>
    <row r="287" spans="1:26" x14ac:dyDescent="0.25">
      <c r="A287" s="193"/>
      <c r="B287" s="193"/>
      <c r="C287" s="193"/>
      <c r="D287" s="193"/>
      <c r="E287" s="193"/>
      <c r="F287" s="193"/>
      <c r="G287" s="193"/>
      <c r="H287" s="193"/>
      <c r="I287" s="193"/>
      <c r="J287" s="193"/>
      <c r="K287" s="193"/>
      <c r="L287" s="193"/>
      <c r="M287" s="193"/>
      <c r="N287" s="193"/>
      <c r="O287" s="193"/>
      <c r="P287" s="193"/>
      <c r="Q287" s="193"/>
      <c r="R287" s="193"/>
      <c r="S287" s="193"/>
      <c r="T287" s="193"/>
      <c r="U287" s="193"/>
      <c r="V287" s="193"/>
      <c r="W287" s="193"/>
      <c r="X287" s="193"/>
      <c r="Y287" s="193"/>
      <c r="Z287" s="193"/>
    </row>
    <row r="288" spans="1:26" x14ac:dyDescent="0.25">
      <c r="A288" s="193"/>
      <c r="B288" s="193"/>
      <c r="C288" s="193"/>
      <c r="D288" s="193"/>
      <c r="E288" s="193"/>
      <c r="F288" s="193"/>
      <c r="G288" s="193"/>
      <c r="H288" s="193"/>
      <c r="I288" s="193"/>
      <c r="J288" s="193"/>
      <c r="K288" s="193"/>
      <c r="L288" s="193"/>
      <c r="M288" s="193"/>
      <c r="N288" s="193"/>
      <c r="O288" s="193"/>
      <c r="P288" s="193"/>
      <c r="Q288" s="193"/>
      <c r="R288" s="193"/>
      <c r="S288" s="193"/>
      <c r="T288" s="193"/>
      <c r="U288" s="193"/>
      <c r="V288" s="193"/>
      <c r="W288" s="193"/>
      <c r="X288" s="193"/>
      <c r="Y288" s="193"/>
      <c r="Z288" s="193"/>
    </row>
    <row r="289" spans="1:26" x14ac:dyDescent="0.25">
      <c r="A289" s="193"/>
      <c r="B289" s="193"/>
      <c r="C289" s="193"/>
      <c r="D289" s="193"/>
      <c r="E289" s="193"/>
      <c r="F289" s="193"/>
      <c r="G289" s="193"/>
      <c r="H289" s="193"/>
      <c r="I289" s="193"/>
      <c r="J289" s="193"/>
      <c r="K289" s="193"/>
      <c r="L289" s="193"/>
      <c r="M289" s="193"/>
      <c r="N289" s="193"/>
      <c r="O289" s="193"/>
      <c r="P289" s="193"/>
      <c r="Q289" s="193"/>
      <c r="R289" s="193"/>
      <c r="S289" s="193"/>
      <c r="T289" s="193"/>
      <c r="U289" s="193"/>
      <c r="V289" s="193"/>
      <c r="W289" s="193"/>
      <c r="X289" s="193"/>
      <c r="Y289" s="193"/>
      <c r="Z289" s="193"/>
    </row>
    <row r="290" spans="1:26" x14ac:dyDescent="0.25">
      <c r="A290" s="193"/>
      <c r="B290" s="193"/>
      <c r="C290" s="193"/>
      <c r="D290" s="193"/>
      <c r="E290" s="193"/>
      <c r="F290" s="193"/>
      <c r="G290" s="193"/>
      <c r="H290" s="193"/>
      <c r="I290" s="193"/>
      <c r="J290" s="193"/>
      <c r="K290" s="193"/>
      <c r="L290" s="193"/>
      <c r="M290" s="193"/>
      <c r="N290" s="193"/>
      <c r="O290" s="193"/>
      <c r="P290" s="193"/>
      <c r="Q290" s="193"/>
      <c r="R290" s="193"/>
      <c r="S290" s="193"/>
      <c r="T290" s="193"/>
      <c r="U290" s="193"/>
      <c r="V290" s="193"/>
      <c r="W290" s="193"/>
      <c r="X290" s="193"/>
      <c r="Y290" s="193"/>
      <c r="Z290" s="193"/>
    </row>
    <row r="291" spans="1:26" x14ac:dyDescent="0.25">
      <c r="A291" s="193"/>
      <c r="B291" s="193"/>
      <c r="C291" s="193"/>
      <c r="D291" s="193"/>
      <c r="E291" s="193"/>
      <c r="F291" s="193"/>
      <c r="G291" s="193"/>
      <c r="H291" s="193"/>
      <c r="I291" s="193"/>
      <c r="J291" s="193"/>
      <c r="K291" s="193"/>
      <c r="L291" s="193"/>
      <c r="M291" s="193"/>
      <c r="N291" s="193"/>
      <c r="O291" s="193"/>
      <c r="P291" s="193"/>
      <c r="Q291" s="193"/>
      <c r="R291" s="193"/>
      <c r="S291" s="193"/>
      <c r="T291" s="193"/>
      <c r="U291" s="193"/>
      <c r="V291" s="193"/>
      <c r="W291" s="193"/>
      <c r="X291" s="193"/>
      <c r="Y291" s="193"/>
      <c r="Z291" s="193"/>
    </row>
    <row r="292" spans="1:26" x14ac:dyDescent="0.25">
      <c r="A292" s="193"/>
      <c r="B292" s="193"/>
      <c r="C292" s="193"/>
      <c r="D292" s="193"/>
      <c r="E292" s="193"/>
      <c r="F292" s="193"/>
      <c r="G292" s="193"/>
      <c r="H292" s="193"/>
      <c r="I292" s="193"/>
      <c r="J292" s="193"/>
      <c r="K292" s="193"/>
      <c r="L292" s="193"/>
      <c r="M292" s="193"/>
      <c r="N292" s="193"/>
      <c r="O292" s="193"/>
      <c r="P292" s="193"/>
      <c r="Q292" s="193"/>
      <c r="R292" s="193"/>
      <c r="S292" s="193"/>
      <c r="T292" s="193"/>
      <c r="U292" s="193"/>
      <c r="V292" s="193"/>
      <c r="W292" s="193"/>
      <c r="X292" s="193"/>
      <c r="Y292" s="193"/>
      <c r="Z292" s="193"/>
    </row>
    <row r="293" spans="1:26" x14ac:dyDescent="0.25">
      <c r="A293" s="193"/>
      <c r="B293" s="193"/>
      <c r="C293" s="193"/>
      <c r="D293" s="193"/>
      <c r="E293" s="193"/>
      <c r="F293" s="193"/>
      <c r="G293" s="193"/>
      <c r="H293" s="193"/>
      <c r="I293" s="193"/>
      <c r="J293" s="193"/>
      <c r="K293" s="193"/>
      <c r="L293" s="193"/>
      <c r="M293" s="193"/>
      <c r="N293" s="193"/>
      <c r="O293" s="193"/>
      <c r="P293" s="193"/>
      <c r="Q293" s="193"/>
      <c r="R293" s="193"/>
      <c r="S293" s="193"/>
      <c r="T293" s="193"/>
      <c r="U293" s="193"/>
      <c r="V293" s="193"/>
      <c r="W293" s="193"/>
      <c r="X293" s="193"/>
      <c r="Y293" s="193"/>
      <c r="Z293" s="193"/>
    </row>
    <row r="294" spans="1:26" x14ac:dyDescent="0.25">
      <c r="A294" s="193"/>
      <c r="B294" s="193"/>
      <c r="C294" s="193"/>
      <c r="D294" s="193"/>
      <c r="E294" s="193"/>
      <c r="F294" s="193"/>
      <c r="G294" s="193"/>
      <c r="H294" s="193"/>
      <c r="I294" s="193"/>
      <c r="J294" s="193"/>
      <c r="K294" s="193"/>
      <c r="L294" s="193"/>
      <c r="M294" s="193"/>
      <c r="N294" s="193"/>
      <c r="O294" s="193"/>
      <c r="P294" s="193"/>
      <c r="Q294" s="193"/>
      <c r="R294" s="193"/>
      <c r="S294" s="193"/>
      <c r="T294" s="193"/>
      <c r="U294" s="193"/>
      <c r="V294" s="193"/>
      <c r="W294" s="193"/>
      <c r="X294" s="193"/>
      <c r="Y294" s="193"/>
      <c r="Z294" s="193"/>
    </row>
    <row r="295" spans="1:26" x14ac:dyDescent="0.25">
      <c r="A295" s="193"/>
      <c r="B295" s="193"/>
      <c r="C295" s="193"/>
      <c r="D295" s="193"/>
      <c r="E295" s="193"/>
      <c r="F295" s="193"/>
      <c r="G295" s="193"/>
      <c r="H295" s="193"/>
      <c r="I295" s="193"/>
      <c r="J295" s="193"/>
      <c r="K295" s="193"/>
      <c r="L295" s="193"/>
      <c r="M295" s="193"/>
      <c r="N295" s="193"/>
      <c r="O295" s="193"/>
      <c r="P295" s="193"/>
      <c r="Q295" s="193"/>
      <c r="R295" s="193"/>
      <c r="S295" s="193"/>
      <c r="T295" s="193"/>
      <c r="U295" s="193"/>
      <c r="V295" s="193"/>
      <c r="W295" s="193"/>
      <c r="X295" s="193"/>
      <c r="Y295" s="193"/>
      <c r="Z295" s="193"/>
    </row>
    <row r="296" spans="1:26" x14ac:dyDescent="0.25">
      <c r="A296" s="193"/>
      <c r="B296" s="193"/>
      <c r="C296" s="193"/>
      <c r="D296" s="193"/>
      <c r="E296" s="193"/>
      <c r="F296" s="193"/>
      <c r="G296" s="193"/>
      <c r="H296" s="193"/>
      <c r="I296" s="193"/>
      <c r="J296" s="193"/>
      <c r="K296" s="193"/>
      <c r="L296" s="193"/>
      <c r="M296" s="193"/>
      <c r="N296" s="193"/>
      <c r="O296" s="193"/>
      <c r="P296" s="193"/>
      <c r="Q296" s="193"/>
      <c r="R296" s="193"/>
      <c r="S296" s="193"/>
      <c r="T296" s="193"/>
      <c r="U296" s="193"/>
      <c r="V296" s="193"/>
      <c r="W296" s="193"/>
      <c r="X296" s="193"/>
      <c r="Y296" s="193"/>
      <c r="Z296" s="193"/>
    </row>
    <row r="297" spans="1:26" x14ac:dyDescent="0.25">
      <c r="A297" s="193"/>
      <c r="B297" s="193"/>
      <c r="C297" s="193"/>
      <c r="D297" s="193"/>
      <c r="E297" s="193"/>
      <c r="F297" s="193"/>
      <c r="G297" s="193"/>
      <c r="H297" s="193"/>
      <c r="I297" s="193"/>
      <c r="J297" s="193"/>
      <c r="K297" s="193"/>
      <c r="L297" s="193"/>
      <c r="M297" s="193"/>
      <c r="N297" s="193"/>
      <c r="O297" s="193"/>
      <c r="P297" s="193"/>
      <c r="Q297" s="193"/>
      <c r="R297" s="193"/>
      <c r="S297" s="193"/>
      <c r="T297" s="193"/>
      <c r="U297" s="193"/>
      <c r="V297" s="193"/>
      <c r="W297" s="193"/>
      <c r="X297" s="193"/>
      <c r="Y297" s="193"/>
      <c r="Z297" s="193"/>
    </row>
    <row r="298" spans="1:26" x14ac:dyDescent="0.25">
      <c r="A298" s="193"/>
      <c r="B298" s="193"/>
      <c r="C298" s="193"/>
      <c r="D298" s="193"/>
      <c r="E298" s="193"/>
      <c r="F298" s="193"/>
      <c r="G298" s="193"/>
      <c r="H298" s="193"/>
      <c r="I298" s="193"/>
      <c r="J298" s="193"/>
      <c r="K298" s="193"/>
      <c r="L298" s="193"/>
      <c r="M298" s="193"/>
      <c r="N298" s="193"/>
      <c r="O298" s="193"/>
      <c r="P298" s="193"/>
      <c r="Q298" s="193"/>
      <c r="R298" s="193"/>
      <c r="S298" s="193"/>
      <c r="T298" s="193"/>
      <c r="U298" s="193"/>
      <c r="V298" s="193"/>
      <c r="W298" s="193"/>
      <c r="X298" s="193"/>
      <c r="Y298" s="193"/>
      <c r="Z298" s="193"/>
    </row>
    <row r="299" spans="1:26" x14ac:dyDescent="0.25">
      <c r="A299" s="193"/>
      <c r="B299" s="193"/>
      <c r="C299" s="193"/>
      <c r="D299" s="193"/>
      <c r="E299" s="193"/>
      <c r="F299" s="193"/>
      <c r="G299" s="193"/>
      <c r="H299" s="193"/>
      <c r="I299" s="193"/>
      <c r="J299" s="193"/>
      <c r="K299" s="193"/>
      <c r="L299" s="193"/>
      <c r="M299" s="193"/>
      <c r="N299" s="193"/>
      <c r="O299" s="193"/>
      <c r="P299" s="193"/>
      <c r="Q299" s="193"/>
      <c r="R299" s="193"/>
      <c r="S299" s="193"/>
      <c r="T299" s="193"/>
      <c r="U299" s="193"/>
      <c r="V299" s="193"/>
      <c r="W299" s="193"/>
      <c r="X299" s="193"/>
      <c r="Y299" s="193"/>
      <c r="Z299" s="193"/>
    </row>
    <row r="300" spans="1:26" x14ac:dyDescent="0.25">
      <c r="A300" s="193"/>
      <c r="B300" s="193"/>
      <c r="C300" s="193"/>
      <c r="D300" s="193"/>
      <c r="E300" s="193"/>
      <c r="F300" s="193"/>
      <c r="G300" s="193"/>
      <c r="H300" s="193"/>
      <c r="I300" s="193"/>
      <c r="J300" s="193"/>
      <c r="K300" s="193"/>
      <c r="L300" s="193"/>
      <c r="M300" s="193"/>
      <c r="N300" s="193"/>
      <c r="O300" s="193"/>
      <c r="P300" s="193"/>
      <c r="Q300" s="193"/>
      <c r="R300" s="193"/>
      <c r="S300" s="193"/>
      <c r="T300" s="193"/>
      <c r="U300" s="193"/>
      <c r="V300" s="193"/>
      <c r="W300" s="193"/>
      <c r="X300" s="193"/>
      <c r="Y300" s="193"/>
      <c r="Z300" s="193"/>
    </row>
    <row r="301" spans="1:26" x14ac:dyDescent="0.25">
      <c r="A301" s="193"/>
      <c r="B301" s="193"/>
      <c r="C301" s="193"/>
      <c r="D301" s="193"/>
      <c r="E301" s="193"/>
      <c r="F301" s="193"/>
      <c r="G301" s="193"/>
      <c r="H301" s="193"/>
      <c r="I301" s="193"/>
      <c r="J301" s="193"/>
      <c r="K301" s="193"/>
      <c r="L301" s="193"/>
      <c r="M301" s="193"/>
      <c r="N301" s="193"/>
      <c r="O301" s="193"/>
      <c r="P301" s="193"/>
      <c r="Q301" s="193"/>
      <c r="R301" s="193"/>
      <c r="S301" s="193"/>
      <c r="T301" s="193"/>
      <c r="U301" s="193"/>
      <c r="V301" s="193"/>
      <c r="W301" s="193"/>
      <c r="X301" s="193"/>
      <c r="Y301" s="193"/>
      <c r="Z301" s="193"/>
    </row>
    <row r="302" spans="1:26" x14ac:dyDescent="0.25">
      <c r="A302" s="193"/>
      <c r="B302" s="193"/>
      <c r="C302" s="193"/>
      <c r="D302" s="193"/>
      <c r="E302" s="193"/>
      <c r="F302" s="193"/>
      <c r="G302" s="193"/>
      <c r="H302" s="193"/>
      <c r="I302" s="193"/>
      <c r="J302" s="193"/>
      <c r="K302" s="193"/>
      <c r="L302" s="193"/>
      <c r="M302" s="193"/>
      <c r="N302" s="193"/>
      <c r="O302" s="193"/>
      <c r="P302" s="193"/>
      <c r="Q302" s="193"/>
      <c r="R302" s="193"/>
      <c r="S302" s="193"/>
      <c r="T302" s="193"/>
      <c r="U302" s="193"/>
      <c r="V302" s="193"/>
      <c r="W302" s="193"/>
      <c r="X302" s="193"/>
      <c r="Y302" s="193"/>
      <c r="Z302" s="193"/>
    </row>
    <row r="303" spans="1:26" x14ac:dyDescent="0.25">
      <c r="A303" s="193"/>
      <c r="B303" s="193"/>
      <c r="C303" s="193"/>
      <c r="D303" s="193"/>
      <c r="E303" s="193"/>
      <c r="F303" s="193"/>
      <c r="G303" s="193"/>
      <c r="H303" s="193"/>
      <c r="I303" s="193"/>
      <c r="J303" s="193"/>
      <c r="K303" s="193"/>
      <c r="L303" s="193"/>
      <c r="M303" s="193"/>
      <c r="N303" s="193"/>
      <c r="O303" s="193"/>
      <c r="P303" s="193"/>
      <c r="Q303" s="193"/>
      <c r="R303" s="193"/>
      <c r="S303" s="193"/>
      <c r="T303" s="193"/>
      <c r="U303" s="193"/>
      <c r="V303" s="193"/>
      <c r="W303" s="193"/>
      <c r="X303" s="193"/>
      <c r="Y303" s="193"/>
      <c r="Z303" s="193"/>
    </row>
    <row r="304" spans="1:26" x14ac:dyDescent="0.25">
      <c r="A304" s="193"/>
      <c r="B304" s="193"/>
      <c r="C304" s="193"/>
      <c r="D304" s="193"/>
      <c r="E304" s="193"/>
      <c r="F304" s="193"/>
      <c r="G304" s="193"/>
      <c r="H304" s="193"/>
      <c r="I304" s="193"/>
      <c r="J304" s="193"/>
      <c r="K304" s="193"/>
      <c r="L304" s="193"/>
      <c r="M304" s="193"/>
      <c r="N304" s="193"/>
      <c r="O304" s="193"/>
      <c r="P304" s="193"/>
      <c r="Q304" s="193"/>
      <c r="R304" s="193"/>
      <c r="S304" s="193"/>
      <c r="T304" s="193"/>
      <c r="U304" s="193"/>
      <c r="V304" s="193"/>
      <c r="W304" s="193"/>
      <c r="X304" s="193"/>
      <c r="Y304" s="193"/>
      <c r="Z304" s="193"/>
    </row>
    <row r="305" spans="1:26" x14ac:dyDescent="0.25">
      <c r="A305" s="193"/>
      <c r="B305" s="193"/>
      <c r="C305" s="193"/>
      <c r="D305" s="193"/>
      <c r="E305" s="193"/>
      <c r="F305" s="193"/>
      <c r="G305" s="193"/>
      <c r="H305" s="193"/>
      <c r="I305" s="193"/>
      <c r="J305" s="193"/>
      <c r="K305" s="193"/>
      <c r="L305" s="193"/>
      <c r="M305" s="193"/>
      <c r="N305" s="193"/>
      <c r="O305" s="193"/>
      <c r="P305" s="193"/>
      <c r="Q305" s="193"/>
      <c r="R305" s="193"/>
      <c r="S305" s="193"/>
      <c r="T305" s="193"/>
      <c r="U305" s="193"/>
      <c r="V305" s="193"/>
      <c r="W305" s="193"/>
      <c r="X305" s="193"/>
      <c r="Y305" s="193"/>
      <c r="Z305" s="193"/>
    </row>
    <row r="306" spans="1:26" x14ac:dyDescent="0.25">
      <c r="A306" s="193"/>
      <c r="B306" s="193"/>
      <c r="C306" s="193"/>
      <c r="D306" s="193"/>
      <c r="E306" s="193"/>
      <c r="F306" s="193"/>
      <c r="G306" s="193"/>
      <c r="H306" s="193"/>
      <c r="I306" s="193"/>
      <c r="J306" s="193"/>
      <c r="K306" s="193"/>
      <c r="L306" s="193"/>
      <c r="M306" s="193"/>
      <c r="N306" s="193"/>
      <c r="O306" s="193"/>
      <c r="P306" s="193"/>
      <c r="Q306" s="193"/>
      <c r="R306" s="193"/>
      <c r="S306" s="193"/>
      <c r="T306" s="193"/>
      <c r="U306" s="193"/>
      <c r="V306" s="193"/>
      <c r="W306" s="193"/>
      <c r="X306" s="193"/>
      <c r="Y306" s="193"/>
      <c r="Z306" s="193"/>
    </row>
    <row r="307" spans="1:26" x14ac:dyDescent="0.25">
      <c r="A307" s="193"/>
      <c r="B307" s="193"/>
      <c r="C307" s="193"/>
      <c r="D307" s="193"/>
      <c r="E307" s="193"/>
      <c r="F307" s="193"/>
      <c r="G307" s="193"/>
      <c r="H307" s="193"/>
      <c r="I307" s="193"/>
      <c r="J307" s="193"/>
      <c r="K307" s="193"/>
      <c r="L307" s="193"/>
      <c r="M307" s="193"/>
      <c r="N307" s="193"/>
      <c r="O307" s="193"/>
      <c r="P307" s="193"/>
      <c r="Q307" s="193"/>
      <c r="R307" s="193"/>
      <c r="S307" s="193"/>
      <c r="T307" s="193"/>
      <c r="U307" s="193"/>
      <c r="V307" s="193"/>
      <c r="W307" s="193"/>
      <c r="X307" s="193"/>
      <c r="Y307" s="193"/>
      <c r="Z307" s="193"/>
    </row>
    <row r="308" spans="1:26" x14ac:dyDescent="0.25">
      <c r="A308" s="193"/>
      <c r="B308" s="193"/>
      <c r="C308" s="193"/>
      <c r="D308" s="193"/>
      <c r="E308" s="193"/>
      <c r="F308" s="193"/>
      <c r="G308" s="193"/>
      <c r="H308" s="193"/>
      <c r="I308" s="193"/>
      <c r="J308" s="193"/>
      <c r="K308" s="193"/>
      <c r="L308" s="193"/>
      <c r="M308" s="193"/>
      <c r="N308" s="193"/>
      <c r="O308" s="193"/>
      <c r="P308" s="193"/>
      <c r="Q308" s="193"/>
      <c r="R308" s="193"/>
      <c r="S308" s="193"/>
      <c r="T308" s="193"/>
      <c r="U308" s="193"/>
      <c r="V308" s="193"/>
      <c r="W308" s="193"/>
      <c r="X308" s="193"/>
      <c r="Y308" s="193"/>
      <c r="Z308" s="193"/>
    </row>
    <row r="309" spans="1:26" x14ac:dyDescent="0.25">
      <c r="A309" s="193"/>
      <c r="B309" s="193"/>
      <c r="C309" s="193"/>
      <c r="D309" s="193"/>
      <c r="E309" s="193"/>
      <c r="F309" s="193"/>
      <c r="G309" s="193"/>
      <c r="H309" s="193"/>
      <c r="I309" s="193"/>
      <c r="J309" s="193"/>
      <c r="K309" s="193"/>
      <c r="L309" s="193"/>
      <c r="M309" s="193"/>
      <c r="N309" s="193"/>
      <c r="O309" s="193"/>
      <c r="P309" s="193"/>
      <c r="Q309" s="193"/>
      <c r="R309" s="193"/>
      <c r="S309" s="193"/>
      <c r="T309" s="193"/>
      <c r="U309" s="193"/>
      <c r="V309" s="193"/>
      <c r="W309" s="193"/>
      <c r="X309" s="193"/>
      <c r="Y309" s="193"/>
      <c r="Z309" s="193"/>
    </row>
    <row r="310" spans="1:26" x14ac:dyDescent="0.25">
      <c r="A310" s="193"/>
      <c r="B310" s="193"/>
      <c r="C310" s="193"/>
      <c r="D310" s="193"/>
      <c r="E310" s="193"/>
      <c r="F310" s="193"/>
      <c r="G310" s="193"/>
      <c r="H310" s="193"/>
      <c r="I310" s="193"/>
      <c r="J310" s="193"/>
      <c r="K310" s="193"/>
      <c r="L310" s="193"/>
      <c r="M310" s="193"/>
      <c r="N310" s="193"/>
      <c r="O310" s="193"/>
      <c r="P310" s="193"/>
      <c r="Q310" s="193"/>
      <c r="R310" s="193"/>
      <c r="S310" s="193"/>
      <c r="T310" s="193"/>
      <c r="U310" s="193"/>
      <c r="V310" s="193"/>
      <c r="W310" s="193"/>
      <c r="X310" s="193"/>
      <c r="Y310" s="193"/>
      <c r="Z310" s="193"/>
    </row>
    <row r="311" spans="1:26" x14ac:dyDescent="0.25">
      <c r="A311" s="193"/>
      <c r="B311" s="193"/>
      <c r="C311" s="193"/>
      <c r="D311" s="193"/>
      <c r="E311" s="193"/>
      <c r="F311" s="193"/>
      <c r="G311" s="193"/>
      <c r="H311" s="193"/>
      <c r="I311" s="193"/>
      <c r="J311" s="193"/>
      <c r="K311" s="193"/>
      <c r="L311" s="193"/>
      <c r="M311" s="193"/>
      <c r="N311" s="193"/>
      <c r="O311" s="193"/>
      <c r="P311" s="193"/>
      <c r="Q311" s="193"/>
      <c r="R311" s="193"/>
      <c r="S311" s="193"/>
      <c r="T311" s="193"/>
      <c r="U311" s="193"/>
      <c r="V311" s="193"/>
      <c r="W311" s="193"/>
      <c r="X311" s="193"/>
      <c r="Y311" s="193"/>
      <c r="Z311" s="193"/>
    </row>
    <row r="312" spans="1:26" x14ac:dyDescent="0.25">
      <c r="A312" s="193"/>
      <c r="B312" s="193"/>
      <c r="C312" s="193"/>
      <c r="D312" s="193"/>
      <c r="E312" s="193"/>
      <c r="F312" s="193"/>
      <c r="G312" s="193"/>
      <c r="H312" s="193"/>
      <c r="I312" s="193"/>
      <c r="J312" s="193"/>
      <c r="K312" s="193"/>
      <c r="L312" s="193"/>
      <c r="M312" s="193"/>
      <c r="N312" s="193"/>
      <c r="O312" s="193"/>
      <c r="P312" s="193"/>
      <c r="Q312" s="193"/>
      <c r="R312" s="193"/>
      <c r="S312" s="193"/>
      <c r="T312" s="193"/>
      <c r="U312" s="193"/>
      <c r="V312" s="193"/>
      <c r="W312" s="193"/>
      <c r="X312" s="193"/>
      <c r="Y312" s="193"/>
      <c r="Z312" s="193"/>
    </row>
    <row r="313" spans="1:26" x14ac:dyDescent="0.25">
      <c r="A313" s="193"/>
      <c r="B313" s="193"/>
      <c r="C313" s="193"/>
      <c r="D313" s="193"/>
      <c r="E313" s="193"/>
      <c r="F313" s="193"/>
      <c r="G313" s="193"/>
      <c r="H313" s="193"/>
      <c r="I313" s="193"/>
      <c r="J313" s="193"/>
      <c r="K313" s="193"/>
      <c r="L313" s="193"/>
      <c r="M313" s="193"/>
      <c r="N313" s="193"/>
      <c r="O313" s="193"/>
      <c r="P313" s="193"/>
      <c r="Q313" s="193"/>
      <c r="R313" s="193"/>
      <c r="S313" s="193"/>
      <c r="T313" s="193"/>
      <c r="U313" s="193"/>
      <c r="V313" s="193"/>
      <c r="W313" s="193"/>
      <c r="X313" s="193"/>
      <c r="Y313" s="193"/>
      <c r="Z313" s="193"/>
    </row>
    <row r="314" spans="1:26" x14ac:dyDescent="0.25">
      <c r="A314" s="193"/>
      <c r="B314" s="193"/>
      <c r="C314" s="193"/>
      <c r="D314" s="193"/>
      <c r="E314" s="193"/>
      <c r="F314" s="193"/>
      <c r="G314" s="193"/>
      <c r="H314" s="193"/>
      <c r="I314" s="193"/>
      <c r="J314" s="193"/>
      <c r="K314" s="193"/>
      <c r="L314" s="193"/>
      <c r="M314" s="193"/>
      <c r="N314" s="193"/>
      <c r="O314" s="193"/>
      <c r="P314" s="193"/>
      <c r="Q314" s="193"/>
      <c r="R314" s="193"/>
      <c r="S314" s="193"/>
      <c r="T314" s="193"/>
      <c r="U314" s="193"/>
      <c r="V314" s="193"/>
      <c r="W314" s="193"/>
      <c r="X314" s="193"/>
      <c r="Y314" s="193"/>
      <c r="Z314" s="193"/>
    </row>
    <row r="315" spans="1:26" x14ac:dyDescent="0.25">
      <c r="A315" s="193"/>
      <c r="B315" s="193"/>
      <c r="C315" s="193"/>
      <c r="D315" s="193"/>
      <c r="E315" s="193"/>
      <c r="F315" s="193"/>
      <c r="G315" s="193"/>
      <c r="H315" s="193"/>
      <c r="I315" s="193"/>
      <c r="J315" s="193"/>
      <c r="K315" s="193"/>
      <c r="L315" s="193"/>
      <c r="M315" s="193"/>
      <c r="N315" s="193"/>
      <c r="O315" s="193"/>
      <c r="P315" s="193"/>
      <c r="Q315" s="193"/>
      <c r="R315" s="193"/>
      <c r="S315" s="193"/>
      <c r="T315" s="193"/>
      <c r="U315" s="193"/>
      <c r="V315" s="193"/>
      <c r="W315" s="193"/>
      <c r="X315" s="193"/>
      <c r="Y315" s="193"/>
      <c r="Z315" s="193"/>
    </row>
    <row r="316" spans="1:26" x14ac:dyDescent="0.25">
      <c r="A316" s="193"/>
      <c r="B316" s="193"/>
      <c r="C316" s="193"/>
      <c r="D316" s="193"/>
      <c r="E316" s="193"/>
      <c r="F316" s="193"/>
      <c r="G316" s="193"/>
      <c r="H316" s="193"/>
      <c r="I316" s="193"/>
      <c r="J316" s="193"/>
      <c r="K316" s="193"/>
      <c r="L316" s="193"/>
      <c r="M316" s="193"/>
      <c r="N316" s="193"/>
      <c r="O316" s="193"/>
      <c r="P316" s="193"/>
      <c r="Q316" s="193"/>
      <c r="R316" s="193"/>
      <c r="S316" s="193"/>
      <c r="T316" s="193"/>
      <c r="U316" s="193"/>
      <c r="V316" s="193"/>
      <c r="W316" s="193"/>
      <c r="X316" s="193"/>
      <c r="Y316" s="193"/>
      <c r="Z316" s="193"/>
    </row>
    <row r="317" spans="1:26" x14ac:dyDescent="0.25">
      <c r="A317" s="193"/>
      <c r="B317" s="193"/>
      <c r="C317" s="193"/>
      <c r="D317" s="193"/>
      <c r="E317" s="193"/>
      <c r="F317" s="193"/>
      <c r="G317" s="193"/>
      <c r="H317" s="193"/>
      <c r="I317" s="193"/>
      <c r="J317" s="193"/>
      <c r="K317" s="193"/>
      <c r="L317" s="193"/>
      <c r="M317" s="193"/>
      <c r="N317" s="193"/>
      <c r="O317" s="193"/>
      <c r="P317" s="193"/>
      <c r="Q317" s="193"/>
      <c r="R317" s="193"/>
      <c r="S317" s="193"/>
      <c r="T317" s="193"/>
      <c r="U317" s="193"/>
      <c r="V317" s="193"/>
      <c r="W317" s="193"/>
      <c r="X317" s="193"/>
      <c r="Y317" s="193"/>
      <c r="Z317" s="193"/>
    </row>
    <row r="318" spans="1:26" x14ac:dyDescent="0.25">
      <c r="A318" s="193"/>
      <c r="B318" s="193"/>
      <c r="C318" s="193"/>
      <c r="D318" s="193"/>
      <c r="E318" s="193"/>
      <c r="F318" s="193"/>
      <c r="G318" s="193"/>
      <c r="H318" s="193"/>
      <c r="I318" s="193"/>
      <c r="J318" s="193"/>
      <c r="K318" s="193"/>
      <c r="L318" s="193"/>
      <c r="M318" s="193"/>
      <c r="N318" s="193"/>
      <c r="O318" s="193"/>
      <c r="P318" s="193"/>
      <c r="Q318" s="193"/>
      <c r="R318" s="193"/>
      <c r="S318" s="193"/>
      <c r="T318" s="193"/>
      <c r="U318" s="193"/>
      <c r="V318" s="193"/>
      <c r="W318" s="193"/>
      <c r="X318" s="193"/>
      <c r="Y318" s="193"/>
      <c r="Z318" s="193"/>
    </row>
    <row r="319" spans="1:26" x14ac:dyDescent="0.25">
      <c r="A319" s="193"/>
      <c r="B319" s="193"/>
      <c r="C319" s="193"/>
      <c r="D319" s="193"/>
      <c r="E319" s="193"/>
      <c r="F319" s="193"/>
      <c r="G319" s="193"/>
      <c r="H319" s="193"/>
      <c r="I319" s="193"/>
      <c r="J319" s="193"/>
      <c r="K319" s="193"/>
      <c r="L319" s="193"/>
      <c r="M319" s="193"/>
      <c r="N319" s="193"/>
      <c r="O319" s="193"/>
      <c r="P319" s="193"/>
      <c r="Q319" s="193"/>
      <c r="R319" s="193"/>
      <c r="S319" s="193"/>
      <c r="T319" s="193"/>
      <c r="U319" s="193"/>
      <c r="V319" s="193"/>
      <c r="W319" s="193"/>
      <c r="X319" s="193"/>
      <c r="Y319" s="193"/>
      <c r="Z319" s="193"/>
    </row>
    <row r="320" spans="1:26" x14ac:dyDescent="0.25">
      <c r="A320" s="193"/>
      <c r="B320" s="193"/>
      <c r="C320" s="193"/>
      <c r="D320" s="193"/>
      <c r="E320" s="193"/>
      <c r="F320" s="193"/>
      <c r="G320" s="193"/>
      <c r="H320" s="193"/>
      <c r="I320" s="193"/>
      <c r="J320" s="193"/>
      <c r="K320" s="193"/>
      <c r="L320" s="193"/>
      <c r="M320" s="193"/>
      <c r="N320" s="193"/>
      <c r="O320" s="193"/>
      <c r="P320" s="193"/>
      <c r="Q320" s="193"/>
      <c r="R320" s="193"/>
      <c r="S320" s="193"/>
      <c r="T320" s="193"/>
      <c r="U320" s="193"/>
      <c r="V320" s="193"/>
      <c r="W320" s="193"/>
      <c r="X320" s="193"/>
      <c r="Y320" s="193"/>
      <c r="Z320" s="193"/>
    </row>
  </sheetData>
  <mergeCells count="4">
    <mergeCell ref="A2:I2"/>
    <mergeCell ref="A3:I3"/>
    <mergeCell ref="K3:L3"/>
    <mergeCell ref="K4:L4"/>
  </mergeCells>
  <dataValidations count="1">
    <dataValidation type="list" allowBlank="1" showInputMessage="1" showErrorMessage="1" sqref="F6:F105" xr:uid="{15DD6897-05A1-4492-9228-B1E8801486A0}">
      <formula1>CategoryList</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4154F-528B-4AF0-A33E-431BC1BC361C}">
  <sheetPr>
    <tabColor rgb="FFCFE2ED"/>
  </sheetPr>
  <dimension ref="A1:J18"/>
  <sheetViews>
    <sheetView showGridLines="0" workbookViewId="0">
      <selection activeCell="J8" sqref="J8"/>
    </sheetView>
  </sheetViews>
  <sheetFormatPr defaultRowHeight="15" x14ac:dyDescent="0.25"/>
  <cols>
    <col min="2" max="8" width="18.140625" customWidth="1"/>
    <col min="9" max="10" width="13.28515625" customWidth="1"/>
  </cols>
  <sheetData>
    <row r="1" spans="1:10" ht="37.5" x14ac:dyDescent="0.5">
      <c r="A1" s="126" t="s">
        <v>130</v>
      </c>
      <c r="B1" s="4"/>
      <c r="C1" s="4"/>
      <c r="D1" s="4"/>
      <c r="E1" s="4"/>
      <c r="F1" s="4"/>
      <c r="G1" s="4"/>
      <c r="H1" s="4"/>
      <c r="I1" s="4"/>
      <c r="J1" s="4"/>
    </row>
    <row r="2" spans="1:10" x14ac:dyDescent="0.25">
      <c r="A2" s="3" t="s">
        <v>131</v>
      </c>
      <c r="B2" s="4"/>
      <c r="C2" s="4"/>
      <c r="D2" s="4"/>
      <c r="E2" s="4"/>
      <c r="F2" s="4"/>
      <c r="G2" s="4"/>
      <c r="H2" s="4"/>
      <c r="I2" s="4"/>
      <c r="J2" s="4"/>
    </row>
    <row r="3" spans="1:10" x14ac:dyDescent="0.25">
      <c r="A3" s="4"/>
      <c r="B3" s="4"/>
      <c r="C3" s="4"/>
      <c r="D3" s="4"/>
      <c r="E3" s="4"/>
      <c r="F3" s="4"/>
      <c r="G3" s="4"/>
      <c r="H3" s="4"/>
      <c r="I3" s="4"/>
      <c r="J3" s="4"/>
    </row>
    <row r="4" spans="1:10" x14ac:dyDescent="0.25">
      <c r="A4" s="6" t="s">
        <v>50</v>
      </c>
      <c r="B4" s="190" t="s">
        <v>51</v>
      </c>
      <c r="C4" s="6" t="s">
        <v>69</v>
      </c>
      <c r="D4" s="190">
        <v>2026</v>
      </c>
      <c r="E4" s="6" t="s">
        <v>132</v>
      </c>
      <c r="F4" s="190" t="s">
        <v>64</v>
      </c>
      <c r="G4" s="4"/>
      <c r="H4" s="4"/>
      <c r="I4" s="162" t="s">
        <v>133</v>
      </c>
      <c r="J4" s="162">
        <f>MATCH($B$4,MonthList,0)</f>
        <v>1</v>
      </c>
    </row>
    <row r="5" spans="1:10" x14ac:dyDescent="0.25">
      <c r="A5" s="4"/>
      <c r="B5" s="4"/>
      <c r="C5" s="4"/>
      <c r="D5" s="4"/>
      <c r="E5" s="4"/>
      <c r="F5" s="4"/>
      <c r="G5" s="4"/>
      <c r="H5" s="4"/>
      <c r="I5" s="162" t="s">
        <v>134</v>
      </c>
      <c r="J5" s="162">
        <f>DATE($D$4,$J$4,1)</f>
        <v>46023</v>
      </c>
    </row>
    <row r="6" spans="1:10" x14ac:dyDescent="0.25">
      <c r="A6" s="4"/>
      <c r="B6" s="21" t="str" cm="1">
        <f t="array" ref="B6">IF($F$4="Monday",INDEX({"Mon";"Tue";"Wed";"Thu";"Fri";"Sat";"Sun"},1),INDEX({"Sun";"Mon";"Tue";"Wed";"Thu";"Fri";"Sat"},1))</f>
        <v>Mon</v>
      </c>
      <c r="C6" s="21" t="str" cm="1">
        <f t="array" ref="C6">IF($F$4="Monday",INDEX({"Mon";"Tue";"Wed";"Thu";"Fri";"Sat";"Sun"},2),INDEX({"Sun";"Mon";"Tue";"Wed";"Thu";"Fri";"Sat"},2))</f>
        <v>Tue</v>
      </c>
      <c r="D6" s="21" t="str" cm="1">
        <f t="array" ref="D6">IF($F$4="Monday",INDEX({"Mon";"Tue";"Wed";"Thu";"Fri";"Sat";"Sun"},3),INDEX({"Sun";"Mon";"Tue";"Wed";"Thu";"Fri";"Sat"},3))</f>
        <v>Wed</v>
      </c>
      <c r="E6" s="21" t="str" cm="1">
        <f t="array" ref="E6">IF($F$4="Monday",INDEX({"Mon";"Tue";"Wed";"Thu";"Fri";"Sat";"Sun"},4),INDEX({"Sun";"Mon";"Tue";"Wed";"Thu";"Fri";"Sat"},4))</f>
        <v>Thu</v>
      </c>
      <c r="F6" s="21" t="str" cm="1">
        <f t="array" ref="F6">IF($F$4="Monday",INDEX({"Mon";"Tue";"Wed";"Thu";"Fri";"Sat";"Sun"},5),INDEX({"Sun";"Mon";"Tue";"Wed";"Thu";"Fri";"Sat"},5))</f>
        <v>Fri</v>
      </c>
      <c r="G6" s="21" t="str" cm="1">
        <f t="array" ref="G6">IF($F$4="Monday",INDEX({"Mon";"Tue";"Wed";"Thu";"Fri";"Sat";"Sun"},6),INDEX({"Sun";"Mon";"Tue";"Wed";"Thu";"Fri";"Sat"},6))</f>
        <v>Sat</v>
      </c>
      <c r="H6" s="21" t="str" cm="1">
        <f t="array" ref="H6">IF($F$4="Monday",INDEX({"Mon";"Tue";"Wed";"Thu";"Fri";"Sat";"Sun"},7),INDEX({"Sun";"Mon";"Tue";"Wed";"Thu";"Fri";"Sat"},7))</f>
        <v>Sun</v>
      </c>
      <c r="I6" s="162" t="s">
        <v>135</v>
      </c>
      <c r="J6" s="162">
        <f>IF($F$4="Monday",WEEKDAY($J$5,2)-1,WEEKDAY($J$5,1)-1)</f>
        <v>3</v>
      </c>
    </row>
    <row r="7" spans="1:10" x14ac:dyDescent="0.25">
      <c r="A7" s="4"/>
      <c r="B7" s="179" t="str">
        <f>IF(MONTH(($J$5-$J$6+0))=$J$4,DAY(($J$5-$J$6+0)),"")</f>
        <v/>
      </c>
      <c r="C7" s="179" t="str">
        <f>IF(MONTH(($J$5-$J$6+1))=$J$4,DAY(($J$5-$J$6+1)),"")</f>
        <v/>
      </c>
      <c r="D7" s="179" t="str">
        <f>IF(MONTH(($J$5-$J$6+2))=$J$4,DAY(($J$5-$J$6+2)),"")</f>
        <v/>
      </c>
      <c r="E7" s="179">
        <f>IF(MONTH(($J$5-$J$6+3))=$J$4,DAY(($J$5-$J$6+3)),"")</f>
        <v>1</v>
      </c>
      <c r="F7" s="179">
        <f>IF(MONTH(($J$5-$J$6+4))=$J$4,DAY(($J$5-$J$6+4)),"")</f>
        <v>2</v>
      </c>
      <c r="G7" s="179">
        <f>IF(MONTH(($J$5-$J$6+5))=$J$4,DAY(($J$5-$J$6+5)),"")</f>
        <v>3</v>
      </c>
      <c r="H7" s="179">
        <f>IF(MONTH(($J$5-$J$6+6))=$J$4,DAY(($J$5-$J$6+6)),"")</f>
        <v>4</v>
      </c>
      <c r="I7" s="4"/>
      <c r="J7" s="4"/>
    </row>
    <row r="8" spans="1:10" ht="42" customHeight="1" x14ac:dyDescent="0.25">
      <c r="A8" s="4"/>
      <c r="B8" s="180" t="str" cm="1">
        <f t="array" ref="B8">IF(MONTH($J$5-$J$6+((ROW()-8)/2)*7+(COLUMN()-2))=$J$4,IFERROR(_xlfn.TEXTJOIN(CHAR(10),TRUE,IF((TransactionsLog[Type]="Bill")*(TransactionsLog[Date]=($J$5-$J$6+((ROW()-8)/2)*7+(COLUMN()-2))),"☐ "&amp;TransactionsLog[Category]&amp;" "&amp;TEXT(TransactionsLog[Amount],"$0"),"")),""),"")</f>
        <v/>
      </c>
      <c r="C8" s="180" t="str" cm="1">
        <f t="array" ref="C8">IF(MONTH($J$5-$J$6+((ROW()-8)/2)*7+(COLUMN()-2))=$J$4,IFERROR(_xlfn.TEXTJOIN(CHAR(10),TRUE,IF((TransactionsLog[Type]="Bill")*(TransactionsLog[Date]=($J$5-$J$6+((ROW()-8)/2)*7+(COLUMN()-2))),"☐ "&amp;TransactionsLog[Category]&amp;" "&amp;TEXT(TransactionsLog[Amount],"$0"),"")),""),"")</f>
        <v/>
      </c>
      <c r="D8" s="180" t="str" cm="1">
        <f t="array" ref="D8">IF(MONTH($J$5-$J$6+((ROW()-8)/2)*7+(COLUMN()-2))=$J$4,IFERROR(_xlfn.TEXTJOIN(CHAR(10),TRUE,IF((TransactionsLog[Type]="Bill")*(TransactionsLog[Date]=($J$5-$J$6+((ROW()-8)/2)*7+(COLUMN()-2))),"☐ "&amp;TransactionsLog[Category]&amp;" "&amp;TEXT(TransactionsLog[Amount],"$0"),"")),""),"")</f>
        <v/>
      </c>
      <c r="E8" s="180" t="str" cm="1">
        <f t="array" ref="E8">IF(MONTH($J$5-$J$6+((ROW()-8)/2)*7+(COLUMN()-2))=$J$4,IFERROR(_xlfn.TEXTJOIN(CHAR(10),TRUE,IF((TransactionsLog[Type]="Bill")*(TransactionsLog[Date]=($J$5-$J$6+((ROW()-8)/2)*7+(COLUMN()-2))),"☐ "&amp;TransactionsLog[Category]&amp;" "&amp;TEXT(TransactionsLog[Amount],"$0"),"")),""),"")</f>
        <v/>
      </c>
      <c r="F8" s="180" t="str" cm="1">
        <f t="array" ref="F8">IF(MONTH($J$5-$J$6+((ROW()-8)/2)*7+(COLUMN()-2))=$J$4,IFERROR(_xlfn.TEXTJOIN(CHAR(10),TRUE,IF((TransactionsLog[Type]="Bill")*(TransactionsLog[Date]=($J$5-$J$6+((ROW()-8)/2)*7+(COLUMN()-2))),"☐ "&amp;TransactionsLog[Category]&amp;" "&amp;TEXT(TransactionsLog[Amount],"$0"),"")),""),"")</f>
        <v/>
      </c>
      <c r="G8" s="180" t="str" cm="1">
        <f t="array" ref="G8">IF(MONTH($J$5-$J$6+((ROW()-8)/2)*7+(COLUMN()-2))=$J$4,IFERROR(_xlfn.TEXTJOIN(CHAR(10),TRUE,IF((TransactionsLog[Type]="Bill")*(TransactionsLog[Date]=($J$5-$J$6+((ROW()-8)/2)*7+(COLUMN()-2))),"☐ "&amp;TransactionsLog[Category]&amp;" "&amp;TEXT(TransactionsLog[Amount],"$0"),"")),""),"")</f>
        <v/>
      </c>
      <c r="H8" s="180" t="str" cm="1">
        <f t="array" ref="H8">IF(MONTH($J$5-$J$6+((ROW()-8)/2)*7+(COLUMN()-2))=$J$4,IFERROR(_xlfn.TEXTJOIN(CHAR(10),TRUE,IF((TransactionsLog[Type]="Bill")*(TransactionsLog[Date]=($J$5-$J$6+((ROW()-8)/2)*7+(COLUMN()-2))),"☐ "&amp;TransactionsLog[Category]&amp;" "&amp;TEXT(TransactionsLog[Amount],"$0"),"")),""),"")</f>
        <v/>
      </c>
      <c r="I8" s="4"/>
      <c r="J8" s="4"/>
    </row>
    <row r="9" spans="1:10" x14ac:dyDescent="0.25">
      <c r="A9" s="4"/>
      <c r="B9" s="181">
        <f>IF(MONTH(($J$5-$J$6+7))=$J$4,DAY(($J$5-$J$6+7)),"")</f>
        <v>5</v>
      </c>
      <c r="C9" s="181">
        <f>IF(MONTH(($J$5-$J$6+8))=$J$4,DAY(($J$5-$J$6+8)),"")</f>
        <v>6</v>
      </c>
      <c r="D9" s="181">
        <f>IF(MONTH(($J$5-$J$6+9))=$J$4,DAY(($J$5-$J$6+9)),"")</f>
        <v>7</v>
      </c>
      <c r="E9" s="181">
        <f>IF(MONTH(($J$5-$J$6+10))=$J$4,DAY(($J$5-$J$6+10)),"")</f>
        <v>8</v>
      </c>
      <c r="F9" s="181">
        <f>IF(MONTH(($J$5-$J$6+11))=$J$4,DAY(($J$5-$J$6+11)),"")</f>
        <v>9</v>
      </c>
      <c r="G9" s="181">
        <f>IF(MONTH(($J$5-$J$6+12))=$J$4,DAY(($J$5-$J$6+12)),"")</f>
        <v>10</v>
      </c>
      <c r="H9" s="181">
        <f>IF(MONTH(($J$5-$J$6+13))=$J$4,DAY(($J$5-$J$6+13)),"")</f>
        <v>11</v>
      </c>
      <c r="I9" s="4"/>
      <c r="J9" s="4"/>
    </row>
    <row r="10" spans="1:10" ht="42" customHeight="1" x14ac:dyDescent="0.25">
      <c r="A10" s="4"/>
      <c r="B10" s="182" t="str" cm="1">
        <f t="array" ref="B10">IF(MONTH($J$5-$J$6+((ROW()-8)/2)*7+(COLUMN()-2))=$J$4,IFERROR(_xlfn.TEXTJOIN(CHAR(10),TRUE,IF((TransactionsLog[Type]="Bill")*(TransactionsLog[Date]=($J$5-$J$6+((ROW()-8)/2)*7+(COLUMN()-2))),"☐ "&amp;TransactionsLog[Category]&amp;" "&amp;TEXT(TransactionsLog[Amount],"$0"),"")),""),"")</f>
        <v/>
      </c>
      <c r="C10" s="182" t="str" cm="1">
        <f t="array" ref="C10">IF(MONTH($J$5-$J$6+((ROW()-8)/2)*7+(COLUMN()-2))=$J$4,IFERROR(_xlfn.TEXTJOIN(CHAR(10),TRUE,IF((TransactionsLog[Type]="Bill")*(TransactionsLog[Date]=($J$5-$J$6+((ROW()-8)/2)*7+(COLUMN()-2))),"☐ "&amp;TransactionsLog[Category]&amp;" "&amp;TEXT(TransactionsLog[Amount],"$0"),"")),""),"")</f>
        <v/>
      </c>
      <c r="D10" s="182" t="str" cm="1">
        <f t="array" ref="D10">IF(MONTH($J$5-$J$6+((ROW()-8)/2)*7+(COLUMN()-2))=$J$4,IFERROR(_xlfn.TEXTJOIN(CHAR(10),TRUE,IF((TransactionsLog[Type]="Bill")*(TransactionsLog[Date]=($J$5-$J$6+((ROW()-8)/2)*7+(COLUMN()-2))),"☐ "&amp;TransactionsLog[Category]&amp;" "&amp;TEXT(TransactionsLog[Amount],"$0"),"")),""),"")</f>
        <v/>
      </c>
      <c r="E10" s="182" t="str" cm="1">
        <f t="array" ref="E10">IF(MONTH($J$5-$J$6+((ROW()-8)/2)*7+(COLUMN()-2))=$J$4,IFERROR(_xlfn.TEXTJOIN(CHAR(10),TRUE,IF((TransactionsLog[Type]="Bill")*(TransactionsLog[Date]=($J$5-$J$6+((ROW()-8)/2)*7+(COLUMN()-2))),"☐ "&amp;TransactionsLog[Category]&amp;" "&amp;TEXT(TransactionsLog[Amount],"$0"),"")),""),"")</f>
        <v/>
      </c>
      <c r="F10" s="182" t="str" cm="1">
        <f t="array" ref="F10">IF(MONTH($J$5-$J$6+((ROW()-8)/2)*7+(COLUMN()-2))=$J$4,IFERROR(_xlfn.TEXTJOIN(CHAR(10),TRUE,IF((TransactionsLog[Type]="Bill")*(TransactionsLog[Date]=($J$5-$J$6+((ROW()-8)/2)*7+(COLUMN()-2))),"☐ "&amp;TransactionsLog[Category]&amp;" "&amp;TEXT(TransactionsLog[Amount],"$0"),"")),""),"")</f>
        <v/>
      </c>
      <c r="G10" s="182" t="str" cm="1">
        <f t="array" ref="G10">IF(MONTH($J$5-$J$6+((ROW()-8)/2)*7+(COLUMN()-2))=$J$4,IFERROR(_xlfn.TEXTJOIN(CHAR(10),TRUE,IF((TransactionsLog[Type]="Bill")*(TransactionsLog[Date]=($J$5-$J$6+((ROW()-8)/2)*7+(COLUMN()-2))),"☐ "&amp;TransactionsLog[Category]&amp;" "&amp;TEXT(TransactionsLog[Amount],"$0"),"")),""),"")</f>
        <v/>
      </c>
      <c r="H10" s="182" t="str" cm="1">
        <f t="array" ref="H10">IF(MONTH($J$5-$J$6+((ROW()-8)/2)*7+(COLUMN()-2))=$J$4,IFERROR(_xlfn.TEXTJOIN(CHAR(10),TRUE,IF((TransactionsLog[Type]="Bill")*(TransactionsLog[Date]=($J$5-$J$6+((ROW()-8)/2)*7+(COLUMN()-2))),"☐ "&amp;TransactionsLog[Category]&amp;" "&amp;TEXT(TransactionsLog[Amount],"$0"),"")),""),"")</f>
        <v/>
      </c>
      <c r="I10" s="4"/>
      <c r="J10" s="4"/>
    </row>
    <row r="11" spans="1:10" x14ac:dyDescent="0.25">
      <c r="A11" s="4"/>
      <c r="B11" s="183">
        <f>IF(MONTH(($J$5-$J$6+14))=$J$4,DAY(($J$5-$J$6+14)),"")</f>
        <v>12</v>
      </c>
      <c r="C11" s="183">
        <f>IF(MONTH(($J$5-$J$6+15))=$J$4,DAY(($J$5-$J$6+15)),"")</f>
        <v>13</v>
      </c>
      <c r="D11" s="183">
        <f>IF(MONTH(($J$5-$J$6+16))=$J$4,DAY(($J$5-$J$6+16)),"")</f>
        <v>14</v>
      </c>
      <c r="E11" s="183">
        <f>IF(MONTH(($J$5-$J$6+17))=$J$4,DAY(($J$5-$J$6+17)),"")</f>
        <v>15</v>
      </c>
      <c r="F11" s="183">
        <f>IF(MONTH(($J$5-$J$6+18))=$J$4,DAY(($J$5-$J$6+18)),"")</f>
        <v>16</v>
      </c>
      <c r="G11" s="183">
        <f>IF(MONTH(($J$5-$J$6+19))=$J$4,DAY(($J$5-$J$6+19)),"")</f>
        <v>17</v>
      </c>
      <c r="H11" s="183">
        <f>IF(MONTH(($J$5-$J$6+20))=$J$4,DAY(($J$5-$J$6+20)),"")</f>
        <v>18</v>
      </c>
      <c r="I11" s="4"/>
      <c r="J11" s="4"/>
    </row>
    <row r="12" spans="1:10" ht="42" customHeight="1" x14ac:dyDescent="0.25">
      <c r="A12" s="4"/>
      <c r="B12" s="184" t="str" cm="1">
        <f t="array" ref="B12">IF(MONTH($J$5-$J$6+((ROW()-8)/2)*7+(COLUMN()-2))=$J$4,IFERROR(_xlfn.TEXTJOIN(CHAR(10),TRUE,IF((TransactionsLog[Type]="Bill")*(TransactionsLog[Date]=($J$5-$J$6+((ROW()-8)/2)*7+(COLUMN()-2))),"☐ "&amp;TransactionsLog[Category]&amp;" "&amp;TEXT(TransactionsLog[Amount],"$0"),"")),""),"")</f>
        <v/>
      </c>
      <c r="C12" s="184" t="str" cm="1">
        <f t="array" ref="C12">IF(MONTH($J$5-$J$6+((ROW()-8)/2)*7+(COLUMN()-2))=$J$4,IFERROR(_xlfn.TEXTJOIN(CHAR(10),TRUE,IF((TransactionsLog[Type]="Bill")*(TransactionsLog[Date]=($J$5-$J$6+((ROW()-8)/2)*7+(COLUMN()-2))),"☐ "&amp;TransactionsLog[Category]&amp;" "&amp;TEXT(TransactionsLog[Amount],"$0"),"")),""),"")</f>
        <v/>
      </c>
      <c r="D12" s="184" t="str" cm="1">
        <f t="array" ref="D12">IF(MONTH($J$5-$J$6+((ROW()-8)/2)*7+(COLUMN()-2))=$J$4,IFERROR(_xlfn.TEXTJOIN(CHAR(10),TRUE,IF((TransactionsLog[Type]="Bill")*(TransactionsLog[Date]=($J$5-$J$6+((ROW()-8)/2)*7+(COLUMN()-2))),"☐ "&amp;TransactionsLog[Category]&amp;" "&amp;TEXT(TransactionsLog[Amount],"$0"),"")),""),"")</f>
        <v/>
      </c>
      <c r="E12" s="184" t="str" cm="1">
        <f t="array" ref="E12">IF(MONTH($J$5-$J$6+((ROW()-8)/2)*7+(COLUMN()-2))=$J$4,IFERROR(_xlfn.TEXTJOIN(CHAR(10),TRUE,IF((TransactionsLog[Type]="Bill")*(TransactionsLog[Date]=($J$5-$J$6+((ROW()-8)/2)*7+(COLUMN()-2))),"☐ "&amp;TransactionsLog[Category]&amp;" "&amp;TEXT(TransactionsLog[Amount],"$0"),"")),""),"")</f>
        <v/>
      </c>
      <c r="F12" s="184" t="str" cm="1">
        <f t="array" ref="F12">IF(MONTH($J$5-$J$6+((ROW()-8)/2)*7+(COLUMN()-2))=$J$4,IFERROR(_xlfn.TEXTJOIN(CHAR(10),TRUE,IF((TransactionsLog[Type]="Bill")*(TransactionsLog[Date]=($J$5-$J$6+((ROW()-8)/2)*7+(COLUMN()-2))),"☐ "&amp;TransactionsLog[Category]&amp;" "&amp;TEXT(TransactionsLog[Amount],"$0"),"")),""),"")</f>
        <v/>
      </c>
      <c r="G12" s="184" t="str" cm="1">
        <f t="array" ref="G12">IF(MONTH($J$5-$J$6+((ROW()-8)/2)*7+(COLUMN()-2))=$J$4,IFERROR(_xlfn.TEXTJOIN(CHAR(10),TRUE,IF((TransactionsLog[Type]="Bill")*(TransactionsLog[Date]=($J$5-$J$6+((ROW()-8)/2)*7+(COLUMN()-2))),"☐ "&amp;TransactionsLog[Category]&amp;" "&amp;TEXT(TransactionsLog[Amount],"$0"),"")),""),"")</f>
        <v/>
      </c>
      <c r="H12" s="184" t="str" cm="1">
        <f t="array" ref="H12">IF(MONTH($J$5-$J$6+((ROW()-8)/2)*7+(COLUMN()-2))=$J$4,IFERROR(_xlfn.TEXTJOIN(CHAR(10),TRUE,IF((TransactionsLog[Type]="Bill")*(TransactionsLog[Date]=($J$5-$J$6+((ROW()-8)/2)*7+(COLUMN()-2))),"☐ "&amp;TransactionsLog[Category]&amp;" "&amp;TEXT(TransactionsLog[Amount],"$0"),"")),""),"")</f>
        <v/>
      </c>
      <c r="I12" s="4"/>
      <c r="J12" s="4"/>
    </row>
    <row r="13" spans="1:10" x14ac:dyDescent="0.25">
      <c r="A13" s="4"/>
      <c r="B13" s="185">
        <f>IF(MONTH(($J$5-$J$6+21))=$J$4,DAY(($J$5-$J$6+21)),"")</f>
        <v>19</v>
      </c>
      <c r="C13" s="185">
        <f>IF(MONTH(($J$5-$J$6+22))=$J$4,DAY(($J$5-$J$6+22)),"")</f>
        <v>20</v>
      </c>
      <c r="D13" s="185">
        <f>IF(MONTH(($J$5-$J$6+23))=$J$4,DAY(($J$5-$J$6+23)),"")</f>
        <v>21</v>
      </c>
      <c r="E13" s="185">
        <f>IF(MONTH(($J$5-$J$6+24))=$J$4,DAY(($J$5-$J$6+24)),"")</f>
        <v>22</v>
      </c>
      <c r="F13" s="185">
        <f>IF(MONTH(($J$5-$J$6+25))=$J$4,DAY(($J$5-$J$6+25)),"")</f>
        <v>23</v>
      </c>
      <c r="G13" s="185">
        <f>IF(MONTH(($J$5-$J$6+26))=$J$4,DAY(($J$5-$J$6+26)),"")</f>
        <v>24</v>
      </c>
      <c r="H13" s="185">
        <f>IF(MONTH(($J$5-$J$6+27))=$J$4,DAY(($J$5-$J$6+27)),"")</f>
        <v>25</v>
      </c>
      <c r="I13" s="4"/>
      <c r="J13" s="4"/>
    </row>
    <row r="14" spans="1:10" ht="42" customHeight="1" x14ac:dyDescent="0.25">
      <c r="A14" s="4"/>
      <c r="B14" s="186" t="str" cm="1">
        <f t="array" ref="B14">IF(MONTH($J$5-$J$6+((ROW()-8)/2)*7+(COLUMN()-2))=$J$4,IFERROR(_xlfn.TEXTJOIN(CHAR(10),TRUE,IF((TransactionsLog[Type]="Bill")*(TransactionsLog[Date]=($J$5-$J$6+((ROW()-8)/2)*7+(COLUMN()-2))),"☐ "&amp;TransactionsLog[Category]&amp;" "&amp;TEXT(TransactionsLog[Amount],"$0"),"")),""),"")</f>
        <v/>
      </c>
      <c r="C14" s="186" t="str" cm="1">
        <f t="array" ref="C14">IF(MONTH($J$5-$J$6+((ROW()-8)/2)*7+(COLUMN()-2))=$J$4,IFERROR(_xlfn.TEXTJOIN(CHAR(10),TRUE,IF((TransactionsLog[Type]="Bill")*(TransactionsLog[Date]=($J$5-$J$6+((ROW()-8)/2)*7+(COLUMN()-2))),"☐ "&amp;TransactionsLog[Category]&amp;" "&amp;TEXT(TransactionsLog[Amount],"$0"),"")),""),"")</f>
        <v/>
      </c>
      <c r="D14" s="186" t="str" cm="1">
        <f t="array" ref="D14">IF(MONTH($J$5-$J$6+((ROW()-8)/2)*7+(COLUMN()-2))=$J$4,IFERROR(_xlfn.TEXTJOIN(CHAR(10),TRUE,IF((TransactionsLog[Type]="Bill")*(TransactionsLog[Date]=($J$5-$J$6+((ROW()-8)/2)*7+(COLUMN()-2))),"☐ "&amp;TransactionsLog[Category]&amp;" "&amp;TEXT(TransactionsLog[Amount],"$0"),"")),""),"")</f>
        <v/>
      </c>
      <c r="E14" s="186" t="str" cm="1">
        <f t="array" ref="E14">IF(MONTH($J$5-$J$6+((ROW()-8)/2)*7+(COLUMN()-2))=$J$4,IFERROR(_xlfn.TEXTJOIN(CHAR(10),TRUE,IF((TransactionsLog[Type]="Bill")*(TransactionsLog[Date]=($J$5-$J$6+((ROW()-8)/2)*7+(COLUMN()-2))),"☐ "&amp;TransactionsLog[Category]&amp;" "&amp;TEXT(TransactionsLog[Amount],"$0"),"")),""),"")</f>
        <v/>
      </c>
      <c r="F14" s="186" t="str" cm="1">
        <f t="array" ref="F14">IF(MONTH($J$5-$J$6+((ROW()-8)/2)*7+(COLUMN()-2))=$J$4,IFERROR(_xlfn.TEXTJOIN(CHAR(10),TRUE,IF((TransactionsLog[Type]="Bill")*(TransactionsLog[Date]=($J$5-$J$6+((ROW()-8)/2)*7+(COLUMN()-2))),"☐ "&amp;TransactionsLog[Category]&amp;" "&amp;TEXT(TransactionsLog[Amount],"$0"),"")),""),"")</f>
        <v/>
      </c>
      <c r="G14" s="186" t="str" cm="1">
        <f t="array" ref="G14">IF(MONTH($J$5-$J$6+((ROW()-8)/2)*7+(COLUMN()-2))=$J$4,IFERROR(_xlfn.TEXTJOIN(CHAR(10),TRUE,IF((TransactionsLog[Type]="Bill")*(TransactionsLog[Date]=($J$5-$J$6+((ROW()-8)/2)*7+(COLUMN()-2))),"☐ "&amp;TransactionsLog[Category]&amp;" "&amp;TEXT(TransactionsLog[Amount],"$0"),"")),""),"")</f>
        <v/>
      </c>
      <c r="H14" s="186" t="str" cm="1">
        <f t="array" ref="H14">IF(MONTH($J$5-$J$6+((ROW()-8)/2)*7+(COLUMN()-2))=$J$4,IFERROR(_xlfn.TEXTJOIN(CHAR(10),TRUE,IF((TransactionsLog[Type]="Bill")*(TransactionsLog[Date]=($J$5-$J$6+((ROW()-8)/2)*7+(COLUMN()-2))),"☐ "&amp;TransactionsLog[Category]&amp;" "&amp;TEXT(TransactionsLog[Amount],"$0"),"")),""),"")</f>
        <v/>
      </c>
      <c r="I14" s="4"/>
      <c r="J14" s="4"/>
    </row>
    <row r="15" spans="1:10" x14ac:dyDescent="0.25">
      <c r="A15" s="4"/>
      <c r="B15" s="187">
        <f>IF(MONTH(($J$5-$J$6+28))=$J$4,DAY(($J$5-$J$6+28)),"")</f>
        <v>26</v>
      </c>
      <c r="C15" s="187">
        <f>IF(MONTH(($J$5-$J$6+29))=$J$4,DAY(($J$5-$J$6+29)),"")</f>
        <v>27</v>
      </c>
      <c r="D15" s="187">
        <f>IF(MONTH(($J$5-$J$6+30))=$J$4,DAY(($J$5-$J$6+30)),"")</f>
        <v>28</v>
      </c>
      <c r="E15" s="187">
        <f>IF(MONTH(($J$5-$J$6+31))=$J$4,DAY(($J$5-$J$6+31)),"")</f>
        <v>29</v>
      </c>
      <c r="F15" s="187">
        <f>IF(MONTH(($J$5-$J$6+32))=$J$4,DAY(($J$5-$J$6+32)),"")</f>
        <v>30</v>
      </c>
      <c r="G15" s="187">
        <f>IF(MONTH(($J$5-$J$6+33))=$J$4,DAY(($J$5-$J$6+33)),"")</f>
        <v>31</v>
      </c>
      <c r="H15" s="187" t="str">
        <f>IF(MONTH(($J$5-$J$6+34))=$J$4,DAY(($J$5-$J$6+34)),"")</f>
        <v/>
      </c>
      <c r="I15" s="4"/>
      <c r="J15" s="4"/>
    </row>
    <row r="16" spans="1:10" ht="42" customHeight="1" x14ac:dyDescent="0.25">
      <c r="A16" s="4"/>
      <c r="B16" s="188" t="str" cm="1">
        <f t="array" ref="B16">IF(MONTH($J$5-$J$6+((ROW()-8)/2)*7+(COLUMN()-2))=$J$4,IFERROR(_xlfn.TEXTJOIN(CHAR(10),TRUE,IF((TransactionsLog[Type]="Bill")*(TransactionsLog[Date]=($J$5-$J$6+((ROW()-8)/2)*7+(COLUMN()-2))),"☐ "&amp;TransactionsLog[Category]&amp;" "&amp;TEXT(TransactionsLog[Amount],"$0"),"")),""),"")</f>
        <v/>
      </c>
      <c r="C16" s="188" t="str" cm="1">
        <f t="array" ref="C16">IF(MONTH($J$5-$J$6+((ROW()-8)/2)*7+(COLUMN()-2))=$J$4,IFERROR(_xlfn.TEXTJOIN(CHAR(10),TRUE,IF((TransactionsLog[Type]="Bill")*(TransactionsLog[Date]=($J$5-$J$6+((ROW()-8)/2)*7+(COLUMN()-2))),"☐ "&amp;TransactionsLog[Category]&amp;" "&amp;TEXT(TransactionsLog[Amount],"$0"),"")),""),"")</f>
        <v/>
      </c>
      <c r="D16" s="188" t="str" cm="1">
        <f t="array" ref="D16">IF(MONTH($J$5-$J$6+((ROW()-8)/2)*7+(COLUMN()-2))=$J$4,IFERROR(_xlfn.TEXTJOIN(CHAR(10),TRUE,IF((TransactionsLog[Type]="Bill")*(TransactionsLog[Date]=($J$5-$J$6+((ROW()-8)/2)*7+(COLUMN()-2))),"☐ "&amp;TransactionsLog[Category]&amp;" "&amp;TEXT(TransactionsLog[Amount],"$0"),"")),""),"")</f>
        <v/>
      </c>
      <c r="E16" s="188" t="str" cm="1">
        <f t="array" ref="E16">IF(MONTH($J$5-$J$6+((ROW()-8)/2)*7+(COLUMN()-2))=$J$4,IFERROR(_xlfn.TEXTJOIN(CHAR(10),TRUE,IF((TransactionsLog[Type]="Bill")*(TransactionsLog[Date]=($J$5-$J$6+((ROW()-8)/2)*7+(COLUMN()-2))),"☐ "&amp;TransactionsLog[Category]&amp;" "&amp;TEXT(TransactionsLog[Amount],"$0"),"")),""),"")</f>
        <v/>
      </c>
      <c r="F16" s="188" t="str" cm="1">
        <f t="array" ref="F16">IF(MONTH($J$5-$J$6+((ROW()-8)/2)*7+(COLUMN()-2))=$J$4,IFERROR(_xlfn.TEXTJOIN(CHAR(10),TRUE,IF((TransactionsLog[Type]="Bill")*(TransactionsLog[Date]=($J$5-$J$6+((ROW()-8)/2)*7+(COLUMN()-2))),"☐ "&amp;TransactionsLog[Category]&amp;" "&amp;TEXT(TransactionsLog[Amount],"$0"),"")),""),"")</f>
        <v/>
      </c>
      <c r="G16" s="188" t="str" cm="1">
        <f t="array" ref="G16">IF(MONTH($J$5-$J$6+((ROW()-8)/2)*7+(COLUMN()-2))=$J$4,IFERROR(_xlfn.TEXTJOIN(CHAR(10),TRUE,IF((TransactionsLog[Type]="Bill")*(TransactionsLog[Date]=($J$5-$J$6+((ROW()-8)/2)*7+(COLUMN()-2))),"☐ "&amp;TransactionsLog[Category]&amp;" "&amp;TEXT(TransactionsLog[Amount],"$0"),"")),""),"")</f>
        <v/>
      </c>
      <c r="H16" s="188" t="str" cm="1">
        <f t="array" ref="H16">IF(MONTH($J$5-$J$6+((ROW()-8)/2)*7+(COLUMN()-2))=$J$4,IFERROR(_xlfn.TEXTJOIN(CHAR(10),TRUE,IF((TransactionsLog[Type]="Bill")*(TransactionsLog[Date]=($J$5-$J$6+((ROW()-8)/2)*7+(COLUMN()-2))),"☐ "&amp;TransactionsLog[Category]&amp;" "&amp;TEXT(TransactionsLog[Amount],"$0"),"")),""),"")</f>
        <v/>
      </c>
      <c r="I16" s="4"/>
      <c r="J16" s="4"/>
    </row>
    <row r="17" spans="1:10" x14ac:dyDescent="0.25">
      <c r="A17" s="4"/>
      <c r="B17" s="189" t="str">
        <f>IF(MONTH(($J$5-$J$6+35))=$J$4,DAY(($J$5-$J$6+35)),"")</f>
        <v/>
      </c>
      <c r="C17" s="189" t="str">
        <f>IF(MONTH(($J$5-$J$6+36))=$J$4,DAY(($J$5-$J$6+36)),"")</f>
        <v/>
      </c>
      <c r="D17" s="189" t="str">
        <f>IF(MONTH(($J$5-$J$6+37))=$J$4,DAY(($J$5-$J$6+37)),"")</f>
        <v/>
      </c>
      <c r="E17" s="189" t="str">
        <f>IF(MONTH(($J$5-$J$6+38))=$J$4,DAY(($J$5-$J$6+38)),"")</f>
        <v/>
      </c>
      <c r="F17" s="189" t="str">
        <f>IF(MONTH(($J$5-$J$6+39))=$J$4,DAY(($J$5-$J$6+39)),"")</f>
        <v/>
      </c>
      <c r="G17" s="189" t="str">
        <f>IF(MONTH(($J$5-$J$6+40))=$J$4,DAY(($J$5-$J$6+40)),"")</f>
        <v/>
      </c>
      <c r="H17" s="189" t="str">
        <f>IF(MONTH(($J$5-$J$6+41))=$J$4,DAY(($J$5-$J$6+41)),"")</f>
        <v/>
      </c>
      <c r="I17" s="4"/>
      <c r="J17" s="4"/>
    </row>
    <row r="18" spans="1:10" ht="42" customHeight="1" x14ac:dyDescent="0.25">
      <c r="A18" s="4"/>
      <c r="B18" s="180" t="str" cm="1">
        <f t="array" ref="B18">IF(MONTH($J$5-$J$6+((ROW()-8)/2)*7+(COLUMN()-2))=$J$4,IFERROR(_xlfn.TEXTJOIN(CHAR(10),TRUE,IF((TransactionsLog[Type]="Bill")*(TransactionsLog[Date]=($J$5-$J$6+((ROW()-8)/2)*7+(COLUMN()-2))),"☐ "&amp;TransactionsLog[Category]&amp;" "&amp;TEXT(TransactionsLog[Amount],"$0"),"")),""),"")</f>
        <v/>
      </c>
      <c r="C18" s="180" t="str" cm="1">
        <f t="array" ref="C18">IF(MONTH($J$5-$J$6+((ROW()-8)/2)*7+(COLUMN()-2))=$J$4,IFERROR(_xlfn.TEXTJOIN(CHAR(10),TRUE,IF((TransactionsLog[Type]="Bill")*(TransactionsLog[Date]=($J$5-$J$6+((ROW()-8)/2)*7+(COLUMN()-2))),"☐ "&amp;TransactionsLog[Category]&amp;" "&amp;TEXT(TransactionsLog[Amount],"$0"),"")),""),"")</f>
        <v/>
      </c>
      <c r="D18" s="180" t="str" cm="1">
        <f t="array" ref="D18">IF(MONTH($J$5-$J$6+((ROW()-8)/2)*7+(COLUMN()-2))=$J$4,IFERROR(_xlfn.TEXTJOIN(CHAR(10),TRUE,IF((TransactionsLog[Type]="Bill")*(TransactionsLog[Date]=($J$5-$J$6+((ROW()-8)/2)*7+(COLUMN()-2))),"☐ "&amp;TransactionsLog[Category]&amp;" "&amp;TEXT(TransactionsLog[Amount],"$0"),"")),""),"")</f>
        <v/>
      </c>
      <c r="E18" s="180" t="str" cm="1">
        <f t="array" ref="E18">IF(MONTH($J$5-$J$6+((ROW()-8)/2)*7+(COLUMN()-2))=$J$4,IFERROR(_xlfn.TEXTJOIN(CHAR(10),TRUE,IF((TransactionsLog[Type]="Bill")*(TransactionsLog[Date]=($J$5-$J$6+((ROW()-8)/2)*7+(COLUMN()-2))),"☐ "&amp;TransactionsLog[Category]&amp;" "&amp;TEXT(TransactionsLog[Amount],"$0"),"")),""),"")</f>
        <v/>
      </c>
      <c r="F18" s="180" t="str" cm="1">
        <f t="array" ref="F18">IF(MONTH($J$5-$J$6+((ROW()-8)/2)*7+(COLUMN()-2))=$J$4,IFERROR(_xlfn.TEXTJOIN(CHAR(10),TRUE,IF((TransactionsLog[Type]="Bill")*(TransactionsLog[Date]=($J$5-$J$6+((ROW()-8)/2)*7+(COLUMN()-2))),"☐ "&amp;TransactionsLog[Category]&amp;" "&amp;TEXT(TransactionsLog[Amount],"$0"),"")),""),"")</f>
        <v/>
      </c>
      <c r="G18" s="180" t="str" cm="1">
        <f t="array" ref="G18">IF(MONTH($J$5-$J$6+((ROW()-8)/2)*7+(COLUMN()-2))=$J$4,IFERROR(_xlfn.TEXTJOIN(CHAR(10),TRUE,IF((TransactionsLog[Type]="Bill")*(TransactionsLog[Date]=($J$5-$J$6+((ROW()-8)/2)*7+(COLUMN()-2))),"☐ "&amp;TransactionsLog[Category]&amp;" "&amp;TEXT(TransactionsLog[Amount],"$0"),"")),""),"")</f>
        <v/>
      </c>
      <c r="H18" s="180" t="str" cm="1">
        <f t="array" ref="H18">IF(MONTH($J$5-$J$6+((ROW()-8)/2)*7+(COLUMN()-2))=$J$4,IFERROR(_xlfn.TEXTJOIN(CHAR(10),TRUE,IF((TransactionsLog[Type]="Bill")*(TransactionsLog[Date]=($J$5-$J$6+((ROW()-8)/2)*7+(COLUMN()-2))),"☐ "&amp;TransactionsLog[Category]&amp;" "&amp;TEXT(TransactionsLog[Amount],"$0"),"")),""),"")</f>
        <v/>
      </c>
      <c r="I18" s="4"/>
      <c r="J18" s="4"/>
    </row>
  </sheetData>
  <sheetProtection sheet="1" objects="1" scenarios="1" formatCells="0"/>
  <conditionalFormatting sqref="B8:H8">
    <cfRule type="expression" dxfId="6" priority="1">
      <formula>AND(ISNUMBER(B8),B8&gt;0)</formula>
    </cfRule>
  </conditionalFormatting>
  <conditionalFormatting sqref="B10:H10">
    <cfRule type="expression" dxfId="5" priority="2">
      <formula>AND(ISNUMBER(B10),B10&gt;0)</formula>
    </cfRule>
  </conditionalFormatting>
  <conditionalFormatting sqref="B12:H12">
    <cfRule type="expression" dxfId="4" priority="3">
      <formula>AND(ISNUMBER(B12),B12&gt;0)</formula>
    </cfRule>
  </conditionalFormatting>
  <conditionalFormatting sqref="B14:H14">
    <cfRule type="expression" dxfId="3" priority="4">
      <formula>AND(ISNUMBER(B14),B14&gt;0)</formula>
    </cfRule>
  </conditionalFormatting>
  <conditionalFormatting sqref="B16:H16">
    <cfRule type="expression" dxfId="2" priority="5">
      <formula>AND(ISNUMBER(B16),B16&gt;0)</formula>
    </cfRule>
  </conditionalFormatting>
  <conditionalFormatting sqref="B18:H18">
    <cfRule type="expression" dxfId="1" priority="6">
      <formula>AND(ISNUMBER(B18),B18&gt;0)</formula>
    </cfRule>
  </conditionalFormatting>
  <dataValidations count="3">
    <dataValidation type="list" allowBlank="1" showInputMessage="1" showErrorMessage="1" sqref="B4" xr:uid="{21083D0D-DC85-40A7-B653-8517A997D118}">
      <formula1>MonthList</formula1>
    </dataValidation>
    <dataValidation type="list" allowBlank="1" showInputMessage="1" showErrorMessage="1" sqref="D4" xr:uid="{6F494054-B2DB-4834-AF47-A58B8D00F98E}">
      <formula1>YearList</formula1>
    </dataValidation>
    <dataValidation type="list" allowBlank="1" showInputMessage="1" showErrorMessage="1" sqref="F4" xr:uid="{A70A43F0-58F5-49B5-85A9-614404C8D349}">
      <formula1>WeekStartList</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B9408-B800-4B65-BE99-97CF2A44249F}">
  <sheetPr>
    <tabColor rgb="FFF5D6DC"/>
  </sheetPr>
  <dimension ref="A1:S37"/>
  <sheetViews>
    <sheetView showGridLines="0" topLeftCell="D1" zoomScale="96" zoomScaleNormal="96" workbookViewId="0">
      <selection activeCell="F7" sqref="F7"/>
    </sheetView>
  </sheetViews>
  <sheetFormatPr defaultRowHeight="15" x14ac:dyDescent="0.25"/>
  <cols>
    <col min="1" max="1" width="28.5703125" customWidth="1"/>
    <col min="2" max="2" width="36.140625" customWidth="1"/>
    <col min="3" max="3" width="19" customWidth="1"/>
    <col min="4" max="4" width="34.28515625" customWidth="1"/>
    <col min="5" max="5" width="14.28515625" customWidth="1"/>
    <col min="6" max="6" width="15.28515625" customWidth="1"/>
    <col min="7" max="8" width="17.140625" customWidth="1"/>
    <col min="9" max="9" width="28.5703125" customWidth="1"/>
    <col min="11" max="11" width="22.85546875" customWidth="1"/>
    <col min="12" max="12" width="15.28515625" customWidth="1"/>
  </cols>
  <sheetData>
    <row r="1" spans="1:19" ht="37.5" x14ac:dyDescent="0.5">
      <c r="A1" s="126" t="s">
        <v>112</v>
      </c>
      <c r="B1" s="4"/>
      <c r="C1" s="4"/>
      <c r="D1" s="4"/>
      <c r="E1" s="4"/>
      <c r="F1" s="4"/>
      <c r="G1" s="4"/>
      <c r="H1" s="4"/>
      <c r="I1" s="4"/>
      <c r="J1" s="4"/>
      <c r="K1" s="4"/>
      <c r="L1" s="4"/>
      <c r="M1" s="4"/>
      <c r="N1" s="4"/>
      <c r="O1" s="4"/>
      <c r="P1" s="4"/>
      <c r="Q1" s="4"/>
      <c r="R1" s="4"/>
      <c r="S1" s="4"/>
    </row>
    <row r="2" spans="1:19" x14ac:dyDescent="0.25">
      <c r="A2" s="3" t="s">
        <v>211</v>
      </c>
      <c r="B2" s="4"/>
      <c r="C2" s="4"/>
      <c r="D2" s="4"/>
      <c r="E2" s="4"/>
      <c r="F2" s="4"/>
      <c r="G2" s="4"/>
      <c r="H2" s="4"/>
      <c r="I2" s="4"/>
      <c r="J2" s="4"/>
      <c r="K2" s="4"/>
      <c r="L2" s="4"/>
      <c r="M2" s="4"/>
      <c r="N2" s="4"/>
      <c r="O2" s="4"/>
      <c r="P2" s="4"/>
      <c r="Q2" s="4"/>
      <c r="R2" s="4"/>
      <c r="S2" s="4"/>
    </row>
    <row r="3" spans="1:19" x14ac:dyDescent="0.25">
      <c r="A3" s="4"/>
      <c r="B3" s="4"/>
      <c r="C3" s="4"/>
      <c r="D3" s="4"/>
      <c r="E3" s="4"/>
      <c r="F3" s="4"/>
      <c r="G3" s="4"/>
      <c r="H3" s="4"/>
      <c r="I3" s="4"/>
      <c r="J3" s="4"/>
      <c r="K3" s="4"/>
      <c r="L3" s="4"/>
      <c r="M3" s="4"/>
      <c r="N3" s="4"/>
      <c r="O3" s="4"/>
      <c r="P3" s="4"/>
      <c r="Q3" s="4"/>
      <c r="R3" s="4"/>
      <c r="S3" s="4"/>
    </row>
    <row r="4" spans="1:19" x14ac:dyDescent="0.25">
      <c r="A4" s="4"/>
      <c r="B4" s="6" t="s">
        <v>119</v>
      </c>
      <c r="C4" s="17">
        <f>SUM(SubscriptionTracker[Monthly Price])</f>
        <v>0</v>
      </c>
      <c r="D4" s="6" t="s">
        <v>120</v>
      </c>
      <c r="E4" s="17">
        <f>SUM(SubscriptionTracker[Annual Price])</f>
        <v>0</v>
      </c>
      <c r="F4" s="4"/>
      <c r="G4" s="4"/>
      <c r="H4" s="4"/>
      <c r="I4" s="4"/>
      <c r="J4" s="4"/>
      <c r="K4" s="4"/>
      <c r="L4" s="4"/>
      <c r="M4" s="4"/>
      <c r="N4" s="4"/>
      <c r="O4" s="4"/>
      <c r="P4" s="4"/>
      <c r="Q4" s="4"/>
      <c r="R4" s="4"/>
      <c r="S4" s="4"/>
    </row>
    <row r="5" spans="1:19" ht="15.75" x14ac:dyDescent="0.25">
      <c r="A5" s="4"/>
      <c r="B5" s="4"/>
      <c r="C5" s="4"/>
      <c r="D5" s="4"/>
      <c r="E5" s="4"/>
      <c r="F5" s="4"/>
      <c r="G5" s="4"/>
      <c r="H5" s="4"/>
      <c r="I5" s="4"/>
      <c r="J5" s="4"/>
      <c r="K5" s="9" t="s">
        <v>121</v>
      </c>
      <c r="L5" s="11" t="s">
        <v>43</v>
      </c>
      <c r="M5" s="4"/>
      <c r="N5" s="4"/>
      <c r="O5" s="4"/>
      <c r="P5" s="4"/>
      <c r="Q5" s="4"/>
      <c r="R5" s="4"/>
      <c r="S5" s="4"/>
    </row>
    <row r="6" spans="1:19" x14ac:dyDescent="0.25">
      <c r="A6" s="7" t="s">
        <v>113</v>
      </c>
      <c r="B6" s="7" t="s">
        <v>1</v>
      </c>
      <c r="C6" s="7" t="s">
        <v>66</v>
      </c>
      <c r="D6" s="7" t="s">
        <v>114</v>
      </c>
      <c r="E6" s="7" t="s">
        <v>115</v>
      </c>
      <c r="F6" s="7" t="s">
        <v>116</v>
      </c>
      <c r="G6" s="7" t="s">
        <v>117</v>
      </c>
      <c r="H6" s="7" t="s">
        <v>118</v>
      </c>
      <c r="I6" s="7" t="s">
        <v>76</v>
      </c>
      <c r="J6" s="4"/>
      <c r="K6" s="4" t="str">
        <f>Settings!T3</f>
        <v>Streaming</v>
      </c>
      <c r="L6" s="16">
        <f>SUMIF(SubscriptionTracker[Category],$K6,SubscriptionTracker[Monthly Price])</f>
        <v>0</v>
      </c>
      <c r="M6" s="4"/>
      <c r="N6" s="4"/>
      <c r="O6" s="4"/>
      <c r="P6" s="4"/>
      <c r="Q6" s="4"/>
      <c r="R6" s="4"/>
      <c r="S6" s="4"/>
    </row>
    <row r="7" spans="1:19" x14ac:dyDescent="0.25">
      <c r="A7" s="141"/>
      <c r="B7" s="141"/>
      <c r="C7" s="141"/>
      <c r="D7" s="141"/>
      <c r="E7" s="142"/>
      <c r="F7" s="134"/>
      <c r="G7"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7" s="18" t="str">
        <f>IFERROR(SubscriptionTracker[[#This Row],[Monthly Price]]*12,"")</f>
        <v/>
      </c>
      <c r="I7" s="141"/>
      <c r="J7" s="4"/>
      <c r="K7" s="4" t="str">
        <f>Settings!T4</f>
        <v>Software &amp; Apps</v>
      </c>
      <c r="L7" s="16">
        <f>SUMIF(SubscriptionTracker[Category],$K7,SubscriptionTracker[Monthly Price])</f>
        <v>0</v>
      </c>
      <c r="M7" s="4"/>
      <c r="N7" s="4"/>
      <c r="O7" s="4"/>
      <c r="P7" s="4"/>
      <c r="Q7" s="4"/>
      <c r="R7" s="4"/>
      <c r="S7" s="4"/>
    </row>
    <row r="8" spans="1:19" x14ac:dyDescent="0.25">
      <c r="A8" s="141"/>
      <c r="B8" s="141"/>
      <c r="C8" s="141"/>
      <c r="D8" s="141"/>
      <c r="E8" s="142"/>
      <c r="F8" s="134"/>
      <c r="G8"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8" s="18" t="str">
        <f>IFERROR(SubscriptionTracker[[#This Row],[Monthly Price]]*12,"")</f>
        <v/>
      </c>
      <c r="I8" s="141"/>
      <c r="J8" s="4"/>
      <c r="K8" s="4" t="str">
        <f>Settings!T5</f>
        <v>Music</v>
      </c>
      <c r="L8" s="16">
        <f>SUMIF(SubscriptionTracker[Category],$K8,SubscriptionTracker[Monthly Price])</f>
        <v>0</v>
      </c>
      <c r="M8" s="4"/>
      <c r="N8" s="4"/>
      <c r="O8" s="4"/>
      <c r="P8" s="4"/>
      <c r="Q8" s="4"/>
      <c r="R8" s="4"/>
      <c r="S8" s="4"/>
    </row>
    <row r="9" spans="1:19" x14ac:dyDescent="0.25">
      <c r="A9" s="141"/>
      <c r="B9" s="141"/>
      <c r="C9" s="141"/>
      <c r="D9" s="141"/>
      <c r="E9" s="142"/>
      <c r="F9" s="134"/>
      <c r="G9"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9" s="18" t="str">
        <f>IFERROR(SubscriptionTracker[[#This Row],[Monthly Price]]*12,"")</f>
        <v/>
      </c>
      <c r="I9" s="141"/>
      <c r="J9" s="4"/>
      <c r="K9" s="4" t="str">
        <f>Settings!T6</f>
        <v>News &amp; Reading</v>
      </c>
      <c r="L9" s="16">
        <f>SUMIF(SubscriptionTracker[Category],$K9,SubscriptionTracker[Monthly Price])</f>
        <v>0</v>
      </c>
      <c r="M9" s="4"/>
      <c r="N9" s="4"/>
      <c r="O9" s="4"/>
      <c r="P9" s="4"/>
      <c r="Q9" s="4"/>
      <c r="R9" s="4"/>
      <c r="S9" s="4"/>
    </row>
    <row r="10" spans="1:19" x14ac:dyDescent="0.25">
      <c r="A10" s="141"/>
      <c r="B10" s="141"/>
      <c r="C10" s="141"/>
      <c r="D10" s="141"/>
      <c r="E10" s="142"/>
      <c r="F10" s="134"/>
      <c r="G10"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10" s="18" t="str">
        <f>IFERROR(SubscriptionTracker[[#This Row],[Monthly Price]]*12,"")</f>
        <v/>
      </c>
      <c r="I10" s="141"/>
      <c r="J10" s="4"/>
      <c r="K10" s="4" t="str">
        <f>Settings!T7</f>
        <v>Gaming</v>
      </c>
      <c r="L10" s="16">
        <f>SUMIF(SubscriptionTracker[Category],$K10,SubscriptionTracker[Monthly Price])</f>
        <v>0</v>
      </c>
      <c r="M10" s="4"/>
      <c r="N10" s="4"/>
      <c r="O10" s="4"/>
      <c r="P10" s="4"/>
      <c r="Q10" s="4"/>
      <c r="R10" s="4"/>
      <c r="S10" s="4"/>
    </row>
    <row r="11" spans="1:19" x14ac:dyDescent="0.25">
      <c r="A11" s="141"/>
      <c r="B11" s="141"/>
      <c r="C11" s="141"/>
      <c r="D11" s="141"/>
      <c r="E11" s="142"/>
      <c r="F11" s="134"/>
      <c r="G11"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11" s="18" t="str">
        <f>IFERROR(SubscriptionTracker[[#This Row],[Monthly Price]]*12,"")</f>
        <v/>
      </c>
      <c r="I11" s="141"/>
      <c r="J11" s="4"/>
      <c r="K11" s="4" t="str">
        <f>Settings!T8</f>
        <v>Fitness &amp; Wellness</v>
      </c>
      <c r="L11" s="16">
        <f>SUMIF(SubscriptionTracker[Category],$K11,SubscriptionTracker[Monthly Price])</f>
        <v>0</v>
      </c>
      <c r="M11" s="4"/>
      <c r="N11" s="4"/>
      <c r="O11" s="4"/>
      <c r="P11" s="4"/>
      <c r="Q11" s="4"/>
      <c r="R11" s="4"/>
      <c r="S11" s="4"/>
    </row>
    <row r="12" spans="1:19" x14ac:dyDescent="0.25">
      <c r="A12" s="141"/>
      <c r="B12" s="141"/>
      <c r="C12" s="141"/>
      <c r="D12" s="141"/>
      <c r="E12" s="142"/>
      <c r="F12" s="134"/>
      <c r="G12"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12" s="18" t="str">
        <f>IFERROR(SubscriptionTracker[[#This Row],[Monthly Price]]*12,"")</f>
        <v/>
      </c>
      <c r="I12" s="141"/>
      <c r="J12" s="4"/>
      <c r="K12" s="4" t="str">
        <f>Settings!T9</f>
        <v>Memberships</v>
      </c>
      <c r="L12" s="16">
        <f>SUMIF(SubscriptionTracker[Category],$K12,SubscriptionTracker[Monthly Price])</f>
        <v>0</v>
      </c>
      <c r="M12" s="4"/>
      <c r="N12" s="4"/>
      <c r="O12" s="4"/>
      <c r="P12" s="4"/>
      <c r="Q12" s="4"/>
      <c r="R12" s="4"/>
      <c r="S12" s="4"/>
    </row>
    <row r="13" spans="1:19" x14ac:dyDescent="0.25">
      <c r="A13" s="141"/>
      <c r="B13" s="141"/>
      <c r="C13" s="141"/>
      <c r="D13" s="141"/>
      <c r="E13" s="142"/>
      <c r="F13" s="134"/>
      <c r="G13"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13" s="18" t="str">
        <f>IFERROR(SubscriptionTracker[[#This Row],[Monthly Price]]*12,"")</f>
        <v/>
      </c>
      <c r="I13" s="141"/>
      <c r="J13" s="4"/>
      <c r="K13" s="4" t="str">
        <f>Settings!T10</f>
        <v>Other</v>
      </c>
      <c r="L13" s="16">
        <f>SUMIF(SubscriptionTracker[Category],$K13,SubscriptionTracker[Monthly Price])</f>
        <v>0</v>
      </c>
      <c r="M13" s="4"/>
      <c r="N13" s="4"/>
      <c r="O13" s="4"/>
      <c r="P13" s="4"/>
      <c r="Q13" s="4"/>
      <c r="R13" s="4"/>
      <c r="S13" s="4"/>
    </row>
    <row r="14" spans="1:19" x14ac:dyDescent="0.25">
      <c r="A14" s="141"/>
      <c r="B14" s="141"/>
      <c r="C14" s="141"/>
      <c r="D14" s="141"/>
      <c r="E14" s="142"/>
      <c r="F14" s="134"/>
      <c r="G14"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14" s="18" t="str">
        <f>IFERROR(SubscriptionTracker[[#This Row],[Monthly Price]]*12,"")</f>
        <v/>
      </c>
      <c r="I14" s="141"/>
      <c r="J14" s="4"/>
      <c r="K14" s="4"/>
      <c r="L14" s="4"/>
      <c r="M14" s="4"/>
      <c r="N14" s="4"/>
      <c r="O14" s="4"/>
      <c r="P14" s="4"/>
      <c r="Q14" s="4"/>
      <c r="R14" s="4"/>
      <c r="S14" s="4"/>
    </row>
    <row r="15" spans="1:19" x14ac:dyDescent="0.25">
      <c r="A15" s="141"/>
      <c r="B15" s="141"/>
      <c r="C15" s="141"/>
      <c r="D15" s="141"/>
      <c r="E15" s="142"/>
      <c r="F15" s="134"/>
      <c r="G15"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15" s="18" t="str">
        <f>IFERROR(SubscriptionTracker[[#This Row],[Monthly Price]]*12,"")</f>
        <v/>
      </c>
      <c r="I15" s="141"/>
      <c r="J15" s="4"/>
      <c r="K15" s="4"/>
      <c r="L15" s="4"/>
      <c r="M15" s="4"/>
      <c r="N15" s="4"/>
      <c r="O15" s="4"/>
      <c r="P15" s="4"/>
      <c r="Q15" s="4"/>
      <c r="R15" s="4"/>
      <c r="S15" s="4"/>
    </row>
    <row r="16" spans="1:19" x14ac:dyDescent="0.25">
      <c r="A16" s="141"/>
      <c r="B16" s="141"/>
      <c r="C16" s="141"/>
      <c r="D16" s="141"/>
      <c r="E16" s="142"/>
      <c r="F16" s="134"/>
      <c r="G16"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16" s="18" t="str">
        <f>IFERROR(SubscriptionTracker[[#This Row],[Monthly Price]]*12,"")</f>
        <v/>
      </c>
      <c r="I16" s="141"/>
      <c r="J16" s="4"/>
      <c r="K16" s="4"/>
      <c r="L16" s="4"/>
      <c r="M16" s="4"/>
      <c r="N16" s="4"/>
      <c r="O16" s="4"/>
      <c r="P16" s="4"/>
      <c r="Q16" s="4"/>
      <c r="R16" s="4"/>
      <c r="S16" s="4"/>
    </row>
    <row r="17" spans="1:19" x14ac:dyDescent="0.25">
      <c r="A17" s="141"/>
      <c r="B17" s="141"/>
      <c r="C17" s="141"/>
      <c r="D17" s="141"/>
      <c r="E17" s="142"/>
      <c r="F17" s="134"/>
      <c r="G17"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17" s="18" t="str">
        <f>IFERROR(SubscriptionTracker[[#This Row],[Monthly Price]]*12,"")</f>
        <v/>
      </c>
      <c r="I17" s="141"/>
      <c r="J17" s="4"/>
      <c r="K17" s="4"/>
      <c r="L17" s="4"/>
      <c r="M17" s="4"/>
      <c r="N17" s="4"/>
      <c r="O17" s="4"/>
      <c r="P17" s="4"/>
      <c r="Q17" s="4"/>
      <c r="R17" s="4"/>
      <c r="S17" s="4"/>
    </row>
    <row r="18" spans="1:19" x14ac:dyDescent="0.25">
      <c r="A18" s="141"/>
      <c r="B18" s="141"/>
      <c r="C18" s="141"/>
      <c r="D18" s="141"/>
      <c r="E18" s="142"/>
      <c r="F18" s="134"/>
      <c r="G18"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18" s="18" t="str">
        <f>IFERROR(SubscriptionTracker[[#This Row],[Monthly Price]]*12,"")</f>
        <v/>
      </c>
      <c r="I18" s="141"/>
      <c r="J18" s="4"/>
      <c r="K18" s="4"/>
      <c r="L18" s="4"/>
      <c r="M18" s="4"/>
      <c r="N18" s="4"/>
      <c r="O18" s="4"/>
      <c r="P18" s="4"/>
      <c r="Q18" s="4"/>
      <c r="R18" s="4"/>
      <c r="S18" s="4"/>
    </row>
    <row r="19" spans="1:19" x14ac:dyDescent="0.25">
      <c r="A19" s="141"/>
      <c r="B19" s="141"/>
      <c r="C19" s="141"/>
      <c r="D19" s="141"/>
      <c r="E19" s="142"/>
      <c r="F19" s="134"/>
      <c r="G19"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19" s="18" t="str">
        <f>IFERROR(SubscriptionTracker[[#This Row],[Monthly Price]]*12,"")</f>
        <v/>
      </c>
      <c r="I19" s="141"/>
      <c r="J19" s="4"/>
      <c r="K19" s="4"/>
      <c r="L19" s="4"/>
      <c r="M19" s="4"/>
      <c r="N19" s="4"/>
      <c r="O19" s="4"/>
      <c r="P19" s="4"/>
      <c r="Q19" s="4"/>
      <c r="R19" s="4"/>
      <c r="S19" s="4"/>
    </row>
    <row r="20" spans="1:19" x14ac:dyDescent="0.25">
      <c r="A20" s="141"/>
      <c r="B20" s="141"/>
      <c r="C20" s="141"/>
      <c r="D20" s="141"/>
      <c r="E20" s="142"/>
      <c r="F20" s="134"/>
      <c r="G20"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20" s="18" t="str">
        <f>IFERROR(SubscriptionTracker[[#This Row],[Monthly Price]]*12,"")</f>
        <v/>
      </c>
      <c r="I20" s="141"/>
      <c r="J20" s="4"/>
      <c r="K20" s="4"/>
      <c r="L20" s="4"/>
      <c r="M20" s="4"/>
      <c r="N20" s="4"/>
      <c r="O20" s="4"/>
      <c r="P20" s="4"/>
      <c r="Q20" s="4"/>
      <c r="R20" s="4"/>
      <c r="S20" s="4"/>
    </row>
    <row r="21" spans="1:19" x14ac:dyDescent="0.25">
      <c r="A21" s="141"/>
      <c r="B21" s="141"/>
      <c r="C21" s="141"/>
      <c r="D21" s="141"/>
      <c r="E21" s="142"/>
      <c r="F21" s="134"/>
      <c r="G21"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21" s="18" t="str">
        <f>IFERROR(SubscriptionTracker[[#This Row],[Monthly Price]]*12,"")</f>
        <v/>
      </c>
      <c r="I21" s="141"/>
      <c r="J21" s="4"/>
      <c r="K21" s="4"/>
      <c r="L21" s="4"/>
      <c r="M21" s="4"/>
      <c r="N21" s="4"/>
      <c r="O21" s="4"/>
      <c r="P21" s="4"/>
      <c r="Q21" s="4"/>
      <c r="R21" s="4"/>
      <c r="S21" s="4"/>
    </row>
    <row r="22" spans="1:19" x14ac:dyDescent="0.25">
      <c r="A22" s="141"/>
      <c r="B22" s="141"/>
      <c r="C22" s="141"/>
      <c r="D22" s="141"/>
      <c r="E22" s="142"/>
      <c r="F22" s="134"/>
      <c r="G22"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22" s="18" t="str">
        <f>IFERROR(SubscriptionTracker[[#This Row],[Monthly Price]]*12,"")</f>
        <v/>
      </c>
      <c r="I22" s="141"/>
      <c r="J22" s="4"/>
      <c r="K22" s="4"/>
      <c r="L22" s="4"/>
      <c r="M22" s="4"/>
      <c r="N22" s="4"/>
      <c r="O22" s="4"/>
      <c r="P22" s="4"/>
      <c r="Q22" s="4"/>
      <c r="R22" s="4"/>
      <c r="S22" s="4"/>
    </row>
    <row r="23" spans="1:19" x14ac:dyDescent="0.25">
      <c r="A23" s="141"/>
      <c r="B23" s="141"/>
      <c r="C23" s="141"/>
      <c r="D23" s="141"/>
      <c r="E23" s="142"/>
      <c r="F23" s="134"/>
      <c r="G23"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23" s="18" t="str">
        <f>IFERROR(SubscriptionTracker[[#This Row],[Monthly Price]]*12,"")</f>
        <v/>
      </c>
      <c r="I23" s="141"/>
      <c r="J23" s="4"/>
      <c r="K23" s="4"/>
      <c r="L23" s="4"/>
      <c r="M23" s="4"/>
      <c r="N23" s="4"/>
      <c r="O23" s="4"/>
      <c r="P23" s="4"/>
      <c r="Q23" s="4"/>
      <c r="R23" s="4"/>
      <c r="S23" s="4"/>
    </row>
    <row r="24" spans="1:19" x14ac:dyDescent="0.25">
      <c r="A24" s="141"/>
      <c r="B24" s="141"/>
      <c r="C24" s="141"/>
      <c r="D24" s="141"/>
      <c r="E24" s="142"/>
      <c r="F24" s="134"/>
      <c r="G24"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24" s="18" t="str">
        <f>IFERROR(SubscriptionTracker[[#This Row],[Monthly Price]]*12,"")</f>
        <v/>
      </c>
      <c r="I24" s="141"/>
      <c r="J24" s="4"/>
      <c r="K24" s="4"/>
      <c r="L24" s="4"/>
      <c r="M24" s="4"/>
      <c r="N24" s="4"/>
      <c r="O24" s="4"/>
      <c r="P24" s="4"/>
      <c r="Q24" s="4"/>
      <c r="R24" s="4"/>
      <c r="S24" s="4"/>
    </row>
    <row r="25" spans="1:19" x14ac:dyDescent="0.25">
      <c r="A25" s="141"/>
      <c r="B25" s="141"/>
      <c r="C25" s="141"/>
      <c r="D25" s="141"/>
      <c r="E25" s="142"/>
      <c r="F25" s="134"/>
      <c r="G25"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25" s="18" t="str">
        <f>IFERROR(SubscriptionTracker[[#This Row],[Monthly Price]]*12,"")</f>
        <v/>
      </c>
      <c r="I25" s="141"/>
      <c r="J25" s="4"/>
      <c r="K25" s="4"/>
      <c r="L25" s="4"/>
      <c r="M25" s="4"/>
      <c r="N25" s="4"/>
      <c r="O25" s="4"/>
      <c r="P25" s="4"/>
      <c r="Q25" s="4"/>
      <c r="R25" s="4"/>
      <c r="S25" s="4"/>
    </row>
    <row r="26" spans="1:19" x14ac:dyDescent="0.25">
      <c r="A26" s="141"/>
      <c r="B26" s="141"/>
      <c r="C26" s="141"/>
      <c r="D26" s="141"/>
      <c r="E26" s="142"/>
      <c r="F26" s="134"/>
      <c r="G26"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26" s="18" t="str">
        <f>IFERROR(SubscriptionTracker[[#This Row],[Monthly Price]]*12,"")</f>
        <v/>
      </c>
      <c r="I26" s="141"/>
      <c r="J26" s="4"/>
      <c r="K26" s="4"/>
      <c r="L26" s="4"/>
      <c r="M26" s="4"/>
      <c r="N26" s="4"/>
      <c r="O26" s="4"/>
      <c r="P26" s="4"/>
      <c r="Q26" s="4"/>
      <c r="R26" s="4"/>
      <c r="S26" s="4"/>
    </row>
    <row r="27" spans="1:19" x14ac:dyDescent="0.25">
      <c r="A27" s="141"/>
      <c r="B27" s="141"/>
      <c r="C27" s="141"/>
      <c r="D27" s="141"/>
      <c r="E27" s="142"/>
      <c r="F27" s="134"/>
      <c r="G27"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27" s="18" t="str">
        <f>IFERROR(SubscriptionTracker[[#This Row],[Monthly Price]]*12,"")</f>
        <v/>
      </c>
      <c r="I27" s="141"/>
      <c r="J27" s="4"/>
      <c r="K27" s="4"/>
      <c r="L27" s="4"/>
      <c r="M27" s="4"/>
      <c r="N27" s="4"/>
      <c r="O27" s="4"/>
      <c r="P27" s="4"/>
      <c r="Q27" s="4"/>
      <c r="R27" s="4"/>
      <c r="S27" s="4"/>
    </row>
    <row r="28" spans="1:19" x14ac:dyDescent="0.25">
      <c r="A28" s="141"/>
      <c r="B28" s="141"/>
      <c r="C28" s="141"/>
      <c r="D28" s="141"/>
      <c r="E28" s="142"/>
      <c r="F28" s="134"/>
      <c r="G28"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28" s="18" t="str">
        <f>IFERROR(SubscriptionTracker[[#This Row],[Monthly Price]]*12,"")</f>
        <v/>
      </c>
      <c r="I28" s="141"/>
      <c r="J28" s="4"/>
      <c r="K28" s="4"/>
      <c r="L28" s="4"/>
      <c r="M28" s="4"/>
      <c r="N28" s="4"/>
      <c r="O28" s="4"/>
      <c r="P28" s="4"/>
      <c r="Q28" s="4"/>
      <c r="R28" s="4"/>
      <c r="S28" s="4"/>
    </row>
    <row r="29" spans="1:19" x14ac:dyDescent="0.25">
      <c r="A29" s="141"/>
      <c r="B29" s="141"/>
      <c r="C29" s="141"/>
      <c r="D29" s="141"/>
      <c r="E29" s="142"/>
      <c r="F29" s="134"/>
      <c r="G29"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29" s="18" t="str">
        <f>IFERROR(SubscriptionTracker[[#This Row],[Monthly Price]]*12,"")</f>
        <v/>
      </c>
      <c r="I29" s="141"/>
      <c r="J29" s="4"/>
      <c r="K29" s="4"/>
      <c r="L29" s="4"/>
      <c r="M29" s="4"/>
      <c r="N29" s="4"/>
      <c r="O29" s="4"/>
      <c r="P29" s="4"/>
      <c r="Q29" s="4"/>
      <c r="R29" s="4"/>
      <c r="S29" s="4"/>
    </row>
    <row r="30" spans="1:19" x14ac:dyDescent="0.25">
      <c r="A30" s="141"/>
      <c r="B30" s="141"/>
      <c r="C30" s="141"/>
      <c r="D30" s="141"/>
      <c r="E30" s="142"/>
      <c r="F30" s="134"/>
      <c r="G30"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30" s="18" t="str">
        <f>IFERROR(SubscriptionTracker[[#This Row],[Monthly Price]]*12,"")</f>
        <v/>
      </c>
      <c r="I30" s="141"/>
      <c r="J30" s="4"/>
      <c r="K30" s="4"/>
      <c r="L30" s="4"/>
      <c r="M30" s="4"/>
      <c r="N30" s="4"/>
      <c r="O30" s="4"/>
      <c r="P30" s="4"/>
      <c r="Q30" s="4"/>
      <c r="R30" s="4"/>
      <c r="S30" s="4"/>
    </row>
    <row r="31" spans="1:19" x14ac:dyDescent="0.25">
      <c r="A31" s="141"/>
      <c r="B31" s="141"/>
      <c r="C31" s="141"/>
      <c r="D31" s="141"/>
      <c r="E31" s="142"/>
      <c r="F31" s="134"/>
      <c r="G31"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31" s="18" t="str">
        <f>IFERROR(SubscriptionTracker[[#This Row],[Monthly Price]]*12,"")</f>
        <v/>
      </c>
      <c r="I31" s="141"/>
      <c r="J31" s="4"/>
      <c r="K31" s="4"/>
      <c r="L31" s="4"/>
      <c r="M31" s="4"/>
      <c r="N31" s="4"/>
      <c r="O31" s="4"/>
      <c r="P31" s="4"/>
      <c r="Q31" s="4"/>
      <c r="R31" s="4"/>
      <c r="S31" s="4"/>
    </row>
    <row r="32" spans="1:19" x14ac:dyDescent="0.25">
      <c r="A32" s="141"/>
      <c r="B32" s="141"/>
      <c r="C32" s="141"/>
      <c r="D32" s="141"/>
      <c r="E32" s="142"/>
      <c r="F32" s="134"/>
      <c r="G32"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32" s="18" t="str">
        <f>IFERROR(SubscriptionTracker[[#This Row],[Monthly Price]]*12,"")</f>
        <v/>
      </c>
      <c r="I32" s="141"/>
      <c r="J32" s="4"/>
      <c r="K32" s="4"/>
      <c r="L32" s="4"/>
      <c r="M32" s="4"/>
      <c r="N32" s="4"/>
      <c r="O32" s="4"/>
      <c r="P32" s="4"/>
      <c r="Q32" s="4"/>
      <c r="R32" s="4"/>
      <c r="S32" s="4"/>
    </row>
    <row r="33" spans="1:19" x14ac:dyDescent="0.25">
      <c r="A33" s="141"/>
      <c r="B33" s="141"/>
      <c r="C33" s="141"/>
      <c r="D33" s="141"/>
      <c r="E33" s="142"/>
      <c r="F33" s="134"/>
      <c r="G33"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33" s="18" t="str">
        <f>IFERROR(SubscriptionTracker[[#This Row],[Monthly Price]]*12,"")</f>
        <v/>
      </c>
      <c r="I33" s="141"/>
      <c r="J33" s="4"/>
      <c r="K33" s="4"/>
      <c r="L33" s="4"/>
      <c r="M33" s="4"/>
      <c r="N33" s="4"/>
      <c r="O33" s="4"/>
      <c r="P33" s="4"/>
      <c r="Q33" s="4"/>
      <c r="R33" s="4"/>
      <c r="S33" s="4"/>
    </row>
    <row r="34" spans="1:19" x14ac:dyDescent="0.25">
      <c r="A34" s="141"/>
      <c r="B34" s="141"/>
      <c r="C34" s="141"/>
      <c r="D34" s="141"/>
      <c r="E34" s="142"/>
      <c r="F34" s="134"/>
      <c r="G34"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34" s="18" t="str">
        <f>IFERROR(SubscriptionTracker[[#This Row],[Monthly Price]]*12,"")</f>
        <v/>
      </c>
      <c r="I34" s="141"/>
      <c r="J34" s="4"/>
      <c r="K34" s="4"/>
      <c r="L34" s="4"/>
      <c r="M34" s="4"/>
      <c r="N34" s="4"/>
      <c r="O34" s="4"/>
      <c r="P34" s="4"/>
      <c r="Q34" s="4"/>
      <c r="R34" s="4"/>
      <c r="S34" s="4"/>
    </row>
    <row r="35" spans="1:19" x14ac:dyDescent="0.25">
      <c r="A35" s="141"/>
      <c r="B35" s="141"/>
      <c r="C35" s="141"/>
      <c r="D35" s="141"/>
      <c r="E35" s="142"/>
      <c r="F35" s="134"/>
      <c r="G35"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35" s="18" t="str">
        <f>IFERROR(SubscriptionTracker[[#This Row],[Monthly Price]]*12,"")</f>
        <v/>
      </c>
      <c r="I35" s="141"/>
      <c r="J35" s="4"/>
      <c r="K35" s="4"/>
      <c r="L35" s="4"/>
      <c r="M35" s="4"/>
      <c r="N35" s="4"/>
      <c r="O35" s="4"/>
      <c r="P35" s="4"/>
      <c r="Q35" s="4"/>
      <c r="R35" s="4"/>
      <c r="S35" s="4"/>
    </row>
    <row r="36" spans="1:19" x14ac:dyDescent="0.25">
      <c r="A36" s="141"/>
      <c r="B36" s="141"/>
      <c r="C36" s="141"/>
      <c r="D36" s="141"/>
      <c r="E36" s="142"/>
      <c r="F36" s="134"/>
      <c r="G36" s="18" t="str">
        <f>IFERROR(IF(SubscriptionTracker[[#This Row],[Billing Frequency]]="Monthly",SubscriptionTracker[[#This Row],[Price]],IF(SubscriptionTracker[[#This Row],[Billing Frequency]]="Quarterly",SubscriptionTracker[[#This Row],[Price]]/3,IF(SubscriptionTracker[[#This Row],[Billing Frequency]]="Annually",SubscriptionTracker[[#This Row],[Price]]/12,""))),"")</f>
        <v/>
      </c>
      <c r="H36" s="18" t="str">
        <f>IFERROR(SubscriptionTracker[[#This Row],[Monthly Price]]*12,"")</f>
        <v/>
      </c>
      <c r="I36" s="141"/>
      <c r="J36" s="4"/>
      <c r="K36" s="4"/>
      <c r="L36" s="4"/>
      <c r="M36" s="4"/>
      <c r="N36" s="4"/>
      <c r="O36" s="4"/>
      <c r="P36" s="4"/>
      <c r="Q36" s="4"/>
      <c r="R36" s="4"/>
      <c r="S36" s="4"/>
    </row>
    <row r="37" spans="1:19" x14ac:dyDescent="0.25">
      <c r="A37" s="4"/>
      <c r="B37" s="4"/>
      <c r="C37" s="4"/>
      <c r="D37" s="4"/>
      <c r="E37" s="4"/>
      <c r="F37" s="4"/>
      <c r="G37" s="4"/>
      <c r="H37" s="4"/>
      <c r="I37" s="4"/>
      <c r="J37" s="4"/>
      <c r="K37" s="4"/>
      <c r="L37" s="4"/>
      <c r="M37" s="4"/>
      <c r="N37" s="4"/>
      <c r="O37" s="4"/>
      <c r="P37" s="4"/>
      <c r="Q37" s="4"/>
      <c r="R37" s="4"/>
      <c r="S37" s="4"/>
    </row>
  </sheetData>
  <sheetProtection sheet="1" objects="1" scenarios="1" formatCells="0" sort="0" autoFilter="0"/>
  <dataValidations count="3">
    <dataValidation type="list" allowBlank="1" showInputMessage="1" showErrorMessage="1" sqref="B7:B36" xr:uid="{DA510E34-BEA6-4E51-AF4D-8776966B7D24}">
      <formula1>SubCategoryList</formula1>
    </dataValidation>
    <dataValidation type="list" allowBlank="1" showInputMessage="1" showErrorMessage="1" sqref="C7:C36" xr:uid="{8AF26361-5CCA-46B4-82E8-912FA30192A7}">
      <formula1>BillingFrequencyList</formula1>
    </dataValidation>
    <dataValidation type="list" allowBlank="1" showInputMessage="1" showErrorMessage="1" sqref="D7:D36" xr:uid="{C42CD027-7E9B-4AD2-9AC4-AE80EC736C4C}">
      <formula1>YesNoList</formula1>
    </dataValidation>
  </dataValidation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7B133-CE73-4CB8-831A-9026008C423B}">
  <sheetPr>
    <tabColor rgb="FFF7ECC9"/>
  </sheetPr>
  <dimension ref="A1:J90"/>
  <sheetViews>
    <sheetView showGridLines="0" workbookViewId="0">
      <selection activeCell="E17" sqref="E17"/>
    </sheetView>
  </sheetViews>
  <sheetFormatPr defaultRowHeight="15" x14ac:dyDescent="0.25"/>
  <cols>
    <col min="1" max="1" width="26.7109375" customWidth="1"/>
    <col min="2" max="7" width="18.140625" customWidth="1"/>
    <col min="10" max="10" width="19" style="10" customWidth="1"/>
  </cols>
  <sheetData>
    <row r="1" spans="1:10" ht="37.5" x14ac:dyDescent="0.5">
      <c r="A1" s="126" t="s">
        <v>136</v>
      </c>
      <c r="B1" s="4"/>
      <c r="C1" s="4"/>
      <c r="D1" s="4"/>
      <c r="E1" s="4"/>
      <c r="F1" s="4"/>
      <c r="G1" s="4"/>
      <c r="H1" s="4"/>
      <c r="I1" s="4"/>
      <c r="J1" s="19"/>
    </row>
    <row r="2" spans="1:10" x14ac:dyDescent="0.25">
      <c r="A2" s="3" t="s">
        <v>137</v>
      </c>
      <c r="B2" s="4"/>
      <c r="C2" s="4"/>
      <c r="D2" s="4"/>
      <c r="E2" s="4"/>
      <c r="F2" s="4"/>
      <c r="G2" s="4"/>
      <c r="H2" s="4"/>
      <c r="I2" s="4"/>
      <c r="J2" s="19"/>
    </row>
    <row r="3" spans="1:10" x14ac:dyDescent="0.25">
      <c r="A3" s="4"/>
      <c r="B3" s="4"/>
      <c r="C3" s="4"/>
      <c r="D3" s="4"/>
      <c r="E3" s="4"/>
      <c r="F3" s="4"/>
      <c r="G3" s="4"/>
      <c r="H3" s="4"/>
      <c r="I3" s="4"/>
      <c r="J3" s="19"/>
    </row>
    <row r="4" spans="1:10" ht="16.5" x14ac:dyDescent="0.25">
      <c r="A4" s="33" t="s">
        <v>138</v>
      </c>
      <c r="B4" s="22"/>
      <c r="C4" s="22"/>
      <c r="D4" s="22"/>
      <c r="E4" s="22"/>
      <c r="F4" s="22"/>
      <c r="G4" s="22"/>
      <c r="H4" s="4"/>
      <c r="I4" s="4"/>
      <c r="J4" s="19"/>
    </row>
    <row r="5" spans="1:10" x14ac:dyDescent="0.25">
      <c r="A5" s="23" t="s">
        <v>139</v>
      </c>
      <c r="B5" s="24" t="s">
        <v>140</v>
      </c>
      <c r="C5" s="24" t="s">
        <v>141</v>
      </c>
      <c r="D5" s="24" t="s">
        <v>142</v>
      </c>
      <c r="E5" s="24" t="s">
        <v>143</v>
      </c>
      <c r="F5" s="24" t="s">
        <v>144</v>
      </c>
      <c r="G5" s="25" t="s">
        <v>145</v>
      </c>
      <c r="H5" s="4"/>
      <c r="I5" s="4"/>
      <c r="J5" s="162" t="s">
        <v>152</v>
      </c>
    </row>
    <row r="6" spans="1:10" x14ac:dyDescent="0.25">
      <c r="A6" s="156" t="s">
        <v>27</v>
      </c>
      <c r="B6" s="157"/>
      <c r="C6" s="157">
        <v>0</v>
      </c>
      <c r="D6" s="26">
        <f>IFERROR(SUMIF(GoalLog[Goal Name],$A6,GoalLog[Amount]),0)</f>
        <v>0</v>
      </c>
      <c r="E6" s="26">
        <f>C6+D6</f>
        <v>0</v>
      </c>
      <c r="F6" s="26">
        <f>B6-E6</f>
        <v>0</v>
      </c>
      <c r="G6" s="27">
        <f>IFERROR(E6/B6,0)</f>
        <v>0</v>
      </c>
      <c r="H6" s="4"/>
      <c r="I6" s="4"/>
      <c r="J6" s="162" t="str">
        <f t="shared" ref="J6:J13" si="0">A6</f>
        <v>Emergency Fund</v>
      </c>
    </row>
    <row r="7" spans="1:10" x14ac:dyDescent="0.25">
      <c r="A7" s="156" t="s">
        <v>29</v>
      </c>
      <c r="B7" s="157">
        <v>0</v>
      </c>
      <c r="C7" s="157">
        <v>0</v>
      </c>
      <c r="D7" s="26">
        <f>IFERROR(SUMIF(GoalLog[Goal Name],$A7,GoalLog[Amount]),0)</f>
        <v>0</v>
      </c>
      <c r="E7" s="26">
        <f t="shared" ref="E7:E13" si="1">C7+D7</f>
        <v>0</v>
      </c>
      <c r="F7" s="26">
        <f t="shared" ref="F7:F13" si="2">B7-E7</f>
        <v>0</v>
      </c>
      <c r="G7" s="27">
        <f t="shared" ref="G7:G13" si="3">IFERROR(E7/B7,0)</f>
        <v>0</v>
      </c>
      <c r="H7" s="4"/>
      <c r="I7" s="4"/>
      <c r="J7" s="162" t="str">
        <f t="shared" si="0"/>
        <v>Vacation Fund</v>
      </c>
    </row>
    <row r="8" spans="1:10" x14ac:dyDescent="0.25">
      <c r="A8" s="156" t="s">
        <v>30</v>
      </c>
      <c r="B8" s="157">
        <v>0</v>
      </c>
      <c r="C8" s="157">
        <v>0</v>
      </c>
      <c r="D8" s="26">
        <f>IFERROR(SUMIF(GoalLog[Goal Name],$A8,GoalLog[Amount]),0)</f>
        <v>0</v>
      </c>
      <c r="E8" s="26">
        <f t="shared" si="1"/>
        <v>0</v>
      </c>
      <c r="F8" s="26">
        <f t="shared" si="2"/>
        <v>0</v>
      </c>
      <c r="G8" s="27">
        <f t="shared" si="3"/>
        <v>0</v>
      </c>
      <c r="H8" s="4"/>
      <c r="I8" s="4"/>
      <c r="J8" s="162" t="str">
        <f t="shared" si="0"/>
        <v>Holiday Fund</v>
      </c>
    </row>
    <row r="9" spans="1:10" x14ac:dyDescent="0.25">
      <c r="A9" s="156" t="s">
        <v>31</v>
      </c>
      <c r="B9" s="157">
        <v>0</v>
      </c>
      <c r="C9" s="157">
        <v>0</v>
      </c>
      <c r="D9" s="26">
        <f>IFERROR(SUMIF(GoalLog[Goal Name],$A9,GoalLog[Amount]),0)</f>
        <v>0</v>
      </c>
      <c r="E9" s="26">
        <f t="shared" si="1"/>
        <v>0</v>
      </c>
      <c r="F9" s="26">
        <f t="shared" si="2"/>
        <v>0</v>
      </c>
      <c r="G9" s="27">
        <f t="shared" si="3"/>
        <v>0</v>
      </c>
      <c r="H9" s="4"/>
      <c r="I9" s="4"/>
      <c r="J9" s="162" t="str">
        <f t="shared" si="0"/>
        <v>Retirement Savings</v>
      </c>
    </row>
    <row r="10" spans="1:10" x14ac:dyDescent="0.25">
      <c r="A10" s="156" t="s">
        <v>32</v>
      </c>
      <c r="B10" s="157">
        <v>0</v>
      </c>
      <c r="C10" s="157">
        <v>0</v>
      </c>
      <c r="D10" s="26">
        <f>IFERROR(SUMIF(GoalLog[Goal Name],$A10,GoalLog[Amount]),0)</f>
        <v>0</v>
      </c>
      <c r="E10" s="26">
        <f t="shared" si="1"/>
        <v>0</v>
      </c>
      <c r="F10" s="26">
        <f t="shared" si="2"/>
        <v>0</v>
      </c>
      <c r="G10" s="27">
        <f t="shared" si="3"/>
        <v>0</v>
      </c>
      <c r="H10" s="4"/>
      <c r="I10" s="4"/>
      <c r="J10" s="162" t="str">
        <f t="shared" si="0"/>
        <v>General Savings</v>
      </c>
    </row>
    <row r="11" spans="1:10" x14ac:dyDescent="0.25">
      <c r="A11" s="156"/>
      <c r="B11" s="157">
        <v>0</v>
      </c>
      <c r="C11" s="157">
        <v>0</v>
      </c>
      <c r="D11" s="26">
        <f>IFERROR(SUMIF(GoalLog[Goal Name],$A11,GoalLog[Amount]),0)</f>
        <v>0</v>
      </c>
      <c r="E11" s="26">
        <f t="shared" si="1"/>
        <v>0</v>
      </c>
      <c r="F11" s="26">
        <f t="shared" si="2"/>
        <v>0</v>
      </c>
      <c r="G11" s="27">
        <f t="shared" si="3"/>
        <v>0</v>
      </c>
      <c r="H11" s="4"/>
      <c r="I11" s="4"/>
      <c r="J11" s="162">
        <f t="shared" si="0"/>
        <v>0</v>
      </c>
    </row>
    <row r="12" spans="1:10" x14ac:dyDescent="0.25">
      <c r="A12" s="156"/>
      <c r="B12" s="157">
        <v>0</v>
      </c>
      <c r="C12" s="157">
        <v>0</v>
      </c>
      <c r="D12" s="26">
        <f>IFERROR(SUMIF(GoalLog[Goal Name],$A12,GoalLog[Amount]),0)</f>
        <v>0</v>
      </c>
      <c r="E12" s="26">
        <f t="shared" si="1"/>
        <v>0</v>
      </c>
      <c r="F12" s="26">
        <f t="shared" si="2"/>
        <v>0</v>
      </c>
      <c r="G12" s="27">
        <f t="shared" si="3"/>
        <v>0</v>
      </c>
      <c r="H12" s="4"/>
      <c r="I12" s="4"/>
      <c r="J12" s="162">
        <f t="shared" si="0"/>
        <v>0</v>
      </c>
    </row>
    <row r="13" spans="1:10" x14ac:dyDescent="0.25">
      <c r="A13" s="156"/>
      <c r="B13" s="157">
        <v>0</v>
      </c>
      <c r="C13" s="157">
        <v>0</v>
      </c>
      <c r="D13" s="26">
        <f>IFERROR(SUMIF(GoalLog[Goal Name],$A13,GoalLog[Amount]),0)</f>
        <v>0</v>
      </c>
      <c r="E13" s="26">
        <f t="shared" si="1"/>
        <v>0</v>
      </c>
      <c r="F13" s="26">
        <f t="shared" si="2"/>
        <v>0</v>
      </c>
      <c r="G13" s="27">
        <f t="shared" si="3"/>
        <v>0</v>
      </c>
      <c r="H13" s="4"/>
      <c r="I13" s="4"/>
      <c r="J13" s="162">
        <f t="shared" si="0"/>
        <v>0</v>
      </c>
    </row>
    <row r="14" spans="1:10" x14ac:dyDescent="0.25">
      <c r="A14" s="4"/>
      <c r="B14" s="4"/>
      <c r="C14" s="4"/>
      <c r="D14" s="4"/>
      <c r="E14" s="4"/>
      <c r="F14" s="4"/>
      <c r="G14" s="4"/>
      <c r="H14" s="4"/>
      <c r="I14" s="4"/>
      <c r="J14" s="162" t="str">
        <f t="shared" ref="J14:J21" si="4">A17</f>
        <v>Credit Card</v>
      </c>
    </row>
    <row r="15" spans="1:10" ht="16.5" x14ac:dyDescent="0.25">
      <c r="A15" s="34" t="s">
        <v>146</v>
      </c>
      <c r="B15" s="28"/>
      <c r="C15" s="28"/>
      <c r="D15" s="28"/>
      <c r="E15" s="28"/>
      <c r="F15" s="28"/>
      <c r="G15" s="28"/>
      <c r="H15" s="4"/>
      <c r="I15" s="4"/>
      <c r="J15" s="162" t="str">
        <f t="shared" si="4"/>
        <v>Student Loan</v>
      </c>
    </row>
    <row r="16" spans="1:10" x14ac:dyDescent="0.25">
      <c r="A16" s="29" t="s">
        <v>139</v>
      </c>
      <c r="B16" s="30" t="s">
        <v>147</v>
      </c>
      <c r="C16" s="30" t="s">
        <v>148</v>
      </c>
      <c r="D16" s="30" t="s">
        <v>149</v>
      </c>
      <c r="E16" s="30" t="s">
        <v>150</v>
      </c>
      <c r="F16" s="30" t="s">
        <v>151</v>
      </c>
      <c r="G16" s="31" t="s">
        <v>145</v>
      </c>
      <c r="H16" s="4"/>
      <c r="I16" s="4"/>
      <c r="J16" s="162" t="str">
        <f t="shared" si="4"/>
        <v>Personal Loan</v>
      </c>
    </row>
    <row r="17" spans="1:10" x14ac:dyDescent="0.25">
      <c r="A17" s="156" t="s">
        <v>33</v>
      </c>
      <c r="B17" s="157"/>
      <c r="C17" s="157"/>
      <c r="D17" s="26">
        <f>IFERROR(SUMIF(GoalLog[Goal Name],$A17,GoalLog[Amount]),0)</f>
        <v>0</v>
      </c>
      <c r="E17" s="26">
        <f>C17+D17</f>
        <v>0</v>
      </c>
      <c r="F17" s="26">
        <f>B17-E17</f>
        <v>0</v>
      </c>
      <c r="G17" s="27">
        <f>IFERROR(E17/B17,0)</f>
        <v>0</v>
      </c>
      <c r="H17" s="4"/>
      <c r="I17" s="4"/>
      <c r="J17" s="162" t="str">
        <f t="shared" si="4"/>
        <v>Medical Debt</v>
      </c>
    </row>
    <row r="18" spans="1:10" x14ac:dyDescent="0.25">
      <c r="A18" s="156" t="s">
        <v>35</v>
      </c>
      <c r="B18" s="157">
        <v>0</v>
      </c>
      <c r="C18" s="157">
        <v>0</v>
      </c>
      <c r="D18" s="26">
        <f>IFERROR(SUMIF(GoalLog[Goal Name],$A18,GoalLog[Amount]),0)</f>
        <v>0</v>
      </c>
      <c r="E18" s="26">
        <f t="shared" ref="E18:E24" si="5">C18+D18</f>
        <v>0</v>
      </c>
      <c r="F18" s="26">
        <f t="shared" ref="F18:F24" si="6">B18-E18</f>
        <v>0</v>
      </c>
      <c r="G18" s="27">
        <f t="shared" ref="G18:G24" si="7">IFERROR(E18/B18,0)</f>
        <v>0</v>
      </c>
      <c r="H18" s="4"/>
      <c r="I18" s="4"/>
      <c r="J18" s="162">
        <f t="shared" si="4"/>
        <v>0</v>
      </c>
    </row>
    <row r="19" spans="1:10" x14ac:dyDescent="0.25">
      <c r="A19" s="156" t="s">
        <v>36</v>
      </c>
      <c r="B19" s="157">
        <v>0</v>
      </c>
      <c r="C19" s="157">
        <v>0</v>
      </c>
      <c r="D19" s="26">
        <f>IFERROR(SUMIF(GoalLog[Goal Name],$A19,GoalLog[Amount]),0)</f>
        <v>0</v>
      </c>
      <c r="E19" s="26">
        <f t="shared" si="5"/>
        <v>0</v>
      </c>
      <c r="F19" s="26">
        <f t="shared" si="6"/>
        <v>0</v>
      </c>
      <c r="G19" s="27">
        <f t="shared" si="7"/>
        <v>0</v>
      </c>
      <c r="H19" s="4"/>
      <c r="I19" s="4"/>
      <c r="J19" s="162">
        <f t="shared" si="4"/>
        <v>0</v>
      </c>
    </row>
    <row r="20" spans="1:10" x14ac:dyDescent="0.25">
      <c r="A20" s="156" t="s">
        <v>37</v>
      </c>
      <c r="B20" s="157">
        <v>0</v>
      </c>
      <c r="C20" s="157">
        <v>0</v>
      </c>
      <c r="D20" s="26">
        <f>IFERROR(SUMIF(GoalLog[Goal Name],$A20,GoalLog[Amount]),0)</f>
        <v>0</v>
      </c>
      <c r="E20" s="26">
        <f t="shared" si="5"/>
        <v>0</v>
      </c>
      <c r="F20" s="26">
        <f t="shared" si="6"/>
        <v>0</v>
      </c>
      <c r="G20" s="27">
        <f t="shared" si="7"/>
        <v>0</v>
      </c>
      <c r="H20" s="4"/>
      <c r="I20" s="4"/>
      <c r="J20" s="162">
        <f t="shared" si="4"/>
        <v>0</v>
      </c>
    </row>
    <row r="21" spans="1:10" x14ac:dyDescent="0.25">
      <c r="A21" s="156"/>
      <c r="B21" s="157">
        <v>0</v>
      </c>
      <c r="C21" s="157">
        <v>0</v>
      </c>
      <c r="D21" s="26">
        <f>IFERROR(SUMIF(GoalLog[Goal Name],$A21,GoalLog[Amount]),0)</f>
        <v>0</v>
      </c>
      <c r="E21" s="26">
        <f t="shared" si="5"/>
        <v>0</v>
      </c>
      <c r="F21" s="26">
        <f t="shared" si="6"/>
        <v>0</v>
      </c>
      <c r="G21" s="27">
        <f t="shared" si="7"/>
        <v>0</v>
      </c>
      <c r="H21" s="4"/>
      <c r="I21" s="4"/>
      <c r="J21" s="162">
        <f t="shared" si="4"/>
        <v>0</v>
      </c>
    </row>
    <row r="22" spans="1:10" x14ac:dyDescent="0.25">
      <c r="A22" s="156"/>
      <c r="B22" s="157">
        <v>0</v>
      </c>
      <c r="C22" s="157">
        <v>0</v>
      </c>
      <c r="D22" s="26">
        <f>IFERROR(SUMIF(GoalLog[Goal Name],$A22,GoalLog[Amount]),0)</f>
        <v>0</v>
      </c>
      <c r="E22" s="26">
        <f t="shared" si="5"/>
        <v>0</v>
      </c>
      <c r="F22" s="26">
        <f t="shared" si="6"/>
        <v>0</v>
      </c>
      <c r="G22" s="27">
        <f t="shared" si="7"/>
        <v>0</v>
      </c>
      <c r="H22" s="4"/>
      <c r="I22" s="4"/>
      <c r="J22" s="19"/>
    </row>
    <row r="23" spans="1:10" x14ac:dyDescent="0.25">
      <c r="A23" s="156"/>
      <c r="B23" s="157">
        <v>0</v>
      </c>
      <c r="C23" s="157">
        <v>0</v>
      </c>
      <c r="D23" s="26">
        <f>IFERROR(SUMIF(GoalLog[Goal Name],$A23,GoalLog[Amount]),0)</f>
        <v>0</v>
      </c>
      <c r="E23" s="26">
        <f t="shared" si="5"/>
        <v>0</v>
      </c>
      <c r="F23" s="26">
        <f t="shared" si="6"/>
        <v>0</v>
      </c>
      <c r="G23" s="27">
        <f t="shared" si="7"/>
        <v>0</v>
      </c>
      <c r="H23" s="4"/>
      <c r="I23" s="4"/>
      <c r="J23" s="19"/>
    </row>
    <row r="24" spans="1:10" x14ac:dyDescent="0.25">
      <c r="A24" s="156"/>
      <c r="B24" s="157">
        <v>0</v>
      </c>
      <c r="C24" s="157">
        <v>0</v>
      </c>
      <c r="D24" s="26">
        <f>IFERROR(SUMIF(GoalLog[Goal Name],$A24,GoalLog[Amount]),0)</f>
        <v>0</v>
      </c>
      <c r="E24" s="26">
        <f t="shared" si="5"/>
        <v>0</v>
      </c>
      <c r="F24" s="26">
        <f t="shared" si="6"/>
        <v>0</v>
      </c>
      <c r="G24" s="27">
        <f t="shared" si="7"/>
        <v>0</v>
      </c>
      <c r="H24" s="4"/>
      <c r="I24" s="4"/>
      <c r="J24" s="19"/>
    </row>
    <row r="25" spans="1:10" x14ac:dyDescent="0.25">
      <c r="A25" s="4"/>
      <c r="B25" s="4"/>
      <c r="C25" s="4"/>
      <c r="D25" s="4"/>
      <c r="E25" s="4"/>
      <c r="F25" s="4"/>
      <c r="G25" s="4"/>
      <c r="H25" s="4"/>
      <c r="I25" s="4"/>
      <c r="J25" s="19"/>
    </row>
    <row r="26" spans="1:10" x14ac:dyDescent="0.25">
      <c r="A26" s="4"/>
      <c r="B26" s="4"/>
      <c r="C26" s="4"/>
      <c r="D26" s="4"/>
      <c r="E26" s="4"/>
      <c r="F26" s="4"/>
      <c r="G26" s="4"/>
      <c r="H26" s="4"/>
      <c r="I26" s="4"/>
      <c r="J26" s="19"/>
    </row>
    <row r="27" spans="1:10" ht="16.5" x14ac:dyDescent="0.25">
      <c r="A27" s="8" t="s">
        <v>153</v>
      </c>
      <c r="B27" s="4"/>
      <c r="C27" s="4"/>
      <c r="D27" s="4"/>
      <c r="E27" s="4"/>
      <c r="F27" s="4"/>
      <c r="G27" s="4"/>
      <c r="H27" s="4"/>
      <c r="I27" s="4"/>
      <c r="J27" s="19"/>
    </row>
    <row r="28" spans="1:10" x14ac:dyDescent="0.25">
      <c r="A28" s="32" t="s">
        <v>154</v>
      </c>
      <c r="B28" s="4"/>
      <c r="C28" s="4"/>
      <c r="D28" s="4"/>
      <c r="E28" s="4"/>
      <c r="F28" s="4"/>
      <c r="G28" s="4"/>
      <c r="H28" s="4"/>
      <c r="I28" s="4"/>
      <c r="J28" s="19"/>
    </row>
    <row r="29" spans="1:10" x14ac:dyDescent="0.25">
      <c r="A29" s="164"/>
      <c r="B29" s="164"/>
      <c r="C29" s="164"/>
      <c r="D29" s="164"/>
      <c r="E29" s="4"/>
      <c r="F29" s="4"/>
      <c r="G29" s="4"/>
      <c r="H29" s="4"/>
      <c r="I29" s="4"/>
      <c r="J29" s="19"/>
    </row>
    <row r="30" spans="1:10" x14ac:dyDescent="0.25">
      <c r="A30" s="161" t="s">
        <v>74</v>
      </c>
      <c r="B30" s="161" t="s">
        <v>139</v>
      </c>
      <c r="C30" s="161" t="s">
        <v>75</v>
      </c>
      <c r="D30" s="161" t="s">
        <v>76</v>
      </c>
      <c r="E30" s="4"/>
      <c r="F30" s="4"/>
      <c r="G30" s="4"/>
      <c r="H30" s="4"/>
      <c r="I30" s="4"/>
      <c r="J30" s="19"/>
    </row>
    <row r="31" spans="1:10" x14ac:dyDescent="0.25">
      <c r="A31" s="155"/>
      <c r="B31" s="141"/>
      <c r="C31" s="134"/>
      <c r="D31" s="141"/>
      <c r="E31" s="4"/>
      <c r="F31" s="4"/>
      <c r="G31" s="4"/>
      <c r="H31" s="4"/>
      <c r="I31" s="4"/>
      <c r="J31" s="19"/>
    </row>
    <row r="32" spans="1:10" x14ac:dyDescent="0.25">
      <c r="A32" s="155"/>
      <c r="B32" s="141"/>
      <c r="C32" s="134"/>
      <c r="D32" s="141"/>
      <c r="E32" s="4"/>
      <c r="F32" s="4"/>
      <c r="G32" s="4"/>
      <c r="H32" s="4"/>
      <c r="I32" s="4"/>
      <c r="J32" s="19"/>
    </row>
    <row r="33" spans="1:10" x14ac:dyDescent="0.25">
      <c r="A33" s="155"/>
      <c r="B33" s="141"/>
      <c r="C33" s="134"/>
      <c r="D33" s="141"/>
      <c r="E33" s="4"/>
      <c r="F33" s="4"/>
      <c r="G33" s="4"/>
      <c r="H33" s="4"/>
      <c r="I33" s="4"/>
      <c r="J33" s="19"/>
    </row>
    <row r="34" spans="1:10" x14ac:dyDescent="0.25">
      <c r="A34" s="155"/>
      <c r="B34" s="141"/>
      <c r="C34" s="134"/>
      <c r="D34" s="141"/>
      <c r="E34" s="4"/>
      <c r="F34" s="4"/>
      <c r="G34" s="4"/>
      <c r="H34" s="4"/>
      <c r="I34" s="4"/>
      <c r="J34" s="19"/>
    </row>
    <row r="35" spans="1:10" x14ac:dyDescent="0.25">
      <c r="A35" s="155"/>
      <c r="B35" s="141"/>
      <c r="C35" s="134"/>
      <c r="D35" s="141"/>
      <c r="E35" s="4"/>
      <c r="F35" s="4"/>
      <c r="G35" s="4"/>
      <c r="H35" s="4"/>
      <c r="I35" s="4"/>
      <c r="J35" s="19"/>
    </row>
    <row r="36" spans="1:10" x14ac:dyDescent="0.25">
      <c r="A36" s="155"/>
      <c r="B36" s="141"/>
      <c r="C36" s="134"/>
      <c r="D36" s="141"/>
      <c r="E36" s="4"/>
      <c r="F36" s="4"/>
      <c r="G36" s="4"/>
      <c r="H36" s="4"/>
      <c r="I36" s="4"/>
      <c r="J36" s="19"/>
    </row>
    <row r="37" spans="1:10" x14ac:dyDescent="0.25">
      <c r="A37" s="155"/>
      <c r="B37" s="141"/>
      <c r="C37" s="134"/>
      <c r="D37" s="141"/>
      <c r="E37" s="4"/>
      <c r="F37" s="4"/>
      <c r="G37" s="4"/>
      <c r="H37" s="4"/>
      <c r="I37" s="4"/>
      <c r="J37" s="19"/>
    </row>
    <row r="38" spans="1:10" x14ac:dyDescent="0.25">
      <c r="A38" s="155"/>
      <c r="B38" s="141"/>
      <c r="C38" s="134"/>
      <c r="D38" s="141"/>
      <c r="E38" s="4"/>
      <c r="F38" s="4"/>
      <c r="G38" s="4"/>
      <c r="H38" s="4"/>
      <c r="I38" s="4"/>
      <c r="J38" s="19"/>
    </row>
    <row r="39" spans="1:10" x14ac:dyDescent="0.25">
      <c r="A39" s="155"/>
      <c r="B39" s="141"/>
      <c r="C39" s="134"/>
      <c r="D39" s="141"/>
      <c r="E39" s="4"/>
      <c r="F39" s="4"/>
      <c r="G39" s="4"/>
      <c r="H39" s="4"/>
      <c r="I39" s="4"/>
      <c r="J39" s="19"/>
    </row>
    <row r="40" spans="1:10" x14ac:dyDescent="0.25">
      <c r="A40" s="155"/>
      <c r="B40" s="141"/>
      <c r="C40" s="134"/>
      <c r="D40" s="141"/>
      <c r="E40" s="4"/>
      <c r="F40" s="4"/>
      <c r="G40" s="4"/>
      <c r="H40" s="4"/>
      <c r="I40" s="4"/>
      <c r="J40" s="19"/>
    </row>
    <row r="41" spans="1:10" x14ac:dyDescent="0.25">
      <c r="A41" s="155"/>
      <c r="B41" s="141"/>
      <c r="C41" s="134"/>
      <c r="D41" s="141"/>
      <c r="E41" s="4"/>
      <c r="F41" s="4"/>
      <c r="G41" s="4"/>
      <c r="H41" s="4"/>
      <c r="I41" s="4"/>
      <c r="J41" s="19"/>
    </row>
    <row r="42" spans="1:10" x14ac:dyDescent="0.25">
      <c r="A42" s="155"/>
      <c r="B42" s="141"/>
      <c r="C42" s="134"/>
      <c r="D42" s="141"/>
      <c r="E42" s="4"/>
      <c r="F42" s="4"/>
      <c r="G42" s="4"/>
      <c r="H42" s="4"/>
      <c r="I42" s="4"/>
      <c r="J42" s="19"/>
    </row>
    <row r="43" spans="1:10" x14ac:dyDescent="0.25">
      <c r="A43" s="155"/>
      <c r="B43" s="141"/>
      <c r="C43" s="134"/>
      <c r="D43" s="141"/>
      <c r="E43" s="4"/>
      <c r="F43" s="4"/>
      <c r="G43" s="4"/>
      <c r="H43" s="4"/>
      <c r="I43" s="4"/>
      <c r="J43" s="19"/>
    </row>
    <row r="44" spans="1:10" x14ac:dyDescent="0.25">
      <c r="A44" s="155"/>
      <c r="B44" s="141"/>
      <c r="C44" s="134"/>
      <c r="D44" s="141"/>
      <c r="E44" s="4"/>
      <c r="F44" s="4"/>
      <c r="G44" s="4"/>
      <c r="H44" s="4"/>
      <c r="I44" s="4"/>
      <c r="J44" s="19"/>
    </row>
    <row r="45" spans="1:10" x14ac:dyDescent="0.25">
      <c r="A45" s="155"/>
      <c r="B45" s="141"/>
      <c r="C45" s="134"/>
      <c r="D45" s="141"/>
      <c r="E45" s="4"/>
      <c r="F45" s="4"/>
      <c r="G45" s="4"/>
      <c r="H45" s="4"/>
      <c r="I45" s="4"/>
      <c r="J45" s="19"/>
    </row>
    <row r="46" spans="1:10" x14ac:dyDescent="0.25">
      <c r="A46" s="155"/>
      <c r="B46" s="141"/>
      <c r="C46" s="134"/>
      <c r="D46" s="141"/>
      <c r="E46" s="4"/>
      <c r="F46" s="4"/>
      <c r="G46" s="4"/>
      <c r="H46" s="4"/>
      <c r="I46" s="4"/>
      <c r="J46" s="19"/>
    </row>
    <row r="47" spans="1:10" x14ac:dyDescent="0.25">
      <c r="A47" s="155"/>
      <c r="B47" s="141"/>
      <c r="C47" s="134"/>
      <c r="D47" s="141"/>
      <c r="E47" s="4"/>
      <c r="F47" s="4"/>
      <c r="G47" s="4"/>
      <c r="H47" s="4"/>
      <c r="I47" s="4"/>
      <c r="J47" s="19"/>
    </row>
    <row r="48" spans="1:10" x14ac:dyDescent="0.25">
      <c r="A48" s="155"/>
      <c r="B48" s="141"/>
      <c r="C48" s="134"/>
      <c r="D48" s="141"/>
      <c r="E48" s="4"/>
      <c r="F48" s="4"/>
      <c r="G48" s="4"/>
      <c r="H48" s="4"/>
      <c r="I48" s="4"/>
      <c r="J48" s="19"/>
    </row>
    <row r="49" spans="1:10" x14ac:dyDescent="0.25">
      <c r="A49" s="155"/>
      <c r="B49" s="141"/>
      <c r="C49" s="134"/>
      <c r="D49" s="141"/>
      <c r="E49" s="4"/>
      <c r="F49" s="4"/>
      <c r="G49" s="4"/>
      <c r="H49" s="4"/>
      <c r="I49" s="4"/>
      <c r="J49" s="19"/>
    </row>
    <row r="50" spans="1:10" x14ac:dyDescent="0.25">
      <c r="A50" s="155"/>
      <c r="B50" s="141"/>
      <c r="C50" s="134"/>
      <c r="D50" s="141"/>
      <c r="E50" s="4"/>
      <c r="F50" s="4"/>
      <c r="G50" s="4"/>
      <c r="H50" s="4"/>
      <c r="I50" s="4"/>
      <c r="J50" s="19"/>
    </row>
    <row r="51" spans="1:10" x14ac:dyDescent="0.25">
      <c r="A51" s="155"/>
      <c r="B51" s="141"/>
      <c r="C51" s="134"/>
      <c r="D51" s="141"/>
      <c r="E51" s="4"/>
      <c r="F51" s="4"/>
      <c r="G51" s="4"/>
      <c r="H51" s="4"/>
      <c r="I51" s="4"/>
      <c r="J51" s="19"/>
    </row>
    <row r="52" spans="1:10" x14ac:dyDescent="0.25">
      <c r="A52" s="155"/>
      <c r="B52" s="141"/>
      <c r="C52" s="134"/>
      <c r="D52" s="141"/>
      <c r="E52" s="4"/>
      <c r="F52" s="4"/>
      <c r="G52" s="4"/>
      <c r="H52" s="4"/>
      <c r="I52" s="4"/>
      <c r="J52" s="19"/>
    </row>
    <row r="53" spans="1:10" x14ac:dyDescent="0.25">
      <c r="A53" s="155"/>
      <c r="B53" s="141"/>
      <c r="C53" s="134"/>
      <c r="D53" s="141"/>
      <c r="E53" s="4"/>
      <c r="F53" s="4"/>
      <c r="G53" s="4"/>
      <c r="H53" s="4"/>
      <c r="I53" s="4"/>
      <c r="J53" s="19"/>
    </row>
    <row r="54" spans="1:10" x14ac:dyDescent="0.25">
      <c r="A54" s="155"/>
      <c r="B54" s="141"/>
      <c r="C54" s="134"/>
      <c r="D54" s="141"/>
      <c r="E54" s="4"/>
      <c r="F54" s="4"/>
      <c r="G54" s="4"/>
      <c r="H54" s="4"/>
      <c r="I54" s="4"/>
      <c r="J54" s="19"/>
    </row>
    <row r="55" spans="1:10" x14ac:dyDescent="0.25">
      <c r="A55" s="155"/>
      <c r="B55" s="141"/>
      <c r="C55" s="134"/>
      <c r="D55" s="141"/>
      <c r="E55" s="4"/>
      <c r="F55" s="4"/>
      <c r="G55" s="4"/>
      <c r="H55" s="4"/>
      <c r="I55" s="4"/>
      <c r="J55" s="19"/>
    </row>
    <row r="56" spans="1:10" x14ac:dyDescent="0.25">
      <c r="A56" s="155"/>
      <c r="B56" s="141"/>
      <c r="C56" s="134"/>
      <c r="D56" s="141"/>
      <c r="E56" s="4"/>
      <c r="F56" s="4"/>
      <c r="G56" s="4"/>
      <c r="H56" s="4"/>
      <c r="I56" s="4"/>
      <c r="J56" s="19"/>
    </row>
    <row r="57" spans="1:10" x14ac:dyDescent="0.25">
      <c r="A57" s="155"/>
      <c r="B57" s="141"/>
      <c r="C57" s="134"/>
      <c r="D57" s="141"/>
      <c r="E57" s="4"/>
      <c r="F57" s="4"/>
      <c r="G57" s="4"/>
      <c r="H57" s="4"/>
      <c r="I57" s="4"/>
      <c r="J57" s="19"/>
    </row>
    <row r="58" spans="1:10" x14ac:dyDescent="0.25">
      <c r="A58" s="155"/>
      <c r="B58" s="141"/>
      <c r="C58" s="134"/>
      <c r="D58" s="141"/>
      <c r="E58" s="4"/>
      <c r="F58" s="4"/>
      <c r="G58" s="4"/>
      <c r="H58" s="4"/>
      <c r="I58" s="4"/>
      <c r="J58" s="19"/>
    </row>
    <row r="59" spans="1:10" x14ac:dyDescent="0.25">
      <c r="A59" s="155"/>
      <c r="B59" s="141"/>
      <c r="C59" s="134"/>
      <c r="D59" s="141"/>
      <c r="E59" s="4"/>
      <c r="F59" s="4"/>
      <c r="G59" s="4"/>
      <c r="H59" s="4"/>
      <c r="I59" s="4"/>
      <c r="J59" s="19"/>
    </row>
    <row r="60" spans="1:10" x14ac:dyDescent="0.25">
      <c r="A60" s="155"/>
      <c r="B60" s="141"/>
      <c r="C60" s="134"/>
      <c r="D60" s="141"/>
      <c r="E60" s="4"/>
      <c r="F60" s="4"/>
      <c r="G60" s="4"/>
      <c r="H60" s="4"/>
      <c r="I60" s="4"/>
      <c r="J60" s="19"/>
    </row>
    <row r="61" spans="1:10" x14ac:dyDescent="0.25">
      <c r="A61" s="155"/>
      <c r="B61" s="141"/>
      <c r="C61" s="134"/>
      <c r="D61" s="141"/>
      <c r="E61" s="4"/>
      <c r="F61" s="4"/>
      <c r="G61" s="4"/>
      <c r="H61" s="4"/>
      <c r="I61" s="4"/>
      <c r="J61" s="19"/>
    </row>
    <row r="62" spans="1:10" x14ac:dyDescent="0.25">
      <c r="A62" s="155"/>
      <c r="B62" s="141"/>
      <c r="C62" s="134"/>
      <c r="D62" s="141"/>
      <c r="E62" s="4"/>
      <c r="F62" s="4"/>
      <c r="G62" s="4"/>
      <c r="H62" s="4"/>
      <c r="I62" s="4"/>
      <c r="J62" s="19"/>
    </row>
    <row r="63" spans="1:10" x14ac:dyDescent="0.25">
      <c r="A63" s="155"/>
      <c r="B63" s="141"/>
      <c r="C63" s="134"/>
      <c r="D63" s="141"/>
      <c r="E63" s="4"/>
      <c r="F63" s="4"/>
      <c r="G63" s="4"/>
      <c r="H63" s="4"/>
      <c r="I63" s="4"/>
      <c r="J63" s="19"/>
    </row>
    <row r="64" spans="1:10" x14ac:dyDescent="0.25">
      <c r="A64" s="155"/>
      <c r="B64" s="141"/>
      <c r="C64" s="134"/>
      <c r="D64" s="141"/>
      <c r="E64" s="4"/>
      <c r="F64" s="4"/>
      <c r="G64" s="4"/>
      <c r="H64" s="4"/>
      <c r="I64" s="4"/>
      <c r="J64" s="19"/>
    </row>
    <row r="65" spans="1:10" x14ac:dyDescent="0.25">
      <c r="A65" s="155"/>
      <c r="B65" s="141"/>
      <c r="C65" s="134"/>
      <c r="D65" s="141"/>
      <c r="E65" s="4"/>
      <c r="F65" s="4"/>
      <c r="G65" s="4"/>
      <c r="H65" s="4"/>
      <c r="I65" s="4"/>
      <c r="J65" s="19"/>
    </row>
    <row r="66" spans="1:10" x14ac:dyDescent="0.25">
      <c r="A66" s="155"/>
      <c r="B66" s="141"/>
      <c r="C66" s="134"/>
      <c r="D66" s="141"/>
      <c r="E66" s="4"/>
      <c r="F66" s="4"/>
      <c r="G66" s="4"/>
      <c r="H66" s="4"/>
      <c r="I66" s="4"/>
      <c r="J66" s="19"/>
    </row>
    <row r="67" spans="1:10" x14ac:dyDescent="0.25">
      <c r="A67" s="155"/>
      <c r="B67" s="141"/>
      <c r="C67" s="134"/>
      <c r="D67" s="141"/>
      <c r="E67" s="4"/>
      <c r="F67" s="4"/>
      <c r="G67" s="4"/>
      <c r="H67" s="4"/>
      <c r="I67" s="4"/>
      <c r="J67" s="19"/>
    </row>
    <row r="68" spans="1:10" x14ac:dyDescent="0.25">
      <c r="A68" s="155"/>
      <c r="B68" s="141"/>
      <c r="C68" s="134"/>
      <c r="D68" s="141"/>
      <c r="E68" s="4"/>
      <c r="F68" s="4"/>
      <c r="G68" s="4"/>
      <c r="H68" s="4"/>
      <c r="I68" s="4"/>
      <c r="J68" s="19"/>
    </row>
    <row r="69" spans="1:10" x14ac:dyDescent="0.25">
      <c r="A69" s="155"/>
      <c r="B69" s="141"/>
      <c r="C69" s="134"/>
      <c r="D69" s="141"/>
      <c r="E69" s="4"/>
      <c r="F69" s="4"/>
      <c r="G69" s="4"/>
      <c r="H69" s="4"/>
      <c r="I69" s="4"/>
      <c r="J69" s="19"/>
    </row>
    <row r="70" spans="1:10" x14ac:dyDescent="0.25">
      <c r="A70" s="155"/>
      <c r="B70" s="141"/>
      <c r="C70" s="134"/>
      <c r="D70" s="141"/>
      <c r="E70" s="4"/>
      <c r="F70" s="4"/>
      <c r="G70" s="4"/>
      <c r="H70" s="4"/>
      <c r="I70" s="4"/>
      <c r="J70" s="19"/>
    </row>
    <row r="71" spans="1:10" x14ac:dyDescent="0.25">
      <c r="A71" s="155"/>
      <c r="B71" s="141"/>
      <c r="C71" s="134"/>
      <c r="D71" s="141"/>
      <c r="E71" s="4"/>
      <c r="F71" s="4"/>
      <c r="G71" s="4"/>
      <c r="H71" s="4"/>
      <c r="I71" s="4"/>
      <c r="J71" s="19"/>
    </row>
    <row r="72" spans="1:10" x14ac:dyDescent="0.25">
      <c r="A72" s="155"/>
      <c r="B72" s="141"/>
      <c r="C72" s="134"/>
      <c r="D72" s="141"/>
      <c r="E72" s="4"/>
      <c r="F72" s="4"/>
      <c r="G72" s="4"/>
      <c r="H72" s="4"/>
      <c r="I72" s="4"/>
      <c r="J72" s="19"/>
    </row>
    <row r="73" spans="1:10" x14ac:dyDescent="0.25">
      <c r="A73" s="155"/>
      <c r="B73" s="141"/>
      <c r="C73" s="134"/>
      <c r="D73" s="141"/>
      <c r="E73" s="4"/>
      <c r="F73" s="4"/>
      <c r="G73" s="4"/>
      <c r="H73" s="4"/>
      <c r="I73" s="4"/>
      <c r="J73" s="19"/>
    </row>
    <row r="74" spans="1:10" x14ac:dyDescent="0.25">
      <c r="A74" s="155"/>
      <c r="B74" s="141"/>
      <c r="C74" s="134"/>
      <c r="D74" s="141"/>
      <c r="E74" s="4"/>
      <c r="F74" s="4"/>
      <c r="G74" s="4"/>
      <c r="H74" s="4"/>
      <c r="I74" s="4"/>
      <c r="J74" s="19"/>
    </row>
    <row r="75" spans="1:10" x14ac:dyDescent="0.25">
      <c r="A75" s="155"/>
      <c r="B75" s="141"/>
      <c r="C75" s="134"/>
      <c r="D75" s="141"/>
      <c r="E75" s="4"/>
      <c r="F75" s="4"/>
      <c r="G75" s="4"/>
      <c r="H75" s="4"/>
      <c r="I75" s="4"/>
      <c r="J75" s="19"/>
    </row>
    <row r="76" spans="1:10" x14ac:dyDescent="0.25">
      <c r="A76" s="155"/>
      <c r="B76" s="141"/>
      <c r="C76" s="134"/>
      <c r="D76" s="141"/>
      <c r="E76" s="4"/>
      <c r="F76" s="4"/>
      <c r="G76" s="4"/>
      <c r="H76" s="4"/>
      <c r="I76" s="4"/>
      <c r="J76" s="19"/>
    </row>
    <row r="77" spans="1:10" x14ac:dyDescent="0.25">
      <c r="A77" s="155"/>
      <c r="B77" s="141"/>
      <c r="C77" s="134"/>
      <c r="D77" s="141"/>
      <c r="E77" s="4"/>
      <c r="F77" s="4"/>
      <c r="G77" s="4"/>
      <c r="H77" s="4"/>
      <c r="I77" s="4"/>
      <c r="J77" s="19"/>
    </row>
    <row r="78" spans="1:10" x14ac:dyDescent="0.25">
      <c r="A78" s="155"/>
      <c r="B78" s="141"/>
      <c r="C78" s="134"/>
      <c r="D78" s="141"/>
      <c r="E78" s="4"/>
      <c r="F78" s="4"/>
      <c r="G78" s="4"/>
      <c r="H78" s="4"/>
      <c r="I78" s="4"/>
      <c r="J78" s="19"/>
    </row>
    <row r="79" spans="1:10" x14ac:dyDescent="0.25">
      <c r="A79" s="166"/>
      <c r="B79" s="167"/>
      <c r="C79" s="168"/>
      <c r="D79" s="167"/>
    </row>
    <row r="80" spans="1:10" x14ac:dyDescent="0.25">
      <c r="A80" s="169"/>
      <c r="B80" s="170"/>
      <c r="C80" s="171"/>
      <c r="D80" s="170"/>
    </row>
    <row r="81" spans="1:4" x14ac:dyDescent="0.25">
      <c r="A81" s="169"/>
      <c r="B81" s="170"/>
      <c r="C81" s="171"/>
      <c r="D81" s="170"/>
    </row>
    <row r="82" spans="1:4" x14ac:dyDescent="0.25">
      <c r="A82" s="169"/>
      <c r="B82" s="170"/>
      <c r="C82" s="171"/>
      <c r="D82" s="170"/>
    </row>
    <row r="83" spans="1:4" x14ac:dyDescent="0.25">
      <c r="A83" s="169"/>
      <c r="B83" s="170"/>
      <c r="C83" s="171"/>
      <c r="D83" s="170"/>
    </row>
    <row r="84" spans="1:4" x14ac:dyDescent="0.25">
      <c r="A84" s="169"/>
      <c r="B84" s="170"/>
      <c r="C84" s="171"/>
      <c r="D84" s="170"/>
    </row>
    <row r="85" spans="1:4" x14ac:dyDescent="0.25">
      <c r="A85" s="169"/>
      <c r="B85" s="170"/>
      <c r="C85" s="171"/>
      <c r="D85" s="170"/>
    </row>
    <row r="86" spans="1:4" x14ac:dyDescent="0.25">
      <c r="A86" s="169"/>
      <c r="B86" s="170"/>
      <c r="C86" s="171"/>
      <c r="D86" s="170"/>
    </row>
    <row r="87" spans="1:4" x14ac:dyDescent="0.25">
      <c r="A87" s="169"/>
      <c r="B87" s="170"/>
      <c r="C87" s="171"/>
      <c r="D87" s="170"/>
    </row>
    <row r="88" spans="1:4" x14ac:dyDescent="0.25">
      <c r="A88" s="169"/>
      <c r="B88" s="170"/>
      <c r="C88" s="171"/>
      <c r="D88" s="170"/>
    </row>
    <row r="89" spans="1:4" x14ac:dyDescent="0.25">
      <c r="A89" s="169"/>
      <c r="B89" s="170"/>
      <c r="C89" s="171"/>
      <c r="D89" s="170"/>
    </row>
    <row r="90" spans="1:4" x14ac:dyDescent="0.25">
      <c r="A90" s="169"/>
      <c r="B90" s="170"/>
      <c r="C90" s="171"/>
      <c r="D90" s="170"/>
    </row>
  </sheetData>
  <sheetProtection sheet="1" objects="1" scenarios="1" formatCells="0" sort="0" autoFilter="0"/>
  <conditionalFormatting sqref="G6:G13">
    <cfRule type="dataBar" priority="1">
      <dataBar>
        <cfvo type="num" val="0"/>
        <cfvo type="num" val="1"/>
        <color rgb="FFD6E8D6"/>
      </dataBar>
      <extLst>
        <ext xmlns:x14="http://schemas.microsoft.com/office/spreadsheetml/2009/9/main" uri="{B025F937-C7B1-47D3-B67F-A62EFF666E3E}">
          <x14:id>{5FB9B029-63E9-47C0-B6A7-63175195EA4B}</x14:id>
        </ext>
      </extLst>
    </cfRule>
  </conditionalFormatting>
  <conditionalFormatting sqref="G17:G24">
    <cfRule type="dataBar" priority="2">
      <dataBar>
        <cfvo type="num" val="0"/>
        <cfvo type="num" val="1"/>
        <color rgb="FFD6E8D6"/>
      </dataBar>
      <extLst>
        <ext xmlns:x14="http://schemas.microsoft.com/office/spreadsheetml/2009/9/main" uri="{B025F937-C7B1-47D3-B67F-A62EFF666E3E}">
          <x14:id>{17084772-F510-4FEE-B124-68F759227AB6}</x14:id>
        </ext>
      </extLst>
    </cfRule>
  </conditionalFormatting>
  <dataValidations count="1">
    <dataValidation type="list" allowBlank="1" showInputMessage="1" showErrorMessage="1" sqref="B31:B90" xr:uid="{E2B43596-92C2-4BD4-97A6-F6F71F18942B}">
      <formula1>GoalNameList</formula1>
    </dataValidation>
  </dataValidations>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FB9B029-63E9-47C0-B6A7-63175195EA4B}">
            <x14:dataBar minLength="0" maxLength="100" axisPosition="none">
              <x14:cfvo type="num">
                <xm:f>0</xm:f>
              </x14:cfvo>
              <x14:cfvo type="num">
                <xm:f>1</xm:f>
              </x14:cfvo>
              <x14:negativeFillColor rgb="FFF5D6DC"/>
            </x14:dataBar>
          </x14:cfRule>
          <xm:sqref>G6:G13</xm:sqref>
        </x14:conditionalFormatting>
        <x14:conditionalFormatting xmlns:xm="http://schemas.microsoft.com/office/excel/2006/main">
          <x14:cfRule type="dataBar" id="{17084772-F510-4FEE-B124-68F759227AB6}">
            <x14:dataBar minLength="0" maxLength="100" axisPosition="none">
              <x14:cfvo type="num">
                <xm:f>0</xm:f>
              </x14:cfvo>
              <x14:cfvo type="num">
                <xm:f>1</xm:f>
              </x14:cfvo>
              <x14:negativeFillColor rgb="FFF5D6DC"/>
            </x14:dataBar>
          </x14:cfRule>
          <xm:sqref>G17:G24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0EF5E-F2B6-4FDB-B765-C45F119F6DDB}">
  <sheetPr>
    <tabColor rgb="FFF5D6DC"/>
  </sheetPr>
  <dimension ref="A1:AL37"/>
  <sheetViews>
    <sheetView showGridLines="0" zoomScale="80" zoomScaleNormal="80" workbookViewId="0">
      <selection activeCell="K20" sqref="K20"/>
    </sheetView>
  </sheetViews>
  <sheetFormatPr defaultRowHeight="15" x14ac:dyDescent="0.25"/>
  <cols>
    <col min="1" max="1" width="24.7109375" customWidth="1"/>
    <col min="2" max="2" width="17.140625" customWidth="1"/>
    <col min="3" max="3" width="4.140625" customWidth="1"/>
    <col min="4" max="6" width="5.140625" customWidth="1"/>
    <col min="7" max="33" width="4.140625" customWidth="1"/>
    <col min="34" max="34" width="17.140625" customWidth="1"/>
    <col min="35" max="36" width="12.42578125" customWidth="1"/>
    <col min="37" max="37" width="16.140625" customWidth="1"/>
    <col min="38" max="38" width="7.5703125" customWidth="1"/>
  </cols>
  <sheetData>
    <row r="1" spans="1:38" ht="37.5" x14ac:dyDescent="0.5">
      <c r="A1" s="126" t="s">
        <v>155</v>
      </c>
      <c r="B1" s="126"/>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20" t="s">
        <v>163</v>
      </c>
      <c r="AK1" s="20" t="s">
        <v>164</v>
      </c>
      <c r="AL1" s="4"/>
    </row>
    <row r="2" spans="1:38" x14ac:dyDescent="0.25">
      <c r="A2" s="3" t="s">
        <v>156</v>
      </c>
      <c r="B2" s="3"/>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20">
        <v>1</v>
      </c>
      <c r="AK2" s="20">
        <f>IF($C$8="","",COUNTIF(C$9:C$18,"✓"))</f>
        <v>0</v>
      </c>
      <c r="AL2" s="4"/>
    </row>
    <row r="3" spans="1:38" ht="15.75" thickBot="1"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20">
        <v>2</v>
      </c>
      <c r="AK3" s="20">
        <f>IF($D$8="","",COUNTIF(D$9:D$18,"✓"))</f>
        <v>0</v>
      </c>
      <c r="AL3" s="4"/>
    </row>
    <row r="4" spans="1:38" x14ac:dyDescent="0.25">
      <c r="A4" s="6" t="s">
        <v>50</v>
      </c>
      <c r="B4" s="141" t="s">
        <v>51</v>
      </c>
      <c r="D4" s="234" t="s">
        <v>221</v>
      </c>
      <c r="E4" s="229"/>
      <c r="F4" s="230"/>
      <c r="G4" s="4"/>
      <c r="H4" s="4"/>
      <c r="I4" s="4"/>
      <c r="J4" s="4"/>
      <c r="K4" s="4"/>
      <c r="L4" s="4"/>
      <c r="M4" s="4"/>
      <c r="N4" s="4"/>
      <c r="O4" s="4"/>
      <c r="P4" s="4"/>
      <c r="Q4" s="4"/>
      <c r="R4" s="4"/>
      <c r="S4" s="4"/>
      <c r="T4" s="4"/>
      <c r="U4" s="4"/>
      <c r="V4" s="4"/>
      <c r="W4" s="4"/>
      <c r="X4" s="4"/>
      <c r="Y4" s="4"/>
      <c r="Z4" s="4"/>
      <c r="AA4" s="4"/>
      <c r="AB4" s="4"/>
      <c r="AC4" s="4"/>
      <c r="AD4" s="4"/>
      <c r="AE4" s="4"/>
      <c r="AF4" s="4"/>
      <c r="AG4" s="4"/>
      <c r="AH4" s="4"/>
      <c r="AI4" s="4"/>
      <c r="AJ4" s="20">
        <v>3</v>
      </c>
      <c r="AK4" s="20">
        <f>IF($E$8="","",COUNTIF(E$9:E$18,"✓"))</f>
        <v>0</v>
      </c>
      <c r="AL4" s="20">
        <f>MATCH($B$4,MonthList,0)</f>
        <v>1</v>
      </c>
    </row>
    <row r="5" spans="1:38" x14ac:dyDescent="0.25">
      <c r="A5" s="6" t="s">
        <v>69</v>
      </c>
      <c r="B5" s="141">
        <v>2026</v>
      </c>
      <c r="D5" s="231">
        <f>B6</f>
        <v>0</v>
      </c>
      <c r="E5" s="232"/>
      <c r="F5" s="211"/>
      <c r="G5" s="4"/>
      <c r="H5" s="4"/>
      <c r="I5" s="4"/>
      <c r="J5" s="4"/>
      <c r="K5" s="4"/>
      <c r="L5" s="4"/>
      <c r="M5" s="4"/>
      <c r="N5" s="4"/>
      <c r="O5" s="4"/>
      <c r="P5" s="4"/>
      <c r="Q5" s="4"/>
      <c r="R5" s="4"/>
      <c r="S5" s="4"/>
      <c r="T5" s="4"/>
      <c r="U5" s="4"/>
      <c r="V5" s="4"/>
      <c r="W5" s="4"/>
      <c r="X5" s="4"/>
      <c r="Y5" s="4"/>
      <c r="Z5" s="4"/>
      <c r="AA5" s="4"/>
      <c r="AB5" s="4"/>
      <c r="AC5" s="4"/>
      <c r="AD5" s="4"/>
      <c r="AE5" s="4"/>
      <c r="AF5" s="4"/>
      <c r="AG5" s="4"/>
      <c r="AH5" s="4"/>
      <c r="AI5" s="4"/>
      <c r="AJ5" s="20">
        <v>4</v>
      </c>
      <c r="AK5" s="20">
        <f>IF($F$8="","",COUNTIF(F$9:F$18,"✓"))</f>
        <v>0</v>
      </c>
      <c r="AL5" s="20">
        <f>DAY(EOMONTH(DATE($B$5,$AL$4,1),0))</f>
        <v>31</v>
      </c>
    </row>
    <row r="6" spans="1:38" ht="15.75" thickBot="1" x14ac:dyDescent="0.3">
      <c r="A6" s="6" t="s">
        <v>162</v>
      </c>
      <c r="B6" s="37">
        <f>IFERROR(AVERAGE(AH9:AH18),0)</f>
        <v>0</v>
      </c>
      <c r="D6" s="212"/>
      <c r="E6" s="233"/>
      <c r="F6" s="213"/>
      <c r="G6" s="4"/>
      <c r="H6" s="4"/>
      <c r="I6" s="4"/>
      <c r="J6" s="4"/>
      <c r="K6" s="4"/>
      <c r="L6" s="4"/>
      <c r="M6" s="4"/>
      <c r="N6" s="4"/>
      <c r="O6" s="4"/>
      <c r="P6" s="4"/>
      <c r="Q6" s="4"/>
      <c r="R6" s="4"/>
      <c r="S6" s="4"/>
      <c r="T6" s="4"/>
      <c r="U6" s="4"/>
      <c r="V6" s="4"/>
      <c r="W6" s="4"/>
      <c r="X6" s="4"/>
      <c r="Y6" s="4"/>
      <c r="Z6" s="4"/>
      <c r="AA6" s="4"/>
      <c r="AB6" s="4"/>
      <c r="AC6" s="4"/>
      <c r="AD6" s="4"/>
      <c r="AE6" s="4"/>
      <c r="AF6" s="4"/>
      <c r="AG6" s="4"/>
      <c r="AH6" s="4"/>
      <c r="AI6" s="4"/>
      <c r="AJ6" s="20">
        <v>5</v>
      </c>
      <c r="AK6" s="20">
        <f>IF($G$8="","",COUNTIF(G$9:G$18,"✓"))</f>
        <v>0</v>
      </c>
      <c r="AL6" s="4"/>
    </row>
    <row r="7" spans="1:38" x14ac:dyDescent="0.25">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20">
        <v>6</v>
      </c>
      <c r="AK7" s="20">
        <f>IF($H$8="","",COUNTIF(H$9:H$18,"✓"))</f>
        <v>0</v>
      </c>
      <c r="AL7" s="4"/>
    </row>
    <row r="8" spans="1:38" x14ac:dyDescent="0.25">
      <c r="A8" s="35" t="s">
        <v>157</v>
      </c>
      <c r="B8" s="35" t="s">
        <v>1</v>
      </c>
      <c r="C8" s="36">
        <f>IF(1&lt;=$AL$5,1,"")</f>
        <v>1</v>
      </c>
      <c r="D8" s="36">
        <f>IF(2&lt;=$AL$5,2,"")</f>
        <v>2</v>
      </c>
      <c r="E8" s="36">
        <f>IF(3&lt;=$AL$5,3,"")</f>
        <v>3</v>
      </c>
      <c r="F8" s="36">
        <f>IF(4&lt;=$AL$5,4,"")</f>
        <v>4</v>
      </c>
      <c r="G8" s="36">
        <f>IF(5&lt;=$AL$5,5,"")</f>
        <v>5</v>
      </c>
      <c r="H8" s="36">
        <f>IF(6&lt;=$AL$5,6,"")</f>
        <v>6</v>
      </c>
      <c r="I8" s="36">
        <f>IF(7&lt;=$AL$5,7,"")</f>
        <v>7</v>
      </c>
      <c r="J8" s="36">
        <f>IF(8&lt;=$AL$5,8,"")</f>
        <v>8</v>
      </c>
      <c r="K8" s="36">
        <f>IF(9&lt;=$AL$5,9,"")</f>
        <v>9</v>
      </c>
      <c r="L8" s="36">
        <f>IF(10&lt;=$AL$5,10,"")</f>
        <v>10</v>
      </c>
      <c r="M8" s="36">
        <f>IF(11&lt;=$AL$5,11,"")</f>
        <v>11</v>
      </c>
      <c r="N8" s="36">
        <f>IF(12&lt;=$AL$5,12,"")</f>
        <v>12</v>
      </c>
      <c r="O8" s="36">
        <f>IF(13&lt;=$AL$5,13,"")</f>
        <v>13</v>
      </c>
      <c r="P8" s="36">
        <f>IF(14&lt;=$AL$5,14,"")</f>
        <v>14</v>
      </c>
      <c r="Q8" s="36">
        <f>IF(15&lt;=$AL$5,15,"")</f>
        <v>15</v>
      </c>
      <c r="R8" s="36">
        <f>IF(16&lt;=$AL$5,16,"")</f>
        <v>16</v>
      </c>
      <c r="S8" s="36">
        <f>IF(17&lt;=$AL$5,17,"")</f>
        <v>17</v>
      </c>
      <c r="T8" s="36">
        <f>IF(18&lt;=$AL$5,18,"")</f>
        <v>18</v>
      </c>
      <c r="U8" s="36">
        <f>IF(19&lt;=$AL$5,19,"")</f>
        <v>19</v>
      </c>
      <c r="V8" s="36">
        <f>IF(20&lt;=$AL$5,20,"")</f>
        <v>20</v>
      </c>
      <c r="W8" s="36">
        <f>IF(21&lt;=$AL$5,21,"")</f>
        <v>21</v>
      </c>
      <c r="X8" s="36">
        <f>IF(22&lt;=$AL$5,22,"")</f>
        <v>22</v>
      </c>
      <c r="Y8" s="36">
        <f>IF(23&lt;=$AL$5,23,"")</f>
        <v>23</v>
      </c>
      <c r="Z8" s="36">
        <f>IF(24&lt;=$AL$5,24,"")</f>
        <v>24</v>
      </c>
      <c r="AA8" s="36">
        <f>IF(25&lt;=$AL$5,25,"")</f>
        <v>25</v>
      </c>
      <c r="AB8" s="36">
        <f>IF(26&lt;=$AL$5,26,"")</f>
        <v>26</v>
      </c>
      <c r="AC8" s="36">
        <f>IF(27&lt;=$AL$5,27,"")</f>
        <v>27</v>
      </c>
      <c r="AD8" s="36">
        <f>IF(28&lt;=$AL$5,28,"")</f>
        <v>28</v>
      </c>
      <c r="AE8" s="36">
        <f>IF(29&lt;=$AL$5,29,"")</f>
        <v>29</v>
      </c>
      <c r="AF8" s="36">
        <f>IF(30&lt;=$AL$5,30,"")</f>
        <v>30</v>
      </c>
      <c r="AG8" s="36">
        <f>IF(31&lt;=$AL$5,31,"")</f>
        <v>31</v>
      </c>
      <c r="AH8" s="35" t="s">
        <v>158</v>
      </c>
      <c r="AI8" s="4"/>
      <c r="AJ8" s="20">
        <v>7</v>
      </c>
      <c r="AK8" s="20">
        <f>IF($I$8="","",COUNTIF(I$9:I$18,"✓"))</f>
        <v>0</v>
      </c>
      <c r="AL8" s="4"/>
    </row>
    <row r="9" spans="1:38" x14ac:dyDescent="0.25">
      <c r="A9" s="158" t="s">
        <v>159</v>
      </c>
      <c r="B9" s="158"/>
      <c r="C9" s="159"/>
      <c r="D9" s="159"/>
      <c r="E9" s="159"/>
      <c r="F9" s="159"/>
      <c r="G9" s="159"/>
      <c r="H9" s="159"/>
      <c r="I9" s="159"/>
      <c r="J9" s="159"/>
      <c r="K9" s="159"/>
      <c r="L9" s="159"/>
      <c r="M9" s="159"/>
      <c r="N9" s="159"/>
      <c r="O9" s="159"/>
      <c r="P9" s="159"/>
      <c r="Q9" s="159"/>
      <c r="R9" s="159"/>
      <c r="S9" s="159"/>
      <c r="T9" s="159"/>
      <c r="U9" s="159"/>
      <c r="V9" s="159"/>
      <c r="W9" s="159"/>
      <c r="X9" s="159"/>
      <c r="Y9" s="159"/>
      <c r="Z9" s="159"/>
      <c r="AA9" s="159"/>
      <c r="AB9" s="159"/>
      <c r="AC9" s="159"/>
      <c r="AD9" s="159"/>
      <c r="AE9" s="159"/>
      <c r="AF9" s="159"/>
      <c r="AG9" s="159"/>
      <c r="AH9" s="160">
        <f t="shared" ref="AH9:AH18" si="0">IFERROR(COUNTIF(C9:AG9,"✓")/$AL$5,0)</f>
        <v>0</v>
      </c>
      <c r="AI9" s="164"/>
      <c r="AJ9" s="165">
        <v>8</v>
      </c>
      <c r="AK9" s="165">
        <f>IF($J$8="","",COUNTIF(J$9:J$18,"✓"))</f>
        <v>0</v>
      </c>
      <c r="AL9" s="164"/>
    </row>
    <row r="10" spans="1:38" x14ac:dyDescent="0.25">
      <c r="A10" s="158" t="s">
        <v>160</v>
      </c>
      <c r="B10" s="158"/>
      <c r="C10" s="159"/>
      <c r="D10" s="159"/>
      <c r="E10" s="159"/>
      <c r="F10" s="159"/>
      <c r="G10" s="159"/>
      <c r="H10" s="159"/>
      <c r="I10" s="159"/>
      <c r="J10" s="159"/>
      <c r="K10" s="159"/>
      <c r="L10" s="159"/>
      <c r="M10" s="159"/>
      <c r="N10" s="159"/>
      <c r="O10" s="159"/>
      <c r="P10" s="159"/>
      <c r="Q10" s="159"/>
      <c r="R10" s="159"/>
      <c r="S10" s="159"/>
      <c r="T10" s="159"/>
      <c r="U10" s="159"/>
      <c r="V10" s="159"/>
      <c r="W10" s="159"/>
      <c r="X10" s="159"/>
      <c r="Y10" s="159"/>
      <c r="Z10" s="159"/>
      <c r="AA10" s="159"/>
      <c r="AB10" s="159"/>
      <c r="AC10" s="159"/>
      <c r="AD10" s="159"/>
      <c r="AE10" s="159"/>
      <c r="AF10" s="159"/>
      <c r="AG10" s="159"/>
      <c r="AH10" s="160">
        <f t="shared" si="0"/>
        <v>0</v>
      </c>
      <c r="AI10" s="164"/>
      <c r="AJ10" s="165">
        <v>9</v>
      </c>
      <c r="AK10" s="165">
        <f>IF($K$8="","",COUNTIF(K$9:K$18,"✓"))</f>
        <v>0</v>
      </c>
      <c r="AL10" s="164"/>
    </row>
    <row r="11" spans="1:38" x14ac:dyDescent="0.25">
      <c r="A11" s="158" t="s">
        <v>161</v>
      </c>
      <c r="B11" s="158"/>
      <c r="C11" s="159"/>
      <c r="D11" s="159"/>
      <c r="E11" s="159"/>
      <c r="F11" s="159"/>
      <c r="G11" s="159"/>
      <c r="H11" s="159"/>
      <c r="I11" s="159"/>
      <c r="J11" s="159"/>
      <c r="K11" s="159"/>
      <c r="L11" s="159"/>
      <c r="M11" s="159"/>
      <c r="N11" s="159"/>
      <c r="O11" s="159"/>
      <c r="P11" s="159"/>
      <c r="Q11" s="159"/>
      <c r="R11" s="159"/>
      <c r="S11" s="159"/>
      <c r="T11" s="159"/>
      <c r="U11" s="159"/>
      <c r="V11" s="159"/>
      <c r="W11" s="159"/>
      <c r="X11" s="159"/>
      <c r="Y11" s="159"/>
      <c r="Z11" s="159"/>
      <c r="AA11" s="159"/>
      <c r="AB11" s="159"/>
      <c r="AC11" s="159"/>
      <c r="AD11" s="159"/>
      <c r="AE11" s="159"/>
      <c r="AF11" s="159"/>
      <c r="AG11" s="159"/>
      <c r="AH11" s="160">
        <f t="shared" si="0"/>
        <v>0</v>
      </c>
      <c r="AI11" s="164"/>
      <c r="AJ11" s="165">
        <v>10</v>
      </c>
      <c r="AK11" s="165">
        <f>IF($L$8="","",COUNTIF(L$9:L$18,"✓"))</f>
        <v>0</v>
      </c>
      <c r="AL11" s="164"/>
    </row>
    <row r="12" spans="1:38" x14ac:dyDescent="0.25">
      <c r="A12" s="158"/>
      <c r="B12" s="158"/>
      <c r="C12" s="159"/>
      <c r="D12" s="159"/>
      <c r="E12" s="159"/>
      <c r="F12" s="159"/>
      <c r="G12" s="159"/>
      <c r="H12" s="159"/>
      <c r="I12" s="159"/>
      <c r="J12" s="159"/>
      <c r="K12" s="159"/>
      <c r="L12" s="159"/>
      <c r="M12" s="159"/>
      <c r="N12" s="159"/>
      <c r="O12" s="159"/>
      <c r="P12" s="159"/>
      <c r="Q12" s="159"/>
      <c r="R12" s="159"/>
      <c r="S12" s="159"/>
      <c r="T12" s="159"/>
      <c r="U12" s="159"/>
      <c r="V12" s="159"/>
      <c r="W12" s="159"/>
      <c r="X12" s="159"/>
      <c r="Y12" s="159"/>
      <c r="Z12" s="159"/>
      <c r="AA12" s="159"/>
      <c r="AB12" s="159"/>
      <c r="AC12" s="159"/>
      <c r="AD12" s="159"/>
      <c r="AE12" s="159"/>
      <c r="AF12" s="159"/>
      <c r="AG12" s="159"/>
      <c r="AH12" s="160">
        <f t="shared" si="0"/>
        <v>0</v>
      </c>
      <c r="AI12" s="164"/>
      <c r="AJ12" s="165">
        <v>11</v>
      </c>
      <c r="AK12" s="165">
        <f>IF($M$8="","",COUNTIF(M$9:M$18,"✓"))</f>
        <v>0</v>
      </c>
      <c r="AL12" s="164"/>
    </row>
    <row r="13" spans="1:38" x14ac:dyDescent="0.25">
      <c r="A13" s="158"/>
      <c r="B13" s="158"/>
      <c r="C13" s="159"/>
      <c r="D13" s="159"/>
      <c r="E13" s="159"/>
      <c r="F13" s="159"/>
      <c r="G13" s="159"/>
      <c r="H13" s="159"/>
      <c r="I13" s="159"/>
      <c r="J13" s="159"/>
      <c r="K13" s="159"/>
      <c r="L13" s="159"/>
      <c r="M13" s="159"/>
      <c r="N13" s="159"/>
      <c r="O13" s="159"/>
      <c r="P13" s="159"/>
      <c r="Q13" s="159"/>
      <c r="R13" s="159"/>
      <c r="S13" s="159"/>
      <c r="T13" s="159"/>
      <c r="U13" s="159"/>
      <c r="V13" s="159"/>
      <c r="W13" s="159"/>
      <c r="X13" s="159"/>
      <c r="Y13" s="159"/>
      <c r="Z13" s="159"/>
      <c r="AA13" s="159"/>
      <c r="AB13" s="159"/>
      <c r="AC13" s="159"/>
      <c r="AD13" s="159"/>
      <c r="AE13" s="159"/>
      <c r="AF13" s="159"/>
      <c r="AG13" s="159"/>
      <c r="AH13" s="160">
        <f t="shared" si="0"/>
        <v>0</v>
      </c>
      <c r="AI13" s="164"/>
      <c r="AJ13" s="165">
        <v>12</v>
      </c>
      <c r="AK13" s="165">
        <f>IF($N$8="","",COUNTIF(N$9:N$18,"✓"))</f>
        <v>0</v>
      </c>
      <c r="AL13" s="164"/>
    </row>
    <row r="14" spans="1:38" x14ac:dyDescent="0.25">
      <c r="A14" s="158"/>
      <c r="B14" s="158"/>
      <c r="C14" s="159"/>
      <c r="D14" s="159"/>
      <c r="E14" s="159"/>
      <c r="F14" s="159"/>
      <c r="G14" s="159"/>
      <c r="H14" s="159"/>
      <c r="I14" s="159"/>
      <c r="J14" s="159"/>
      <c r="K14" s="159"/>
      <c r="L14" s="159"/>
      <c r="M14" s="159"/>
      <c r="N14" s="159"/>
      <c r="O14" s="159"/>
      <c r="P14" s="159"/>
      <c r="Q14" s="159"/>
      <c r="R14" s="159"/>
      <c r="S14" s="159"/>
      <c r="T14" s="159"/>
      <c r="U14" s="159"/>
      <c r="V14" s="159"/>
      <c r="W14" s="159"/>
      <c r="X14" s="159"/>
      <c r="Y14" s="159"/>
      <c r="Z14" s="159"/>
      <c r="AA14" s="159"/>
      <c r="AB14" s="159"/>
      <c r="AC14" s="159"/>
      <c r="AD14" s="159"/>
      <c r="AE14" s="159"/>
      <c r="AF14" s="159"/>
      <c r="AG14" s="159"/>
      <c r="AH14" s="160">
        <f t="shared" si="0"/>
        <v>0</v>
      </c>
      <c r="AI14" s="164"/>
      <c r="AJ14" s="165">
        <v>13</v>
      </c>
      <c r="AK14" s="165">
        <f>IF($O$8="","",COUNTIF(O$9:O$18,"✓"))</f>
        <v>0</v>
      </c>
      <c r="AL14" s="164"/>
    </row>
    <row r="15" spans="1:38" x14ac:dyDescent="0.25">
      <c r="A15" s="158"/>
      <c r="B15" s="158"/>
      <c r="C15" s="159"/>
      <c r="D15" s="159"/>
      <c r="E15" s="159"/>
      <c r="F15" s="159"/>
      <c r="G15" s="159"/>
      <c r="H15" s="159"/>
      <c r="I15" s="159"/>
      <c r="J15" s="159"/>
      <c r="K15" s="159"/>
      <c r="L15" s="159"/>
      <c r="M15" s="159"/>
      <c r="N15" s="159"/>
      <c r="O15" s="159"/>
      <c r="P15" s="159"/>
      <c r="Q15" s="159"/>
      <c r="R15" s="159"/>
      <c r="S15" s="159"/>
      <c r="T15" s="159"/>
      <c r="U15" s="159"/>
      <c r="V15" s="159"/>
      <c r="W15" s="159"/>
      <c r="X15" s="159"/>
      <c r="Y15" s="159"/>
      <c r="Z15" s="159"/>
      <c r="AA15" s="159"/>
      <c r="AB15" s="159"/>
      <c r="AC15" s="159"/>
      <c r="AD15" s="159"/>
      <c r="AE15" s="159"/>
      <c r="AF15" s="159"/>
      <c r="AG15" s="159"/>
      <c r="AH15" s="160">
        <f t="shared" si="0"/>
        <v>0</v>
      </c>
      <c r="AI15" s="164"/>
      <c r="AJ15" s="165">
        <v>14</v>
      </c>
      <c r="AK15" s="165">
        <f>IF($P$8="","",COUNTIF(P$9:P$18,"✓"))</f>
        <v>0</v>
      </c>
      <c r="AL15" s="164"/>
    </row>
    <row r="16" spans="1:38" x14ac:dyDescent="0.25">
      <c r="A16" s="158"/>
      <c r="B16" s="158"/>
      <c r="C16" s="159"/>
      <c r="D16" s="159"/>
      <c r="E16" s="159"/>
      <c r="F16" s="159"/>
      <c r="G16" s="159"/>
      <c r="H16" s="159"/>
      <c r="I16" s="159"/>
      <c r="J16" s="159"/>
      <c r="K16" s="159"/>
      <c r="L16" s="159"/>
      <c r="M16" s="159"/>
      <c r="N16" s="159"/>
      <c r="O16" s="159"/>
      <c r="P16" s="159"/>
      <c r="Q16" s="159"/>
      <c r="R16" s="159"/>
      <c r="S16" s="159"/>
      <c r="T16" s="159"/>
      <c r="U16" s="159"/>
      <c r="V16" s="159"/>
      <c r="W16" s="159"/>
      <c r="X16" s="159"/>
      <c r="Y16" s="159"/>
      <c r="Z16" s="159"/>
      <c r="AA16" s="159"/>
      <c r="AB16" s="159"/>
      <c r="AC16" s="159"/>
      <c r="AD16" s="159"/>
      <c r="AE16" s="159"/>
      <c r="AF16" s="159"/>
      <c r="AG16" s="159"/>
      <c r="AH16" s="160">
        <f t="shared" si="0"/>
        <v>0</v>
      </c>
      <c r="AI16" s="164"/>
      <c r="AJ16" s="165">
        <v>15</v>
      </c>
      <c r="AK16" s="165">
        <f>IF($Q$8="","",COUNTIF(Q$9:Q$18,"✓"))</f>
        <v>0</v>
      </c>
      <c r="AL16" s="164"/>
    </row>
    <row r="17" spans="1:38" x14ac:dyDescent="0.25">
      <c r="A17" s="158"/>
      <c r="B17" s="158"/>
      <c r="C17" s="159"/>
      <c r="D17" s="159"/>
      <c r="E17" s="159"/>
      <c r="F17" s="159"/>
      <c r="G17" s="159"/>
      <c r="H17" s="159"/>
      <c r="I17" s="159"/>
      <c r="J17" s="159"/>
      <c r="K17" s="159"/>
      <c r="L17" s="159"/>
      <c r="M17" s="159"/>
      <c r="N17" s="159"/>
      <c r="O17" s="159"/>
      <c r="P17" s="159"/>
      <c r="Q17" s="159"/>
      <c r="R17" s="159"/>
      <c r="S17" s="159"/>
      <c r="T17" s="159"/>
      <c r="U17" s="159"/>
      <c r="V17" s="159"/>
      <c r="W17" s="159"/>
      <c r="X17" s="159"/>
      <c r="Y17" s="159"/>
      <c r="Z17" s="159"/>
      <c r="AA17" s="159"/>
      <c r="AB17" s="159"/>
      <c r="AC17" s="159"/>
      <c r="AD17" s="159"/>
      <c r="AE17" s="159"/>
      <c r="AF17" s="159"/>
      <c r="AG17" s="159"/>
      <c r="AH17" s="160">
        <f t="shared" si="0"/>
        <v>0</v>
      </c>
      <c r="AI17" s="164"/>
      <c r="AJ17" s="165">
        <v>16</v>
      </c>
      <c r="AK17" s="165">
        <f>IF($R$8="","",COUNTIF(R$9:R$18,"✓"))</f>
        <v>0</v>
      </c>
      <c r="AL17" s="164"/>
    </row>
    <row r="18" spans="1:38" x14ac:dyDescent="0.25">
      <c r="A18" s="158"/>
      <c r="B18" s="158"/>
      <c r="C18" s="159"/>
      <c r="D18" s="159"/>
      <c r="E18" s="159"/>
      <c r="F18" s="159"/>
      <c r="G18" s="159"/>
      <c r="H18" s="159"/>
      <c r="I18" s="159"/>
      <c r="J18" s="159"/>
      <c r="K18" s="159"/>
      <c r="L18" s="159"/>
      <c r="M18" s="159"/>
      <c r="N18" s="159"/>
      <c r="O18" s="159"/>
      <c r="P18" s="159"/>
      <c r="Q18" s="159"/>
      <c r="R18" s="159"/>
      <c r="S18" s="159"/>
      <c r="T18" s="159"/>
      <c r="U18" s="159"/>
      <c r="V18" s="159"/>
      <c r="W18" s="159"/>
      <c r="X18" s="159"/>
      <c r="Y18" s="159"/>
      <c r="Z18" s="159"/>
      <c r="AA18" s="159"/>
      <c r="AB18" s="159"/>
      <c r="AC18" s="159"/>
      <c r="AD18" s="159"/>
      <c r="AE18" s="159"/>
      <c r="AF18" s="159"/>
      <c r="AG18" s="159"/>
      <c r="AH18" s="160">
        <f t="shared" si="0"/>
        <v>0</v>
      </c>
      <c r="AI18" s="164"/>
      <c r="AJ18" s="165">
        <v>17</v>
      </c>
      <c r="AK18" s="165">
        <f>IF($S$8="","",COUNTIF(S$9:S$18,"✓"))</f>
        <v>0</v>
      </c>
      <c r="AL18" s="164"/>
    </row>
    <row r="19" spans="1:38"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20">
        <v>18</v>
      </c>
      <c r="AK19" s="20">
        <f>IF($T$8="","",COUNTIF(T$9:T$18,"✓"))</f>
        <v>0</v>
      </c>
      <c r="AL19" s="4"/>
    </row>
    <row r="20" spans="1:38"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20">
        <v>19</v>
      </c>
      <c r="AK20" s="20">
        <f>IF($U$8="","",COUNTIF(U$9:U$18,"✓"))</f>
        <v>0</v>
      </c>
      <c r="AL20" s="4"/>
    </row>
    <row r="21" spans="1:38"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20">
        <v>20</v>
      </c>
      <c r="AK21" s="20">
        <f>IF($V$8="","",COUNTIF(V$9:V$18,"✓"))</f>
        <v>0</v>
      </c>
      <c r="AL21" s="4"/>
    </row>
    <row r="22" spans="1:38"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20">
        <v>21</v>
      </c>
      <c r="AK22" s="20">
        <f>IF($W$8="","",COUNTIF(W$9:W$18,"✓"))</f>
        <v>0</v>
      </c>
      <c r="AL22" s="4"/>
    </row>
    <row r="23" spans="1:38"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20">
        <v>22</v>
      </c>
      <c r="AK23" s="20">
        <f>IF($X$8="","",COUNTIF(X$9:X$18,"✓"))</f>
        <v>0</v>
      </c>
      <c r="AL23" s="4"/>
    </row>
    <row r="24" spans="1:38"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20">
        <v>23</v>
      </c>
      <c r="AK24" s="20">
        <f>IF($Y$8="","",COUNTIF(Y$9:Y$18,"✓"))</f>
        <v>0</v>
      </c>
      <c r="AL24" s="4"/>
    </row>
    <row r="25" spans="1:38"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20">
        <v>24</v>
      </c>
      <c r="AK25" s="20">
        <f>IF($Z$8="","",COUNTIF(Z$9:Z$18,"✓"))</f>
        <v>0</v>
      </c>
      <c r="AL25" s="4"/>
    </row>
    <row r="26" spans="1:38"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20">
        <v>25</v>
      </c>
      <c r="AK26" s="20">
        <f>IF($AA$8="","",COUNTIF(AA$9:AA$18,"✓"))</f>
        <v>0</v>
      </c>
      <c r="AL26" s="4"/>
    </row>
    <row r="27" spans="1:38"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20">
        <v>26</v>
      </c>
      <c r="AK27" s="20">
        <f>IF($AB$8="","",COUNTIF(AB$9:AB$18,"✓"))</f>
        <v>0</v>
      </c>
      <c r="AL27" s="4"/>
    </row>
    <row r="28" spans="1:38"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20">
        <v>27</v>
      </c>
      <c r="AK28" s="20">
        <f>IF($AC$8="","",COUNTIF(AC$9:AC$18,"✓"))</f>
        <v>0</v>
      </c>
      <c r="AL28" s="4"/>
    </row>
    <row r="29" spans="1:38"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20">
        <v>28</v>
      </c>
      <c r="AK29" s="20">
        <f>IF($AD$8="","",COUNTIF(AD$9:AD$18,"✓"))</f>
        <v>0</v>
      </c>
      <c r="AL29" s="4"/>
    </row>
    <row r="30" spans="1:38"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20">
        <v>29</v>
      </c>
      <c r="AK30" s="20">
        <f>IF($AE$8="","",COUNTIF(AE$9:AE$18,"✓"))</f>
        <v>0</v>
      </c>
      <c r="AL30" s="4"/>
    </row>
    <row r="31" spans="1:38"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20">
        <v>30</v>
      </c>
      <c r="AK31" s="20">
        <f>IF($AF$8="","",COUNTIF(AF$9:AF$18,"✓"))</f>
        <v>0</v>
      </c>
      <c r="AL31" s="4"/>
    </row>
    <row r="32" spans="1:38"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20">
        <v>31</v>
      </c>
      <c r="AK32" s="20">
        <f>IF($AG$8="","",COUNTIF(AG$9:AG$18,"✓"))</f>
        <v>0</v>
      </c>
      <c r="AL32" s="4"/>
    </row>
    <row r="33" spans="1:38"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row>
    <row r="34" spans="1:38"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row>
    <row r="35" spans="1:38"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row>
    <row r="36" spans="1:38"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row>
    <row r="37" spans="1:38"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row>
  </sheetData>
  <sheetProtection sheet="1" objects="1" scenarios="1" formatCells="0" sort="0" autoFilter="0"/>
  <mergeCells count="2">
    <mergeCell ref="D4:F4"/>
    <mergeCell ref="D5:F6"/>
  </mergeCells>
  <conditionalFormatting sqref="C9:AG18">
    <cfRule type="cellIs" dxfId="0" priority="1" operator="equal">
      <formula>"✓"</formula>
    </cfRule>
  </conditionalFormatting>
  <conditionalFormatting sqref="AH9:AH18">
    <cfRule type="dataBar" priority="2">
      <dataBar>
        <cfvo type="min"/>
        <cfvo type="max"/>
        <color rgb="FFA9C9A9"/>
      </dataBar>
      <extLst>
        <ext xmlns:x14="http://schemas.microsoft.com/office/spreadsheetml/2009/9/main" uri="{B025F937-C7B1-47D3-B67F-A62EFF666E3E}">
          <x14:id>{F2DF346F-F92B-484A-8CC4-314F777CA07F}</x14:id>
        </ext>
      </extLst>
    </cfRule>
  </conditionalFormatting>
  <dataValidations count="2">
    <dataValidation type="list" allowBlank="1" showInputMessage="1" showErrorMessage="1" sqref="C9:AG18" xr:uid="{5C3DAFB4-06B4-4E17-A932-A81154B44D12}">
      <formula1>"✓, "</formula1>
    </dataValidation>
    <dataValidation type="list" allowBlank="1" showInputMessage="1" showErrorMessage="1" sqref="B4" xr:uid="{6102300F-08BE-4D62-9645-0AB4E4298366}">
      <formula1>MonthList</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2DF346F-F92B-484A-8CC4-314F777CA07F}">
            <x14:dataBar minLength="0" maxLength="100" direction="leftToRight" negativeBarColorSameAsPositive="1" axisPosition="none">
              <x14:cfvo type="min"/>
              <x14:cfvo type="max"/>
            </x14:dataBar>
          </x14:cfRule>
          <xm:sqref>AH9:AH18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57EDF-A295-4EDF-BA5C-79324DA331C3}">
  <sheetPr>
    <tabColor rgb="FFB0AAA3"/>
  </sheetPr>
  <dimension ref="A1:A29"/>
  <sheetViews>
    <sheetView showGridLines="0" topLeftCell="A18" workbookViewId="0">
      <selection activeCell="A20" sqref="A20"/>
    </sheetView>
  </sheetViews>
  <sheetFormatPr defaultRowHeight="15" x14ac:dyDescent="0.25"/>
  <cols>
    <col min="1" max="1" width="148.5703125" customWidth="1"/>
  </cols>
  <sheetData>
    <row r="1" spans="1:1" ht="37.5" x14ac:dyDescent="0.5">
      <c r="A1" s="121" t="s">
        <v>179</v>
      </c>
    </row>
    <row r="2" spans="1:1" ht="30" x14ac:dyDescent="0.25">
      <c r="A2" s="44" t="s">
        <v>180</v>
      </c>
    </row>
    <row r="3" spans="1:1" x14ac:dyDescent="0.25">
      <c r="A3" s="41"/>
    </row>
    <row r="4" spans="1:1" ht="17.25" x14ac:dyDescent="0.3">
      <c r="A4" s="48" t="s">
        <v>181</v>
      </c>
    </row>
    <row r="5" spans="1:1" ht="45" x14ac:dyDescent="0.25">
      <c r="A5" s="41" t="s">
        <v>206</v>
      </c>
    </row>
    <row r="6" spans="1:1" x14ac:dyDescent="0.25">
      <c r="A6" s="41"/>
    </row>
    <row r="7" spans="1:1" ht="17.25" x14ac:dyDescent="0.3">
      <c r="A7" s="49" t="s">
        <v>182</v>
      </c>
    </row>
    <row r="8" spans="1:1" ht="45" x14ac:dyDescent="0.25">
      <c r="A8" s="41" t="s">
        <v>183</v>
      </c>
    </row>
    <row r="9" spans="1:1" x14ac:dyDescent="0.25">
      <c r="A9" s="41"/>
    </row>
    <row r="10" spans="1:1" ht="17.25" x14ac:dyDescent="0.3">
      <c r="A10" s="50" t="s">
        <v>184</v>
      </c>
    </row>
    <row r="11" spans="1:1" ht="30" x14ac:dyDescent="0.25">
      <c r="A11" s="41" t="s">
        <v>185</v>
      </c>
    </row>
    <row r="12" spans="1:1" x14ac:dyDescent="0.25">
      <c r="A12" s="41"/>
    </row>
    <row r="13" spans="1:1" ht="17.25" x14ac:dyDescent="0.3">
      <c r="A13" s="51" t="s">
        <v>186</v>
      </c>
    </row>
    <row r="14" spans="1:1" ht="30" x14ac:dyDescent="0.25">
      <c r="A14" s="41" t="s">
        <v>187</v>
      </c>
    </row>
    <row r="15" spans="1:1" x14ac:dyDescent="0.25">
      <c r="A15" s="41"/>
    </row>
    <row r="16" spans="1:1" ht="17.25" x14ac:dyDescent="0.3">
      <c r="A16" s="52" t="s">
        <v>207</v>
      </c>
    </row>
    <row r="17" spans="1:1" ht="30" x14ac:dyDescent="0.25">
      <c r="A17" s="41" t="s">
        <v>188</v>
      </c>
    </row>
    <row r="18" spans="1:1" x14ac:dyDescent="0.25">
      <c r="A18" s="41"/>
    </row>
    <row r="19" spans="1:1" ht="17.25" x14ac:dyDescent="0.3">
      <c r="A19" s="48" t="s">
        <v>189</v>
      </c>
    </row>
    <row r="20" spans="1:1" ht="30" x14ac:dyDescent="0.25">
      <c r="A20" s="41" t="s">
        <v>190</v>
      </c>
    </row>
    <row r="21" spans="1:1" x14ac:dyDescent="0.25">
      <c r="A21" s="41"/>
    </row>
    <row r="22" spans="1:1" ht="17.25" x14ac:dyDescent="0.3">
      <c r="A22" s="49" t="s">
        <v>191</v>
      </c>
    </row>
    <row r="23" spans="1:1" ht="30" x14ac:dyDescent="0.25">
      <c r="A23" s="41" t="s">
        <v>192</v>
      </c>
    </row>
    <row r="24" spans="1:1" x14ac:dyDescent="0.25">
      <c r="A24" s="41"/>
    </row>
    <row r="25" spans="1:1" ht="17.25" x14ac:dyDescent="0.3">
      <c r="A25" s="50" t="s">
        <v>193</v>
      </c>
    </row>
    <row r="26" spans="1:1" ht="30" x14ac:dyDescent="0.25">
      <c r="A26" s="41" t="s">
        <v>208</v>
      </c>
    </row>
    <row r="27" spans="1:1" x14ac:dyDescent="0.25">
      <c r="A27" s="41"/>
    </row>
    <row r="28" spans="1:1" ht="17.25" x14ac:dyDescent="0.3">
      <c r="A28" s="51" t="s">
        <v>209</v>
      </c>
    </row>
    <row r="29" spans="1:1" ht="30" x14ac:dyDescent="0.25">
      <c r="A29" s="41" t="s">
        <v>194</v>
      </c>
    </row>
  </sheetData>
  <sheetProtection sheet="1" objects="1" scenarios="1" formatCells="0" sort="0" autoFilter="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BD66E-F733-480C-9ECB-AA1D66FDD8D5}">
  <sheetPr>
    <tabColor rgb="FFB0AAA3"/>
  </sheetPr>
  <dimension ref="A1:T82"/>
  <sheetViews>
    <sheetView workbookViewId="0"/>
  </sheetViews>
  <sheetFormatPr defaultRowHeight="15" x14ac:dyDescent="0.25"/>
  <cols>
    <col min="1" max="1" width="28.5703125" customWidth="1"/>
    <col min="2" max="2" width="15.28515625" customWidth="1"/>
    <col min="4" max="4" width="15.28515625" customWidth="1"/>
    <col min="6" max="6" width="17.140625" customWidth="1"/>
    <col min="8" max="8" width="13.28515625" customWidth="1"/>
    <col min="10" max="10" width="16.140625" customWidth="1"/>
    <col min="12" max="12" width="15.28515625" customWidth="1"/>
    <col min="14" max="14" width="19" customWidth="1"/>
    <col min="16" max="16" width="11.42578125" customWidth="1"/>
    <col min="18" max="18" width="11.42578125" customWidth="1"/>
    <col min="20" max="20" width="24.7109375" customWidth="1"/>
  </cols>
  <sheetData>
    <row r="1" spans="1:20" ht="15.75" x14ac:dyDescent="0.25">
      <c r="A1" s="1" t="s">
        <v>0</v>
      </c>
    </row>
    <row r="2" spans="1:20" x14ac:dyDescent="0.25">
      <c r="A2" s="2" t="s">
        <v>1</v>
      </c>
      <c r="B2" s="2" t="s">
        <v>2</v>
      </c>
      <c r="D2" s="2" t="s">
        <v>38</v>
      </c>
      <c r="F2" s="2" t="s">
        <v>39</v>
      </c>
      <c r="H2" s="2" t="s">
        <v>44</v>
      </c>
      <c r="J2" s="2" t="s">
        <v>50</v>
      </c>
      <c r="L2" s="2" t="s">
        <v>63</v>
      </c>
      <c r="N2" s="2" t="s">
        <v>66</v>
      </c>
      <c r="P2" s="2" t="s">
        <v>69</v>
      </c>
      <c r="R2" s="2" t="s">
        <v>70</v>
      </c>
      <c r="T2" s="2" t="s">
        <v>103</v>
      </c>
    </row>
    <row r="3" spans="1:20" x14ac:dyDescent="0.25">
      <c r="A3" s="78" t="s">
        <v>3</v>
      </c>
      <c r="B3" s="78" t="s">
        <v>4</v>
      </c>
      <c r="D3" t="s">
        <v>4</v>
      </c>
      <c r="F3" t="s">
        <v>40</v>
      </c>
      <c r="H3" t="s">
        <v>45</v>
      </c>
      <c r="J3" t="s">
        <v>51</v>
      </c>
      <c r="L3" t="s">
        <v>64</v>
      </c>
      <c r="N3" t="s">
        <v>43</v>
      </c>
      <c r="P3">
        <v>2024</v>
      </c>
      <c r="R3" t="s">
        <v>71</v>
      </c>
      <c r="T3" s="78" t="s">
        <v>104</v>
      </c>
    </row>
    <row r="4" spans="1:20" x14ac:dyDescent="0.25">
      <c r="A4" s="78" t="s">
        <v>5</v>
      </c>
      <c r="B4" s="78" t="s">
        <v>4</v>
      </c>
      <c r="D4" t="s">
        <v>10</v>
      </c>
      <c r="F4" t="s">
        <v>41</v>
      </c>
      <c r="H4" t="s">
        <v>46</v>
      </c>
      <c r="J4" t="s">
        <v>52</v>
      </c>
      <c r="L4" t="s">
        <v>65</v>
      </c>
      <c r="N4" t="s">
        <v>67</v>
      </c>
      <c r="P4">
        <v>2025</v>
      </c>
      <c r="R4" t="s">
        <v>72</v>
      </c>
      <c r="T4" s="78" t="s">
        <v>105</v>
      </c>
    </row>
    <row r="5" spans="1:20" x14ac:dyDescent="0.25">
      <c r="A5" s="78" t="s">
        <v>6</v>
      </c>
      <c r="B5" s="78" t="s">
        <v>4</v>
      </c>
      <c r="D5" t="s">
        <v>19</v>
      </c>
      <c r="F5" t="s">
        <v>42</v>
      </c>
      <c r="H5" t="s">
        <v>47</v>
      </c>
      <c r="J5" t="s">
        <v>53</v>
      </c>
      <c r="N5" t="s">
        <v>68</v>
      </c>
      <c r="P5">
        <v>2026</v>
      </c>
      <c r="T5" s="78" t="s">
        <v>106</v>
      </c>
    </row>
    <row r="6" spans="1:20" x14ac:dyDescent="0.25">
      <c r="A6" s="78" t="s">
        <v>7</v>
      </c>
      <c r="B6" s="78" t="s">
        <v>4</v>
      </c>
      <c r="D6" t="s">
        <v>28</v>
      </c>
      <c r="F6" t="s">
        <v>43</v>
      </c>
      <c r="H6" t="s">
        <v>48</v>
      </c>
      <c r="J6" t="s">
        <v>54</v>
      </c>
      <c r="P6">
        <v>2027</v>
      </c>
      <c r="T6" s="78" t="s">
        <v>107</v>
      </c>
    </row>
    <row r="7" spans="1:20" x14ac:dyDescent="0.25">
      <c r="A7" s="78" t="s">
        <v>8</v>
      </c>
      <c r="B7" s="78" t="s">
        <v>4</v>
      </c>
      <c r="D7" t="s">
        <v>34</v>
      </c>
      <c r="H7" t="s">
        <v>49</v>
      </c>
      <c r="J7" t="s">
        <v>55</v>
      </c>
      <c r="P7">
        <v>2028</v>
      </c>
      <c r="T7" s="78" t="s">
        <v>108</v>
      </c>
    </row>
    <row r="8" spans="1:20" x14ac:dyDescent="0.25">
      <c r="A8" s="78" t="s">
        <v>9</v>
      </c>
      <c r="B8" s="78" t="s">
        <v>10</v>
      </c>
      <c r="J8" t="s">
        <v>56</v>
      </c>
      <c r="P8">
        <v>2029</v>
      </c>
      <c r="T8" s="78" t="s">
        <v>109</v>
      </c>
    </row>
    <row r="9" spans="1:20" x14ac:dyDescent="0.25">
      <c r="A9" s="78" t="s">
        <v>11</v>
      </c>
      <c r="B9" s="78" t="s">
        <v>10</v>
      </c>
      <c r="J9" t="s">
        <v>57</v>
      </c>
      <c r="P9">
        <v>2030</v>
      </c>
      <c r="T9" s="78" t="s">
        <v>110</v>
      </c>
    </row>
    <row r="10" spans="1:20" x14ac:dyDescent="0.25">
      <c r="A10" s="78" t="s">
        <v>12</v>
      </c>
      <c r="B10" s="78" t="s">
        <v>10</v>
      </c>
      <c r="J10" t="s">
        <v>58</v>
      </c>
      <c r="T10" s="78" t="s">
        <v>111</v>
      </c>
    </row>
    <row r="11" spans="1:20" x14ac:dyDescent="0.25">
      <c r="A11" s="78" t="s">
        <v>13</v>
      </c>
      <c r="B11" s="78" t="s">
        <v>10</v>
      </c>
      <c r="J11" t="s">
        <v>59</v>
      </c>
    </row>
    <row r="12" spans="1:20" x14ac:dyDescent="0.25">
      <c r="A12" s="78" t="s">
        <v>14</v>
      </c>
      <c r="B12" s="78" t="s">
        <v>10</v>
      </c>
      <c r="J12" t="s">
        <v>60</v>
      </c>
    </row>
    <row r="13" spans="1:20" x14ac:dyDescent="0.25">
      <c r="A13" s="78" t="s">
        <v>15</v>
      </c>
      <c r="B13" s="78" t="s">
        <v>10</v>
      </c>
      <c r="J13" t="s">
        <v>61</v>
      </c>
    </row>
    <row r="14" spans="1:20" x14ac:dyDescent="0.25">
      <c r="A14" s="78" t="s">
        <v>16</v>
      </c>
      <c r="B14" s="78" t="s">
        <v>10</v>
      </c>
      <c r="J14" t="s">
        <v>62</v>
      </c>
    </row>
    <row r="15" spans="1:20" x14ac:dyDescent="0.25">
      <c r="A15" s="78" t="s">
        <v>17</v>
      </c>
      <c r="B15" s="78" t="s">
        <v>10</v>
      </c>
    </row>
    <row r="16" spans="1:20" x14ac:dyDescent="0.25">
      <c r="A16" s="78" t="s">
        <v>18</v>
      </c>
      <c r="B16" s="78" t="s">
        <v>19</v>
      </c>
    </row>
    <row r="17" spans="1:2" x14ac:dyDescent="0.25">
      <c r="A17" s="78" t="s">
        <v>20</v>
      </c>
      <c r="B17" s="78" t="s">
        <v>19</v>
      </c>
    </row>
    <row r="18" spans="1:2" x14ac:dyDescent="0.25">
      <c r="A18" s="78" t="s">
        <v>21</v>
      </c>
      <c r="B18" s="78" t="s">
        <v>19</v>
      </c>
    </row>
    <row r="19" spans="1:2" x14ac:dyDescent="0.25">
      <c r="A19" s="78" t="s">
        <v>22</v>
      </c>
      <c r="B19" s="78" t="s">
        <v>19</v>
      </c>
    </row>
    <row r="20" spans="1:2" x14ac:dyDescent="0.25">
      <c r="A20" s="78" t="s">
        <v>23</v>
      </c>
      <c r="B20" s="78" t="s">
        <v>19</v>
      </c>
    </row>
    <row r="21" spans="1:2" x14ac:dyDescent="0.25">
      <c r="A21" s="78" t="s">
        <v>24</v>
      </c>
      <c r="B21" s="78" t="s">
        <v>19</v>
      </c>
    </row>
    <row r="22" spans="1:2" x14ac:dyDescent="0.25">
      <c r="A22" s="78" t="s">
        <v>25</v>
      </c>
      <c r="B22" s="78" t="s">
        <v>19</v>
      </c>
    </row>
    <row r="23" spans="1:2" x14ac:dyDescent="0.25">
      <c r="A23" s="78" t="s">
        <v>26</v>
      </c>
      <c r="B23" s="78" t="s">
        <v>19</v>
      </c>
    </row>
    <row r="24" spans="1:2" x14ac:dyDescent="0.25">
      <c r="A24" s="78" t="s">
        <v>27</v>
      </c>
      <c r="B24" s="78" t="s">
        <v>28</v>
      </c>
    </row>
    <row r="25" spans="1:2" x14ac:dyDescent="0.25">
      <c r="A25" s="78" t="s">
        <v>29</v>
      </c>
      <c r="B25" s="78" t="s">
        <v>28</v>
      </c>
    </row>
    <row r="26" spans="1:2" x14ac:dyDescent="0.25">
      <c r="A26" s="78" t="s">
        <v>30</v>
      </c>
      <c r="B26" s="78" t="s">
        <v>28</v>
      </c>
    </row>
    <row r="27" spans="1:2" x14ac:dyDescent="0.25">
      <c r="A27" s="78" t="s">
        <v>31</v>
      </c>
      <c r="B27" s="78" t="s">
        <v>28</v>
      </c>
    </row>
    <row r="28" spans="1:2" x14ac:dyDescent="0.25">
      <c r="A28" s="78" t="s">
        <v>32</v>
      </c>
      <c r="B28" s="78" t="s">
        <v>28</v>
      </c>
    </row>
    <row r="29" spans="1:2" x14ac:dyDescent="0.25">
      <c r="A29" s="78" t="s">
        <v>33</v>
      </c>
      <c r="B29" s="78" t="s">
        <v>34</v>
      </c>
    </row>
    <row r="30" spans="1:2" x14ac:dyDescent="0.25">
      <c r="A30" s="78" t="s">
        <v>35</v>
      </c>
      <c r="B30" s="78" t="s">
        <v>34</v>
      </c>
    </row>
    <row r="31" spans="1:2" x14ac:dyDescent="0.25">
      <c r="A31" s="78" t="s">
        <v>36</v>
      </c>
      <c r="B31" s="78" t="s">
        <v>34</v>
      </c>
    </row>
    <row r="32" spans="1:2" x14ac:dyDescent="0.25">
      <c r="A32" s="78" t="s">
        <v>37</v>
      </c>
      <c r="B32" s="78" t="s">
        <v>34</v>
      </c>
    </row>
    <row r="33" spans="1:2" x14ac:dyDescent="0.25">
      <c r="A33" s="78"/>
      <c r="B33" s="78"/>
    </row>
    <row r="34" spans="1:2" x14ac:dyDescent="0.25">
      <c r="A34" s="78"/>
      <c r="B34" s="78"/>
    </row>
    <row r="35" spans="1:2" x14ac:dyDescent="0.25">
      <c r="A35" s="78"/>
      <c r="B35" s="78"/>
    </row>
    <row r="36" spans="1:2" x14ac:dyDescent="0.25">
      <c r="A36" s="78"/>
      <c r="B36" s="78"/>
    </row>
    <row r="37" spans="1:2" x14ac:dyDescent="0.25">
      <c r="A37" s="78"/>
      <c r="B37" s="78"/>
    </row>
    <row r="38" spans="1:2" x14ac:dyDescent="0.25">
      <c r="A38" s="78"/>
      <c r="B38" s="78"/>
    </row>
    <row r="39" spans="1:2" x14ac:dyDescent="0.25">
      <c r="A39" s="78"/>
      <c r="B39" s="78"/>
    </row>
    <row r="40" spans="1:2" x14ac:dyDescent="0.25">
      <c r="A40" s="78"/>
      <c r="B40" s="78"/>
    </row>
    <row r="41" spans="1:2" x14ac:dyDescent="0.25">
      <c r="A41" s="78"/>
      <c r="B41" s="78"/>
    </row>
    <row r="42" spans="1:2" x14ac:dyDescent="0.25">
      <c r="A42" s="78"/>
      <c r="B42" s="78"/>
    </row>
    <row r="43" spans="1:2" x14ac:dyDescent="0.25">
      <c r="A43" s="78"/>
      <c r="B43" s="78"/>
    </row>
    <row r="44" spans="1:2" x14ac:dyDescent="0.25">
      <c r="A44" s="78"/>
      <c r="B44" s="78"/>
    </row>
    <row r="45" spans="1:2" x14ac:dyDescent="0.25">
      <c r="A45" s="78"/>
      <c r="B45" s="78"/>
    </row>
    <row r="46" spans="1:2" x14ac:dyDescent="0.25">
      <c r="A46" s="78"/>
      <c r="B46" s="78"/>
    </row>
    <row r="47" spans="1:2" x14ac:dyDescent="0.25">
      <c r="A47" s="78"/>
      <c r="B47" s="78"/>
    </row>
    <row r="48" spans="1:2" x14ac:dyDescent="0.25">
      <c r="A48" s="78"/>
      <c r="B48" s="78"/>
    </row>
    <row r="49" spans="1:2" x14ac:dyDescent="0.25">
      <c r="A49" s="78"/>
      <c r="B49" s="78"/>
    </row>
    <row r="50" spans="1:2" x14ac:dyDescent="0.25">
      <c r="A50" s="78"/>
      <c r="B50" s="78"/>
    </row>
    <row r="51" spans="1:2" x14ac:dyDescent="0.25">
      <c r="A51" s="78"/>
      <c r="B51" s="78"/>
    </row>
    <row r="52" spans="1:2" x14ac:dyDescent="0.25">
      <c r="A52" s="78"/>
      <c r="B52" s="78"/>
    </row>
    <row r="53" spans="1:2" x14ac:dyDescent="0.25">
      <c r="A53" s="78"/>
      <c r="B53" s="78"/>
    </row>
    <row r="54" spans="1:2" x14ac:dyDescent="0.25">
      <c r="A54" s="78"/>
      <c r="B54" s="78"/>
    </row>
    <row r="55" spans="1:2" x14ac:dyDescent="0.25">
      <c r="A55" s="78"/>
      <c r="B55" s="78"/>
    </row>
    <row r="56" spans="1:2" x14ac:dyDescent="0.25">
      <c r="A56" s="78"/>
      <c r="B56" s="78"/>
    </row>
    <row r="57" spans="1:2" x14ac:dyDescent="0.25">
      <c r="A57" s="78"/>
      <c r="B57" s="78"/>
    </row>
    <row r="58" spans="1:2" x14ac:dyDescent="0.25">
      <c r="A58" s="78"/>
      <c r="B58" s="78"/>
    </row>
    <row r="59" spans="1:2" x14ac:dyDescent="0.25">
      <c r="A59" s="78"/>
      <c r="B59" s="78"/>
    </row>
    <row r="60" spans="1:2" x14ac:dyDescent="0.25">
      <c r="A60" s="78"/>
      <c r="B60" s="78"/>
    </row>
    <row r="61" spans="1:2" x14ac:dyDescent="0.25">
      <c r="A61" s="78"/>
      <c r="B61" s="78"/>
    </row>
    <row r="62" spans="1:2" x14ac:dyDescent="0.25">
      <c r="A62" s="78"/>
      <c r="B62" s="78"/>
    </row>
    <row r="63" spans="1:2" x14ac:dyDescent="0.25">
      <c r="A63" s="78"/>
      <c r="B63" s="78"/>
    </row>
    <row r="64" spans="1:2" x14ac:dyDescent="0.25">
      <c r="A64" s="78"/>
      <c r="B64" s="78"/>
    </row>
    <row r="65" spans="1:2" x14ac:dyDescent="0.25">
      <c r="A65" s="78"/>
      <c r="B65" s="78"/>
    </row>
    <row r="66" spans="1:2" x14ac:dyDescent="0.25">
      <c r="A66" s="78"/>
      <c r="B66" s="78"/>
    </row>
    <row r="67" spans="1:2" x14ac:dyDescent="0.25">
      <c r="A67" s="78"/>
      <c r="B67" s="78"/>
    </row>
    <row r="68" spans="1:2" x14ac:dyDescent="0.25">
      <c r="A68" s="78"/>
      <c r="B68" s="78"/>
    </row>
    <row r="69" spans="1:2" x14ac:dyDescent="0.25">
      <c r="A69" s="78"/>
      <c r="B69" s="78"/>
    </row>
    <row r="70" spans="1:2" x14ac:dyDescent="0.25">
      <c r="A70" s="78"/>
      <c r="B70" s="78"/>
    </row>
    <row r="71" spans="1:2" x14ac:dyDescent="0.25">
      <c r="A71" s="78"/>
      <c r="B71" s="78"/>
    </row>
    <row r="72" spans="1:2" x14ac:dyDescent="0.25">
      <c r="A72" s="78"/>
      <c r="B72" s="78"/>
    </row>
    <row r="73" spans="1:2" x14ac:dyDescent="0.25">
      <c r="A73" s="78"/>
      <c r="B73" s="78"/>
    </row>
    <row r="74" spans="1:2" x14ac:dyDescent="0.25">
      <c r="A74" s="78"/>
      <c r="B74" s="78"/>
    </row>
    <row r="75" spans="1:2" x14ac:dyDescent="0.25">
      <c r="A75" s="78"/>
      <c r="B75" s="78"/>
    </row>
    <row r="76" spans="1:2" x14ac:dyDescent="0.25">
      <c r="A76" s="78"/>
      <c r="B76" s="78"/>
    </row>
    <row r="77" spans="1:2" x14ac:dyDescent="0.25">
      <c r="A77" s="78"/>
      <c r="B77" s="78"/>
    </row>
    <row r="78" spans="1:2" x14ac:dyDescent="0.25">
      <c r="A78" s="78"/>
      <c r="B78" s="78"/>
    </row>
    <row r="79" spans="1:2" x14ac:dyDescent="0.25">
      <c r="A79" s="78"/>
      <c r="B79" s="78"/>
    </row>
    <row r="80" spans="1:2" x14ac:dyDescent="0.25">
      <c r="A80" s="78"/>
      <c r="B80" s="78"/>
    </row>
    <row r="81" spans="1:2" x14ac:dyDescent="0.25">
      <c r="A81" s="78"/>
      <c r="B81" s="78"/>
    </row>
    <row r="82" spans="1:2" x14ac:dyDescent="0.25">
      <c r="A82" s="78"/>
      <c r="B82" s="78"/>
    </row>
  </sheetData>
  <sheetProtection sheet="1" objects="1" scenarios="1" formatCell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12</vt:i4>
      </vt:variant>
      <vt:variant>
        <vt:lpstr>Benoemde bereiken</vt:lpstr>
      </vt:variant>
      <vt:variant>
        <vt:i4>22</vt:i4>
      </vt:variant>
    </vt:vector>
  </HeadingPairs>
  <TitlesOfParts>
    <vt:vector size="34" baseType="lpstr">
      <vt:lpstr>Welcome</vt:lpstr>
      <vt:lpstr>Example</vt:lpstr>
      <vt:lpstr>Paycheck Budget</vt:lpstr>
      <vt:lpstr>Flexible Income Budget</vt:lpstr>
      <vt:lpstr>Transactions Log</vt:lpstr>
      <vt:lpstr>Bank Import</vt:lpstr>
      <vt:lpstr>Bill Calendar</vt:lpstr>
      <vt:lpstr>Subscription Tracker</vt:lpstr>
      <vt:lpstr>Savings &amp; Debt Goal Tracker</vt:lpstr>
      <vt:lpstr>Habit Tracker</vt:lpstr>
      <vt:lpstr>Notes FAQ</vt:lpstr>
      <vt:lpstr>Settings</vt:lpstr>
      <vt:lpstr>Example!Afdrukbereik</vt:lpstr>
      <vt:lpstr>'Flexible Income Budget'!Afdrukbereik</vt:lpstr>
      <vt:lpstr>'Paycheck Budget'!Afdrukbereik</vt:lpstr>
      <vt:lpstr>'Flexible Income Budget'!AsOfDate</vt:lpstr>
      <vt:lpstr>BillingFrequencyList</vt:lpstr>
      <vt:lpstr>CategoryList</vt:lpstr>
      <vt:lpstr>CategoryTypeList</vt:lpstr>
      <vt:lpstr>CurrencyList</vt:lpstr>
      <vt:lpstr>'Savings &amp; Debt Goal Tracker'!GoalNameList</vt:lpstr>
      <vt:lpstr>MonthList</vt:lpstr>
      <vt:lpstr>PayFrequencyList</vt:lpstr>
      <vt:lpstr>Example!PeriodEnd</vt:lpstr>
      <vt:lpstr>'Flexible Income Budget'!PeriodEnd</vt:lpstr>
      <vt:lpstr>'Paycheck Budget'!PeriodEnd</vt:lpstr>
      <vt:lpstr>Example!PeriodStart</vt:lpstr>
      <vt:lpstr>'Flexible Income Budget'!PeriodStart</vt:lpstr>
      <vt:lpstr>'Paycheck Budget'!PeriodStart</vt:lpstr>
      <vt:lpstr>SubCategoryList</vt:lpstr>
      <vt:lpstr>TypeList</vt:lpstr>
      <vt:lpstr>WeekStartList</vt:lpstr>
      <vt:lpstr>YearList</vt:lpstr>
      <vt:lpstr>YesNoList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Nina Graft</dc:creator>
  <cp:lastModifiedBy>Nina Graft</cp:lastModifiedBy>
  <dcterms:created xsi:type="dcterms:W3CDTF">2026-08-14T15:08:48Z</dcterms:created>
  <dcterms:modified xsi:type="dcterms:W3CDTF">2026-08-15T16:47:02Z</dcterms:modified>
</cp:coreProperties>
</file>